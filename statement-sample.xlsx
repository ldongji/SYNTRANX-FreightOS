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<sst xmlns="http://schemas.openxmlformats.org/spreadsheetml/2006/main" count="84" uniqueCount="57">
  <si>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空运费账单
Airfreight statement</t>
  </si>
  <si>
    <t>客户单位：</t>
  </si>
  <si>
    <t>程总CYJ</t>
  </si>
  <si>
    <t>目的地</t>
  </si>
  <si>
    <t>DXB</t>
  </si>
  <si>
    <t>制单日期：</t>
  </si>
  <si>
    <t>2026.5.13</t>
  </si>
  <si>
    <t>航线</t>
  </si>
  <si>
    <t>CN-DXB/KSA</t>
  </si>
  <si>
    <t>日期
Date</t>
  </si>
  <si>
    <t>货运单号
Tracking No</t>
  </si>
  <si>
    <t>品名
Description</t>
  </si>
  <si>
    <t>始发地
Origin</t>
  </si>
  <si>
    <t>唛头
Mark</t>
  </si>
  <si>
    <t>收费项目
Fee Detail</t>
  </si>
  <si>
    <t xml:space="preserve">件数
CTN </t>
  </si>
  <si>
    <t>计费重量C.W(KG)</t>
  </si>
  <si>
    <t>单价
Unit Price</t>
  </si>
  <si>
    <t>总额（RMB）
TOTAL</t>
  </si>
  <si>
    <t>NO0004730</t>
  </si>
  <si>
    <t>饰品</t>
  </si>
  <si>
    <t>义乌YW</t>
  </si>
  <si>
    <t>CYJ-SEA</t>
  </si>
  <si>
    <t>海运双清</t>
  </si>
  <si>
    <t>BY00986985</t>
  </si>
  <si>
    <t>首饰,</t>
  </si>
  <si>
    <t>0118966/CYJ</t>
  </si>
  <si>
    <t>迪拜双清</t>
  </si>
  <si>
    <t>BY00988606</t>
  </si>
  <si>
    <t>0118831/CYJ</t>
  </si>
  <si>
    <t>BY00990426</t>
  </si>
  <si>
    <t>BAG,A</t>
  </si>
  <si>
    <t>0118747CYJ</t>
  </si>
  <si>
    <t>BY00992460</t>
  </si>
  <si>
    <t>广州GZ</t>
  </si>
  <si>
    <t>0118683/CYJ</t>
  </si>
  <si>
    <t>BY00992740</t>
  </si>
  <si>
    <t>0119775/CYJ</t>
  </si>
  <si>
    <t>BY00995422</t>
  </si>
  <si>
    <t>卡包,A</t>
  </si>
  <si>
    <t>0118570CYJ</t>
  </si>
  <si>
    <t>BY00997640</t>
  </si>
  <si>
    <t>0117503/CYJ</t>
  </si>
  <si>
    <t>KSA880036</t>
  </si>
  <si>
    <t>CYJ</t>
  </si>
  <si>
    <t>沙特双清</t>
  </si>
  <si>
    <t>63/kg+35/件派送</t>
  </si>
  <si>
    <t>KSA880037</t>
  </si>
  <si>
    <t>GZSDGYL-CYJ</t>
  </si>
  <si>
    <t>KSA880038</t>
  </si>
  <si>
    <t>KSA-CYJ02</t>
  </si>
  <si>
    <t>KSA880039</t>
  </si>
  <si>
    <t>CYJL</t>
  </si>
  <si>
    <t>62/kg+60rmb派送</t>
  </si>
  <si>
    <t xml:space="preserve">TOTAL: </t>
  </si>
  <si>
    <t>请贵司收到以上发票，尽快核对确认。如无异议，请安排支付款项。谢谢配合。</t>
  </si>
  <si>
    <t>户名：广州市新创供应链管理有限公司
账号：3602 2266 0900 0109 645
开户行：广州开发区分行/广州经济技术开发区支行
行号 ：102581000177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</si>
</sst>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0.00_ "/>
    <numFmt numFmtId="178" formatCode="dd/mm/yyyy;@"/>
    <numFmt numFmtId="179" formatCode="0.000_ "/>
    <numFmt numFmtId="180" formatCode="yyyy/m/d;@"/>
  </numFmts>
  <fonts count="29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4"/>
      <color rgb="FF595959"/>
      <name val="微软雅黑"/>
      <charset val="134"/>
    </font>
    <font>
      <sz val="11"/>
      <color rgb="FF404040"/>
      <name val="微软雅黑"/>
      <charset val="134"/>
    </font>
    <font>
      <sz val="12"/>
      <color rgb="FF595959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3"/>
      <color rgb="FF40404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1CDA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4" borderId="7">
      <alignment vertical="center"/>
    </xf>
    <xf numFmtId="0" fontId="19" fillId="5" borderId="8">
      <alignment vertical="center"/>
    </xf>
    <xf numFmtId="0" fontId="20" fillId="5" borderId="7">
      <alignment vertical="center"/>
    </xf>
    <xf numFmtId="0" fontId="21" fillId="6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7" fontId="4" fillId="0" borderId="0" xfId="0" applyNumberFormat="1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 wrapText="1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7" fontId="9" fillId="0" borderId="2" xfId="0" applyNumberFormat="1" applyFont="1" applyFill="1" applyBorder="1" applyAlignment="1">
      <alignment horizontal="right" vertical="center"/>
    </xf>
    <xf numFmtId="177" fontId="9" fillId="0" borderId="3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177" fontId="9" fillId="0" borderId="0" xfId="0" applyNumberFormat="1" applyFont="1" applyFill="1" applyAlignment="1">
      <alignment horizontal="right" vertical="center"/>
    </xf>
    <xf numFmtId="177" fontId="9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left" vertical="center" wrapText="1"/>
    </xf>
    <xf numFmtId="177" fontId="1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</xdr:colOff>
      <xdr:row>0</xdr:row>
      <xdr:rowOff>93980</xdr:rowOff>
    </xdr:from>
    <xdr:to>
      <xdr:col>2</xdr:col>
      <xdr:colOff>1057910</xdr:colOff>
      <xdr:row>0</xdr:row>
      <xdr:rowOff>725170</xdr:rowOff>
    </xdr:to>
    <xdr:pic>
      <xdr:nvPicPr>
        <xdr:cNvPr id="2" name="图片 1" descr="Logo签名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75" y="93980"/>
          <a:ext cx="3113405" cy="631190"/>
        </a:xfrm>
        <a:prstGeom prst="rect">
          <a:avLst/>
        </a:prstGeom>
      </xdr:spPr>
    </xdr:pic>
    <xdr:clientData/>
  </xdr:twoCellAnchor>
  <xdr:twoCellAnchor editAs="oneCell">
    <xdr:from>
      <xdr:col>3</xdr:col>
      <xdr:colOff>750570</xdr:colOff>
      <xdr:row>24</xdr:row>
      <xdr:rowOff>133350</xdr:rowOff>
    </xdr:from>
    <xdr:to>
      <xdr:col>5</xdr:col>
      <xdr:colOff>114935</xdr:colOff>
      <xdr:row>29</xdr:row>
      <xdr:rowOff>92075</xdr:rowOff>
    </xdr:to>
    <xdr:pic>
      <xdr:nvPicPr>
        <xdr:cNvPr id="3" name="图片 2" descr="章"/>
        <xdr:cNvPicPr>
          <a:picLocks noChangeAspect="1"/>
        </xdr:cNvPicPr>
      </xdr:nvPicPr>
      <xdr:blipFill>
        <a:blip r:embed="rId2">
          <a:clrChange>
            <a:clrFrom>
              <a:srgbClr val="FDFDFD">
                <a:alpha val="100000"/>
              </a:srgbClr>
            </a:clrFrom>
            <a:clrTo>
              <a:srgbClr val="FDFDFD">
                <a:alpha val="100000"/>
                <a:alpha val="0"/>
              </a:srgbClr>
            </a:clrTo>
          </a:clrChange>
          <a:lum contrast="18000"/>
        </a:blip>
        <a:stretch>
          <a:fillRect/>
        </a:stretch>
      </xdr:blipFill>
      <xdr:spPr>
        <a:xfrm>
          <a:off x="3977640" y="9061450"/>
          <a:ext cx="1525270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view="pageBreakPreview" zoomScalePageLayoutView="80" zoomScaleNormal="100" topLeftCell="A8" workbookViewId="0">
      <selection activeCell="E20" sqref="E20"/>
    </sheetView>
  </sheetViews>
  <sheetFormatPr defaultColWidth="9" defaultRowHeight="26" customHeight="1"/>
  <cols>
    <col min="1" max="1" width="15.2882882882883" style="1" customWidth="1"/>
    <col min="2" max="2" width="15.3603603603604" style="1" customWidth="1"/>
    <col min="3" max="3" width="15.1351351351351" style="1" customWidth="1"/>
    <col min="4" max="4" width="13.6576576576577" style="1" customWidth="1"/>
    <col min="5" max="5" width="17" style="1" customWidth="1"/>
    <col min="6" max="6" width="16.5945945945946" style="2" customWidth="1"/>
    <col min="7" max="7" width="11.5585585585586" style="1" customWidth="1"/>
    <col min="8" max="8" width="15.2162162162162" style="3" customWidth="1"/>
    <col min="9" max="9" width="21.027027027027" style="3" customWidth="1"/>
    <col min="10" max="10" width="18.0900900900901" style="3" customWidth="1"/>
    <col min="11" max="16384" width="9" style="1"/>
  </cols>
  <sheetData>
    <row r="1" ht="66" customHeight="1"/>
    <row r="3" s="1" customFormat="1" ht="54" customHeight="1" spans="1:10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</row>
    <row r="4" s="1" customFormat="1" customHeight="1" spans="1:10">
      <c r="H4" s="3"/>
      <c r="I4" s="3"/>
      <c r="J4" s="3"/>
    </row>
    <row r="5" s="1" customFormat="1" customHeight="1" spans="1:10">
      <c r="A5" s="5" t="s">
        <v>1</v>
      </c>
      <c r="B5" s="6" t="s">
        <v>2</v>
      </c>
      <c r="E5" s="6"/>
      <c r="G5" s="6"/>
      <c r="H5" s="7" t="s">
        <v>3</v>
      </c>
      <c r="I5" s="7" t="s">
        <v>4</v>
      </c>
      <c r="J5" s="3"/>
    </row>
    <row r="6" s="1" customFormat="1" customHeight="1" spans="1:10">
      <c r="A6" s="5" t="s">
        <v>5</v>
      </c>
      <c r="B6" s="6" t="s">
        <v>6</v>
      </c>
      <c r="E6" s="6"/>
      <c r="G6" s="6"/>
      <c r="H6" s="7" t="s">
        <v>7</v>
      </c>
      <c r="I6" s="7" t="s">
        <v>8</v>
      </c>
      <c r="J6" s="3"/>
    </row>
    <row r="7" s="1" customFormat="1" customHeight="1" spans="1:10">
      <c r="B7" s="5"/>
      <c r="C7" s="5"/>
      <c r="D7" s="5"/>
      <c r="E7" s="5"/>
      <c r="F7" s="6"/>
      <c r="G7" s="6"/>
      <c r="H7" s="7"/>
      <c r="I7" s="8"/>
      <c r="J7" s="3"/>
    </row>
    <row r="8" s="1" customFormat="1" ht="37" customHeight="1" spans="1:10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10" t="s">
        <v>16</v>
      </c>
      <c r="I8" s="10" t="s">
        <v>17</v>
      </c>
      <c r="J8" s="10" t="s">
        <v>18</v>
      </c>
    </row>
    <row r="9" s="1" customFormat="1" customHeight="1" spans="1:10">
      <c r="A9" s="11">
        <v>46057</v>
      </c>
      <c r="B9" s="12" t="s">
        <v>19</v>
      </c>
      <c r="C9" s="12" t="s">
        <v>20</v>
      </c>
      <c r="D9" s="12" t="s">
        <v>21</v>
      </c>
      <c r="E9" s="13" t="s">
        <v>22</v>
      </c>
      <c r="F9" s="14" t="s">
        <v>23</v>
      </c>
      <c r="G9" s="12">
        <v>9</v>
      </c>
      <c r="H9" s="15">
        <v>0.9</v>
      </c>
      <c r="I9" s="16">
        <v>1200</v>
      </c>
      <c r="J9" s="16">
        <v>1080</v>
      </c>
    </row>
    <row r="10" s="1" customFormat="1" customHeight="1" spans="1:10">
      <c r="A10" s="11">
        <v>46114.8380555556</v>
      </c>
      <c r="B10" s="17" t="s">
        <v>24</v>
      </c>
      <c r="C10" s="17" t="s">
        <v>25</v>
      </c>
      <c r="D10" s="12" t="s">
        <v>21</v>
      </c>
      <c r="E10" s="17" t="s">
        <v>26</v>
      </c>
      <c r="F10" s="18" t="s">
        <v>27</v>
      </c>
      <c r="G10" s="18">
        <v>2</v>
      </c>
      <c r="H10" s="16">
        <v>47</v>
      </c>
      <c r="I10" s="16">
        <v>40</v>
      </c>
      <c r="J10" s="16">
        <v>1880</v>
      </c>
    </row>
    <row r="11" s="1" customFormat="1" customHeight="1" spans="1:10">
      <c r="A11" s="11">
        <v>46120.7943981482</v>
      </c>
      <c r="B11" s="19" t="s">
        <v>28</v>
      </c>
      <c r="C11" s="17" t="s">
        <v>25</v>
      </c>
      <c r="D11" s="12" t="s">
        <v>21</v>
      </c>
      <c r="E11" s="19" t="s">
        <v>29</v>
      </c>
      <c r="F11" s="18" t="s">
        <v>27</v>
      </c>
      <c r="G11" s="12">
        <v>2</v>
      </c>
      <c r="H11" s="16">
        <v>43</v>
      </c>
      <c r="I11" s="16">
        <v>43</v>
      </c>
      <c r="J11" s="16">
        <f t="shared" ref="J11:J16" si="0">I11*H11</f>
        <v>1849</v>
      </c>
    </row>
    <row r="12" s="1" customFormat="1" customHeight="1" spans="1:10">
      <c r="A12" s="11">
        <v>46125.8275694444</v>
      </c>
      <c r="B12" s="19" t="s">
        <v>30</v>
      </c>
      <c r="C12" s="20" t="s">
        <v>31</v>
      </c>
      <c r="D12" s="21" t="s">
        <v>21</v>
      </c>
      <c r="E12" s="19" t="s">
        <v>32</v>
      </c>
      <c r="F12" s="22" t="s">
        <v>27</v>
      </c>
      <c r="G12" s="18">
        <v>3</v>
      </c>
      <c r="H12" s="16">
        <v>46</v>
      </c>
      <c r="I12" s="16">
        <v>47</v>
      </c>
      <c r="J12" s="16">
        <f t="shared" si="0"/>
        <v>2162</v>
      </c>
    </row>
    <row r="13" s="1" customFormat="1" customHeight="1" spans="1:10">
      <c r="A13" s="11">
        <v>46129.9197569444</v>
      </c>
      <c r="B13" s="17" t="s">
        <v>33</v>
      </c>
      <c r="C13" s="20" t="s">
        <v>31</v>
      </c>
      <c r="D13" s="12" t="s">
        <v>34</v>
      </c>
      <c r="E13" s="17" t="s">
        <v>35</v>
      </c>
      <c r="F13" s="22" t="s">
        <v>27</v>
      </c>
      <c r="G13" s="12">
        <v>1</v>
      </c>
      <c r="H13" s="16">
        <v>51</v>
      </c>
      <c r="I13" s="16">
        <v>47</v>
      </c>
      <c r="J13" s="16">
        <v>2397</v>
      </c>
    </row>
    <row r="14" s="1" customFormat="1" customHeight="1" spans="1:10">
      <c r="A14" s="11">
        <v>46131.8212962963</v>
      </c>
      <c r="B14" s="17" t="s">
        <v>36</v>
      </c>
      <c r="C14" s="17" t="s">
        <v>25</v>
      </c>
      <c r="D14" s="12" t="s">
        <v>21</v>
      </c>
      <c r="E14" s="17" t="s">
        <v>37</v>
      </c>
      <c r="F14" s="22" t="s">
        <v>27</v>
      </c>
      <c r="G14" s="12">
        <v>1</v>
      </c>
      <c r="H14" s="16">
        <v>24</v>
      </c>
      <c r="I14" s="16">
        <v>43</v>
      </c>
      <c r="J14" s="16">
        <v>1032</v>
      </c>
    </row>
    <row r="15" s="1" customFormat="1" customHeight="1" spans="1:10">
      <c r="A15" s="11">
        <v>46138.846400463</v>
      </c>
      <c r="B15" s="17" t="s">
        <v>38</v>
      </c>
      <c r="C15" s="20" t="s">
        <v>39</v>
      </c>
      <c r="D15" s="12" t="s">
        <v>34</v>
      </c>
      <c r="E15" s="17" t="s">
        <v>40</v>
      </c>
      <c r="F15" s="22" t="s">
        <v>27</v>
      </c>
      <c r="G15" s="12">
        <v>1</v>
      </c>
      <c r="H15" s="16">
        <v>8</v>
      </c>
      <c r="I15" s="16">
        <v>48</v>
      </c>
      <c r="J15" s="16">
        <f t="shared" si="0"/>
        <v>384</v>
      </c>
    </row>
    <row r="16" s="1" customFormat="1" customHeight="1" spans="1:10">
      <c r="A16" s="11">
        <v>46142.8523263889</v>
      </c>
      <c r="B16" s="19" t="s">
        <v>41</v>
      </c>
      <c r="C16" s="19" t="s">
        <v>25</v>
      </c>
      <c r="D16" s="12" t="s">
        <v>21</v>
      </c>
      <c r="E16" s="19" t="s">
        <v>42</v>
      </c>
      <c r="F16" s="22" t="s">
        <v>27</v>
      </c>
      <c r="G16" s="12">
        <v>9</v>
      </c>
      <c r="H16" s="16">
        <v>264</v>
      </c>
      <c r="I16" s="16">
        <v>42</v>
      </c>
      <c r="J16" s="16">
        <f t="shared" si="0"/>
        <v>11088</v>
      </c>
    </row>
    <row r="17" s="1" customFormat="1" customHeight="1" spans="1:10">
      <c r="A17" s="11">
        <v>46122</v>
      </c>
      <c r="B17" s="23" t="s">
        <v>43</v>
      </c>
      <c r="C17" s="12" t="s">
        <v>20</v>
      </c>
      <c r="D17" s="12" t="s">
        <v>21</v>
      </c>
      <c r="E17" s="18" t="s">
        <v>44</v>
      </c>
      <c r="F17" s="23" t="s">
        <v>45</v>
      </c>
      <c r="G17" s="18">
        <v>7</v>
      </c>
      <c r="H17" s="16">
        <v>100</v>
      </c>
      <c r="I17" s="16" t="s">
        <v>46</v>
      </c>
      <c r="J17" s="16">
        <f>63*H17+35*G17</f>
        <v>6545</v>
      </c>
    </row>
    <row r="18" s="1" customFormat="1" customHeight="1" spans="1:10">
      <c r="A18" s="11">
        <v>46119</v>
      </c>
      <c r="B18" s="23" t="s">
        <v>47</v>
      </c>
      <c r="C18" s="12" t="s">
        <v>20</v>
      </c>
      <c r="D18" s="12" t="s">
        <v>21</v>
      </c>
      <c r="E18" s="18" t="s">
        <v>48</v>
      </c>
      <c r="F18" s="23" t="s">
        <v>45</v>
      </c>
      <c r="G18" s="18">
        <v>1</v>
      </c>
      <c r="H18" s="16">
        <v>24</v>
      </c>
      <c r="I18" s="16">
        <v>95</v>
      </c>
      <c r="J18" s="16">
        <f>I18*H18</f>
        <v>2280</v>
      </c>
    </row>
    <row r="19" s="1" customFormat="1" customHeight="1" spans="1:10">
      <c r="A19" s="11">
        <v>46120</v>
      </c>
      <c r="B19" s="23" t="s">
        <v>49</v>
      </c>
      <c r="C19" s="12" t="s">
        <v>20</v>
      </c>
      <c r="D19" s="12" t="s">
        <v>21</v>
      </c>
      <c r="E19" s="18" t="s">
        <v>50</v>
      </c>
      <c r="F19" s="23" t="s">
        <v>45</v>
      </c>
      <c r="G19" s="18">
        <v>1</v>
      </c>
      <c r="H19" s="16">
        <v>38</v>
      </c>
      <c r="I19" s="16">
        <v>95</v>
      </c>
      <c r="J19" s="16">
        <f>I19*H19</f>
        <v>3610</v>
      </c>
    </row>
    <row r="20" s="1" customFormat="1" customHeight="1" spans="1:10">
      <c r="A20" s="11">
        <v>46132</v>
      </c>
      <c r="B20" s="23" t="s">
        <v>51</v>
      </c>
      <c r="C20" s="12" t="s">
        <v>20</v>
      </c>
      <c r="D20" s="12" t="s">
        <v>21</v>
      </c>
      <c r="E20" s="12" t="s">
        <v>52</v>
      </c>
      <c r="F20" s="23" t="s">
        <v>45</v>
      </c>
      <c r="G20" s="12">
        <v>1</v>
      </c>
      <c r="H20" s="16">
        <v>11</v>
      </c>
      <c r="I20" s="16" t="s">
        <v>53</v>
      </c>
      <c r="J20" s="16">
        <f>62*H20+60</f>
        <v>742</v>
      </c>
    </row>
    <row r="21" s="1" customFormat="1" customHeight="1" spans="1:10">
      <c r="A21" s="24"/>
      <c r="B21" s="19"/>
      <c r="C21" s="19"/>
      <c r="D21" s="12"/>
      <c r="E21" s="19"/>
      <c r="F21" s="25"/>
      <c r="G21" s="12"/>
      <c r="H21" s="16"/>
      <c r="I21" s="16"/>
      <c r="J21" s="16"/>
    </row>
    <row r="22" s="1" customFormat="1" customHeight="1" spans="1:10">
      <c r="A22" s="26"/>
      <c r="B22" s="27"/>
      <c r="C22" s="27"/>
      <c r="D22" s="27"/>
      <c r="E22" s="27"/>
      <c r="F22" s="27"/>
      <c r="G22" s="27"/>
      <c r="H22" s="28"/>
      <c r="I22" s="28"/>
      <c r="J22" s="28"/>
    </row>
    <row r="23" s="1" customFormat="1" customHeight="1" spans="1:10">
      <c r="F23" s="2"/>
      <c r="H23" s="3"/>
      <c r="I23" s="29" t="s">
        <v>54</v>
      </c>
      <c r="J23" s="30">
        <f>SUM(J9:J22)</f>
        <v>35049</v>
      </c>
    </row>
    <row r="24" s="1" customFormat="1" customHeight="1" spans="1:10">
      <c r="A24" s="31" t="s">
        <v>55</v>
      </c>
      <c r="C24" s="31"/>
      <c r="D24" s="31"/>
      <c r="E24" s="31"/>
      <c r="F24" s="2"/>
      <c r="H24" s="3"/>
      <c r="I24" s="32"/>
      <c r="J24" s="33"/>
    </row>
    <row r="25" s="1" customFormat="1" customHeight="1" spans="1:10">
      <c r="A25" s="34" t="s">
        <v>56</v>
      </c>
      <c r="B25" s="34"/>
      <c r="C25" s="34"/>
      <c r="D25" s="34"/>
      <c r="E25" s="34"/>
      <c r="F25" s="34"/>
      <c r="G25" s="35"/>
      <c r="H25" s="7"/>
      <c r="I25" s="7"/>
      <c r="J25" s="3"/>
    </row>
    <row r="26" s="1" customFormat="1" customHeight="1" spans="1:10">
      <c r="A26" s="34"/>
      <c r="B26" s="34"/>
      <c r="C26" s="34"/>
      <c r="D26" s="34"/>
      <c r="E26" s="34"/>
      <c r="F26" s="34"/>
      <c r="G26" s="35"/>
      <c r="H26" s="3"/>
      <c r="I26" s="3"/>
      <c r="J26" s="3"/>
    </row>
    <row r="27" s="1" customFormat="1" customHeight="1" spans="1:10">
      <c r="A27" s="34"/>
      <c r="B27" s="34"/>
      <c r="C27" s="34"/>
      <c r="D27" s="34"/>
      <c r="E27" s="34"/>
      <c r="F27" s="34"/>
      <c r="G27" s="35"/>
      <c r="H27" s="3"/>
      <c r="I27" s="3"/>
      <c r="J27" s="3"/>
    </row>
    <row r="28" s="1" customFormat="1" customHeight="1" spans="1:10">
      <c r="D28" s="2"/>
      <c r="F28" s="3"/>
      <c r="G28" s="3"/>
      <c r="H28" s="3"/>
      <c r="I28" s="3"/>
      <c r="J28" s="3"/>
    </row>
    <row r="29" s="1" customFormat="1" customHeight="1" spans="1:10">
      <c r="D29" s="2"/>
      <c r="F29" s="3"/>
      <c r="G29" s="3"/>
      <c r="H29" s="3"/>
      <c r="I29" s="3"/>
      <c r="J29" s="3"/>
    </row>
  </sheetData>
  <mergeCells count="2">
    <mergeCell ref="A3:J3"/>
    <mergeCell ref="A25:F27"/>
  </mergeCells>
  <dataValidations count="1">
    <dataValidation allowBlank="1" showInputMessage="1" showErrorMessage="1" sqref="E9 E20"/>
  </dataValidations>
  <pageMargins left="0.7" right="0.7" top="0.75" bottom="0.75" header="0.3" footer="0.3"/>
  <pageSetup paperSize="9" scale="5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Dongji Liang</dc:creator>
  <cp:lastModifiedBy>TERRY LIANG</cp:lastModifiedBy>
  <dcterms:created xsi:type="dcterms:W3CDTF">2023-05-12T11:15:00Z</dcterms:created>
  <dcterms:modified xsi:type="dcterms:W3CDTF">2026-05-13T04:12:09Z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587E6A9620AC44A6B41D755BE415CE87_13</vt:lpwstr>
  </property>
  <property fmtid="{D5CDD505-2E9C-101B-9397-08002B2CF9AE}" pid="4" name="CalculationRule">
    <vt:i4>0</vt:i4>
  </property>
</Properties>
</file>