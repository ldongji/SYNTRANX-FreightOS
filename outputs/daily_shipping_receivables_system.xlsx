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看板" sheetId="1" state="visible" r:id="rId1"/>
    <sheet xmlns:r="http://schemas.openxmlformats.org/officeDocument/2006/relationships" name="每日收货出货登记" sheetId="2" state="visible" r:id="rId2"/>
    <sheet xmlns:r="http://schemas.openxmlformats.org/officeDocument/2006/relationships" name="回款核销" sheetId="3" state="visible" r:id="rId3"/>
    <sheet xmlns:r="http://schemas.openxmlformats.org/officeDocument/2006/relationships" name="客户应收汇总" sheetId="4" state="visible" r:id="rId4"/>
    <sheet xmlns:r="http://schemas.openxmlformats.org/officeDocument/2006/relationships" name="未核销明细" sheetId="5" state="visible" r:id="rId5"/>
    <sheet xmlns:r="http://schemas.openxmlformats.org/officeDocument/2006/relationships" name="客户资料" sheetId="6" state="visible" r:id="rId6"/>
    <sheet xmlns:r="http://schemas.openxmlformats.org/officeDocument/2006/relationships" name="基础数据" sheetId="7" state="visible" r:id="rId7"/>
  </sheets>
  <definedNames>
    <definedName name="_xlnm._FilterDatabase" localSheetId="1" hidden="1">'每日收货出货登记'!$A$2:$AB$1002</definedName>
    <definedName name="_xlnm._FilterDatabase" localSheetId="2" hidden="1">'回款核销'!$A$2:$J$1002</definedName>
    <definedName name="_xlnm._FilterDatabase" localSheetId="3" hidden="1">'客户应收汇总'!$A$2:$G$302</definedName>
    <definedName name="_xlnm._FilterDatabase" localSheetId="4" hidden="1">'未核销明细'!$A$2:$J$502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2937"/>
      <sz val="18"/>
    </font>
    <font>
      <name val="Microsoft YaHei"/>
      <color rgb="006B7280"/>
      <sz val="10"/>
    </font>
    <font>
      <name val="Microsoft YaHei"/>
      <b val="1"/>
      <color rgb="00FFFFFF"/>
    </font>
    <font>
      <name val="Microsoft YaHei"/>
      <sz val="10"/>
    </font>
    <font>
      <name val="Microsoft YaHei"/>
      <b val="1"/>
      <color rgb="001F4E79"/>
    </font>
    <font>
      <name val="Microsoft YaHei"/>
      <b val="1"/>
      <color rgb="00111827"/>
      <sz val="14"/>
    </font>
    <font>
      <name val="Microsoft YaHei"/>
      <b val="1"/>
      <sz val="13"/>
    </font>
    <font>
      <name val="Microsoft YaHei"/>
      <color rgb="0037415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pivotButton="0" quotePrefix="0" xfId="0"/>
    <xf numFmtId="4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0" fontId="8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客户未收款排行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'客户应收汇总'!D2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'客户应收汇总'!$A$3:$A$12</f>
            </numRef>
          </cat>
          <val>
            <numRef>
              <f>'客户应收汇总'!$D$3:$D$12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未收RMB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客户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Entry" displayName="tblEntry" ref="A2:AB1002" headerRowCount="1">
  <autoFilter ref="A2:AB1002"/>
  <tableColumns count="28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  <tableColumn id="11" name=""/>
    <tableColumn id="12" name=""/>
    <tableColumn id="13" name=""/>
    <tableColumn id="14" name=""/>
    <tableColumn id="15" name=""/>
    <tableColumn id="16" name=""/>
    <tableColumn id="17" name=""/>
    <tableColumn id="18" name=""/>
    <tableColumn id="19" name=""/>
    <tableColumn id="20" name=""/>
    <tableColumn id="21" name=""/>
    <tableColumn id="22" name=""/>
    <tableColumn id="23" name=""/>
    <tableColumn id="24" name=""/>
    <tableColumn id="25" name=""/>
    <tableColumn id="26" name=""/>
    <tableColumn id="27" name=""/>
    <tableColumn id="28" name="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yment" displayName="tblPayment" ref="A2:J1002" headerRowCount="1">
  <autoFilter ref="A2:J1002"/>
  <tableColumns count="10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R" displayName="tblAR" ref="A2:G302" headerRowCount="1">
  <autoFilter ref="A2:G302"/>
  <tableColumns count="7">
    <tableColumn id="1" name=""/>
    <tableColumn id="2" name=""/>
    <tableColumn id="3" name=""/>
    <tableColumn id="4" name=""/>
    <tableColumn id="5" name=""/>
    <tableColumn id="6" name=""/>
    <tableColumn id="7" name="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OpenAR" displayName="tblOpenAR" ref="A2:J502" headerRowCount="1">
  <autoFilter ref="A2:J502"/>
  <tableColumns count="10">
    <tableColumn id="1" name=""/>
    <tableColumn id="2" name=""/>
    <tableColumn id="3" name=""/>
    <tableColumn id="4" name=""/>
    <tableColumn id="5" name=""/>
    <tableColumn id="6" name=""/>
    <tableColumn id="7" name=""/>
    <tableColumn id="8" name=""/>
    <tableColumn id="9" name=""/>
    <tableColumn id="10" name="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lients" displayName="tblClients" ref="A2:H9" headerRowCount="1">
  <autoFilter ref="A2:H9"/>
  <tableColumns count="8">
    <tableColumn id="1" name=""/>
    <tableColumn id="2" name=""/>
    <tableColumn id="3" name=""/>
    <tableColumn id="4" name=""/>
    <tableColumn id="5" name=""/>
    <tableColumn id="6" name=""/>
    <tableColumn id="7" name=""/>
    <tableColumn id="8" name="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9" max="9"/>
    <col width="14" customWidth="1" min="10" max="10"/>
  </cols>
  <sheetData>
    <row r="1" ht="22" customHeight="1">
      <c r="A1" s="1" t="inlineStr">
        <is>
          <t>每日收货出货与应收回款看板</t>
        </is>
      </c>
    </row>
    <row r="2" ht="22" customHeight="1">
      <c r="A2" s="2" t="inlineStr">
        <is>
          <t>登记每天收货/出货，回款按客户或运单号核销；统计页会自动更新。</t>
        </is>
      </c>
    </row>
    <row r="3" ht="22" customHeight="1"/>
    <row r="4" ht="22" customHeight="1">
      <c r="A4" s="3" t="inlineStr">
        <is>
          <t>本月应收</t>
        </is>
      </c>
      <c r="C4" s="3" t="inlineStr">
        <is>
          <t>本月已核销</t>
        </is>
      </c>
      <c r="E4" s="3" t="inlineStr">
        <is>
          <t>当前未收</t>
        </is>
      </c>
      <c r="G4" s="3" t="inlineStr">
        <is>
          <t>当前毛利润</t>
        </is>
      </c>
      <c r="I4" s="3" t="inlineStr">
        <is>
          <t>未结算成本</t>
        </is>
      </c>
    </row>
    <row r="5" ht="22" customHeight="1">
      <c r="A5" s="4">
        <f>SUMIFS(每日收货出货登记!$Q:$Q,每日收货出货登记!$A:$A,"&gt;="&amp;DATE(YEAR(TODAY()),MONTH(TODAY()),1),每日收货出货登记!$A:$A,"&lt;"&amp;EDATE(DATE(YEAR(TODAY()),MONTH(TODAY()),1),1))</f>
        <v/>
      </c>
      <c r="C5" s="4">
        <f>SUMIFS(每日收货出货登记!$V:$V,每日收货出货登记!$A:$A,"&gt;="&amp;DATE(YEAR(TODAY()),MONTH(TODAY()),1),每日收货出货登记!$A:$A,"&lt;"&amp;EDATE(DATE(YEAR(TODAY()),MONTH(TODAY()),1),1))</f>
        <v/>
      </c>
      <c r="E5" s="4">
        <f>SUM(每日收货出货登记!$W:$W)</f>
        <v/>
      </c>
      <c r="G5" s="4">
        <f>SUM(每日收货出货登记!$Z:$Z)</f>
        <v/>
      </c>
      <c r="I5" s="4">
        <f>SUMIFS(每日收货出货登记!$Y:$Y,每日收货出货登记!$AA:$AA,"&lt;&gt;已结算PAID")</f>
        <v/>
      </c>
    </row>
    <row r="6" ht="22" customHeight="1"/>
    <row r="7" ht="22" customHeight="1"/>
    <row r="8" ht="22" customHeight="1">
      <c r="A8" s="5" t="inlineStr">
        <is>
          <t>最近未收明细</t>
        </is>
      </c>
      <c r="I8" s="5" t="inlineStr">
        <is>
          <t>使用顺序</t>
        </is>
      </c>
    </row>
    <row r="9" ht="22" customHeight="1">
      <c r="A9" s="6" t="inlineStr">
        <is>
          <t>录单日期</t>
        </is>
      </c>
      <c r="B9" s="6" t="inlineStr">
        <is>
          <t>客户单位</t>
        </is>
      </c>
      <c r="C9" s="6" t="inlineStr">
        <is>
          <t>运单号</t>
        </is>
      </c>
      <c r="D9" s="6" t="inlineStr">
        <is>
          <t>应收RMB</t>
        </is>
      </c>
      <c r="E9" s="6" t="inlineStr">
        <is>
          <t>已核销</t>
        </is>
      </c>
      <c r="F9" s="6" t="inlineStr">
        <is>
          <t>未收</t>
        </is>
      </c>
      <c r="G9" s="6" t="inlineStr">
        <is>
          <t>货物状态</t>
        </is>
      </c>
      <c r="H9" s="7" t="n"/>
      <c r="I9" s="8" t="inlineStr">
        <is>
          <t>1. 在“每日收货出货登记”新增每天业务。</t>
        </is>
      </c>
    </row>
    <row r="10" ht="22" customHeight="1">
      <c r="A10" s="9">
        <f>IF(每日收货出货登记!W3&gt;0,每日收货出货登记!A3,"")</f>
        <v/>
      </c>
      <c r="B10" s="10">
        <f>IF(每日收货出货登记!W3&gt;0,每日收货出货登记!D3,"")</f>
        <v/>
      </c>
      <c r="C10" s="10">
        <f>IF(每日收货出货登记!W3&gt;0,每日收货出货登记!G3,"")</f>
        <v/>
      </c>
      <c r="D10" s="10">
        <f>IF(每日收货出货登记!W3&gt;0,每日收货出货登记!Q3,"")</f>
        <v/>
      </c>
      <c r="E10" s="10">
        <f>IF(每日收货出货登记!W3&gt;0,每日收货出货登记!V3,"")</f>
        <v/>
      </c>
      <c r="F10" s="10">
        <f>IF(每日收货出货登记!W3&gt;0,每日收货出货登记!W3,"")</f>
        <v/>
      </c>
      <c r="G10" s="9">
        <f>IF(每日收货出货登记!W3&gt;0,每日收货出货登记!S3,"")</f>
        <v/>
      </c>
      <c r="I10" s="11" t="inlineStr">
        <is>
          <t>2. 收到款后在“回款核销”登记。</t>
        </is>
      </c>
    </row>
    <row r="11" ht="22" customHeight="1">
      <c r="A11" s="9">
        <f>IF(每日收货出货登记!W4&gt;0,每日收货出货登记!A4,"")</f>
        <v/>
      </c>
      <c r="B11" s="10">
        <f>IF(每日收货出货登记!W4&gt;0,每日收货出货登记!D4,"")</f>
        <v/>
      </c>
      <c r="C11" s="10">
        <f>IF(每日收货出货登记!W4&gt;0,每日收货出货登记!G4,"")</f>
        <v/>
      </c>
      <c r="D11" s="10">
        <f>IF(每日收货出货登记!W4&gt;0,每日收货出货登记!Q4,"")</f>
        <v/>
      </c>
      <c r="E11" s="10">
        <f>IF(每日收货出货登记!W4&gt;0,每日收货出货登记!V4,"")</f>
        <v/>
      </c>
      <c r="F11" s="10">
        <f>IF(每日收货出货登记!W4&gt;0,每日收货出货登记!W4,"")</f>
        <v/>
      </c>
      <c r="G11" s="9">
        <f>IF(每日收货出货登记!W4&gt;0,每日收货出货登记!S4,"")</f>
        <v/>
      </c>
      <c r="I11" s="11" t="inlineStr">
        <is>
          <t>3. 有运单号就按运单核销；批量收款可只填客户单位。</t>
        </is>
      </c>
    </row>
    <row r="12" ht="22" customHeight="1">
      <c r="A12" s="9">
        <f>IF(每日收货出货登记!W5&gt;0,每日收货出货登记!A5,"")</f>
        <v/>
      </c>
      <c r="B12" s="10">
        <f>IF(每日收货出货登记!W5&gt;0,每日收货出货登记!D5,"")</f>
        <v/>
      </c>
      <c r="C12" s="10">
        <f>IF(每日收货出货登记!W5&gt;0,每日收货出货登记!G5,"")</f>
        <v/>
      </c>
      <c r="D12" s="10">
        <f>IF(每日收货出货登记!W5&gt;0,每日收货出货登记!Q5,"")</f>
        <v/>
      </c>
      <c r="E12" s="10">
        <f>IF(每日收货出货登记!W5&gt;0,每日收货出货登记!V5,"")</f>
        <v/>
      </c>
      <c r="F12" s="10">
        <f>IF(每日收货出货登记!W5&gt;0,每日收货出货登记!W5,"")</f>
        <v/>
      </c>
      <c r="G12" s="9">
        <f>IF(每日收货出货登记!W5&gt;0,每日收货出货登记!S5,"")</f>
        <v/>
      </c>
      <c r="I12" s="11" t="inlineStr">
        <is>
          <t>4. 看“客户应收汇总”和“未核销明细”跟进欠款。</t>
        </is>
      </c>
    </row>
    <row r="13" ht="22" customHeight="1">
      <c r="A13" s="9">
        <f>IF(每日收货出货登记!W6&gt;0,每日收货出货登记!A6,"")</f>
        <v/>
      </c>
      <c r="B13" s="10">
        <f>IF(每日收货出货登记!W6&gt;0,每日收货出货登记!D6,"")</f>
        <v/>
      </c>
      <c r="C13" s="10">
        <f>IF(每日收货出货登记!W6&gt;0,每日收货出货登记!G6,"")</f>
        <v/>
      </c>
      <c r="D13" s="10">
        <f>IF(每日收货出货登记!W6&gt;0,每日收货出货登记!Q6,"")</f>
        <v/>
      </c>
      <c r="E13" s="10">
        <f>IF(每日收货出货登记!W6&gt;0,每日收货出货登记!V6,"")</f>
        <v/>
      </c>
      <c r="F13" s="10">
        <f>IF(每日收货出货登记!W6&gt;0,每日收货出货登记!W6,"")</f>
        <v/>
      </c>
      <c r="G13" s="9">
        <f>IF(每日收货出货登记!W6&gt;0,每日收货出货登记!S6,"")</f>
        <v/>
      </c>
    </row>
    <row r="14" ht="22" customHeight="1">
      <c r="A14" s="9">
        <f>IF(每日收货出货登记!W7&gt;0,每日收货出货登记!A7,"")</f>
        <v/>
      </c>
      <c r="B14" s="10">
        <f>IF(每日收货出货登记!W7&gt;0,每日收货出货登记!D7,"")</f>
        <v/>
      </c>
      <c r="C14" s="10">
        <f>IF(每日收货出货登记!W7&gt;0,每日收货出货登记!G7,"")</f>
        <v/>
      </c>
      <c r="D14" s="10">
        <f>IF(每日收货出货登记!W7&gt;0,每日收货出货登记!Q7,"")</f>
        <v/>
      </c>
      <c r="E14" s="10">
        <f>IF(每日收货出货登记!W7&gt;0,每日收货出货登记!V7,"")</f>
        <v/>
      </c>
      <c r="F14" s="10">
        <f>IF(每日收货出货登记!W7&gt;0,每日收货出货登记!W7,"")</f>
        <v/>
      </c>
      <c r="G14" s="9">
        <f>IF(每日收货出货登记!W7&gt;0,每日收货出货登记!S7,"")</f>
        <v/>
      </c>
    </row>
    <row r="15" ht="22" customHeight="1">
      <c r="A15" s="9">
        <f>IF(每日收货出货登记!W8&gt;0,每日收货出货登记!A8,"")</f>
        <v/>
      </c>
      <c r="B15" s="10">
        <f>IF(每日收货出货登记!W8&gt;0,每日收货出货登记!D8,"")</f>
        <v/>
      </c>
      <c r="C15" s="10">
        <f>IF(每日收货出货登记!W8&gt;0,每日收货出货登记!G8,"")</f>
        <v/>
      </c>
      <c r="D15" s="10">
        <f>IF(每日收货出货登记!W8&gt;0,每日收货出货登记!Q8,"")</f>
        <v/>
      </c>
      <c r="E15" s="10">
        <f>IF(每日收货出货登记!W8&gt;0,每日收货出货登记!V8,"")</f>
        <v/>
      </c>
      <c r="F15" s="10">
        <f>IF(每日收货出货登记!W8&gt;0,每日收货出货登记!W8,"")</f>
        <v/>
      </c>
      <c r="G15" s="9">
        <f>IF(每日收货出货登记!W8&gt;0,每日收货出货登记!S8,"")</f>
        <v/>
      </c>
    </row>
    <row r="16" ht="22" customHeight="1">
      <c r="A16" s="9">
        <f>IF(每日收货出货登记!W9&gt;0,每日收货出货登记!A9,"")</f>
        <v/>
      </c>
      <c r="B16" s="10">
        <f>IF(每日收货出货登记!W9&gt;0,每日收货出货登记!D9,"")</f>
        <v/>
      </c>
      <c r="C16" s="10">
        <f>IF(每日收货出货登记!W9&gt;0,每日收货出货登记!G9,"")</f>
        <v/>
      </c>
      <c r="D16" s="10">
        <f>IF(每日收货出货登记!W9&gt;0,每日收货出货登记!Q9,"")</f>
        <v/>
      </c>
      <c r="E16" s="10">
        <f>IF(每日收货出货登记!W9&gt;0,每日收货出货登记!V9,"")</f>
        <v/>
      </c>
      <c r="F16" s="10">
        <f>IF(每日收货出货登记!W9&gt;0,每日收货出货登记!W9,"")</f>
        <v/>
      </c>
      <c r="G16" s="9">
        <f>IF(每日收货出货登记!W9&gt;0,每日收货出货登记!S9,"")</f>
        <v/>
      </c>
    </row>
    <row r="17" ht="22" customHeight="1">
      <c r="A17" s="9">
        <f>IF(每日收货出货登记!W10&gt;0,每日收货出货登记!A10,"")</f>
        <v/>
      </c>
      <c r="B17" s="10">
        <f>IF(每日收货出货登记!W10&gt;0,每日收货出货登记!D10,"")</f>
        <v/>
      </c>
      <c r="C17" s="10">
        <f>IF(每日收货出货登记!W10&gt;0,每日收货出货登记!G10,"")</f>
        <v/>
      </c>
      <c r="D17" s="10">
        <f>IF(每日收货出货登记!W10&gt;0,每日收货出货登记!Q10,"")</f>
        <v/>
      </c>
      <c r="E17" s="10">
        <f>IF(每日收货出货登记!W10&gt;0,每日收货出货登记!V10,"")</f>
        <v/>
      </c>
      <c r="F17" s="10">
        <f>IF(每日收货出货登记!W10&gt;0,每日收货出货登记!W10,"")</f>
        <v/>
      </c>
      <c r="G17" s="9">
        <f>IF(每日收货出货登记!W10&gt;0,每日收货出货登记!S10,"")</f>
        <v/>
      </c>
    </row>
    <row r="18" ht="22" customHeight="1">
      <c r="A18" s="9">
        <f>IF(每日收货出货登记!W11&gt;0,每日收货出货登记!A11,"")</f>
        <v/>
      </c>
      <c r="B18" s="10">
        <f>IF(每日收货出货登记!W11&gt;0,每日收货出货登记!D11,"")</f>
        <v/>
      </c>
      <c r="C18" s="10">
        <f>IF(每日收货出货登记!W11&gt;0,每日收货出货登记!G11,"")</f>
        <v/>
      </c>
      <c r="D18" s="10">
        <f>IF(每日收货出货登记!W11&gt;0,每日收货出货登记!Q11,"")</f>
        <v/>
      </c>
      <c r="E18" s="10">
        <f>IF(每日收货出货登记!W11&gt;0,每日收货出货登记!V11,"")</f>
        <v/>
      </c>
      <c r="F18" s="10">
        <f>IF(每日收货出货登记!W11&gt;0,每日收货出货登记!W11,"")</f>
        <v/>
      </c>
      <c r="G18" s="9">
        <f>IF(每日收货出货登记!W11&gt;0,每日收货出货登记!S11,"")</f>
        <v/>
      </c>
    </row>
    <row r="19" ht="22" customHeight="1">
      <c r="A19" s="9">
        <f>IF(每日收货出货登记!W12&gt;0,每日收货出货登记!A12,"")</f>
        <v/>
      </c>
      <c r="B19" s="10">
        <f>IF(每日收货出货登记!W12&gt;0,每日收货出货登记!D12,"")</f>
        <v/>
      </c>
      <c r="C19" s="10">
        <f>IF(每日收货出货登记!W12&gt;0,每日收货出货登记!G12,"")</f>
        <v/>
      </c>
      <c r="D19" s="10">
        <f>IF(每日收货出货登记!W12&gt;0,每日收货出货登记!Q12,"")</f>
        <v/>
      </c>
      <c r="E19" s="10">
        <f>IF(每日收货出货登记!W12&gt;0,每日收货出货登记!V12,"")</f>
        <v/>
      </c>
      <c r="F19" s="10">
        <f>IF(每日收货出货登记!W12&gt;0,每日收货出货登记!W12,"")</f>
        <v/>
      </c>
      <c r="G19" s="9">
        <f>IF(每日收货出货登记!W12&gt;0,每日收货出货登记!S12,"")</f>
        <v/>
      </c>
    </row>
    <row r="20" ht="22" customHeight="1">
      <c r="A20" s="9">
        <f>IF(每日收货出货登记!W13&gt;0,每日收货出货登记!A13,"")</f>
        <v/>
      </c>
      <c r="B20" s="10">
        <f>IF(每日收货出货登记!W13&gt;0,每日收货出货登记!D13,"")</f>
        <v/>
      </c>
      <c r="C20" s="10">
        <f>IF(每日收货出货登记!W13&gt;0,每日收货出货登记!G13,"")</f>
        <v/>
      </c>
      <c r="D20" s="10">
        <f>IF(每日收货出货登记!W13&gt;0,每日收货出货登记!Q13,"")</f>
        <v/>
      </c>
      <c r="E20" s="10">
        <f>IF(每日收货出货登记!W13&gt;0,每日收货出货登记!V13,"")</f>
        <v/>
      </c>
      <c r="F20" s="10">
        <f>IF(每日收货出货登记!W13&gt;0,每日收货出货登记!W13,"")</f>
        <v/>
      </c>
      <c r="G20" s="9">
        <f>IF(每日收货出货登记!W13&gt;0,每日收货出货登记!S13,"")</f>
        <v/>
      </c>
    </row>
    <row r="21" ht="22" customHeight="1">
      <c r="A21" s="9">
        <f>IF(每日收货出货登记!W14&gt;0,每日收货出货登记!A14,"")</f>
        <v/>
      </c>
      <c r="B21" s="10">
        <f>IF(每日收货出货登记!W14&gt;0,每日收货出货登记!D14,"")</f>
        <v/>
      </c>
      <c r="C21" s="10">
        <f>IF(每日收货出货登记!W14&gt;0,每日收货出货登记!G14,"")</f>
        <v/>
      </c>
      <c r="D21" s="10">
        <f>IF(每日收货出货登记!W14&gt;0,每日收货出货登记!Q14,"")</f>
        <v/>
      </c>
      <c r="E21" s="10">
        <f>IF(每日收货出货登记!W14&gt;0,每日收货出货登记!V14,"")</f>
        <v/>
      </c>
      <c r="F21" s="10">
        <f>IF(每日收货出货登记!W14&gt;0,每日收货出货登记!W14,"")</f>
        <v/>
      </c>
      <c r="G21" s="9">
        <f>IF(每日收货出货登记!W14&gt;0,每日收货出货登记!S14,"")</f>
        <v/>
      </c>
    </row>
    <row r="22" ht="22" customHeight="1">
      <c r="A22" s="9">
        <f>IF(每日收货出货登记!W15&gt;0,每日收货出货登记!A15,"")</f>
        <v/>
      </c>
      <c r="B22" s="10">
        <f>IF(每日收货出货登记!W15&gt;0,每日收货出货登记!D15,"")</f>
        <v/>
      </c>
      <c r="C22" s="10">
        <f>IF(每日收货出货登记!W15&gt;0,每日收货出货登记!G15,"")</f>
        <v/>
      </c>
      <c r="D22" s="10">
        <f>IF(每日收货出货登记!W15&gt;0,每日收货出货登记!Q15,"")</f>
        <v/>
      </c>
      <c r="E22" s="10">
        <f>IF(每日收货出货登记!W15&gt;0,每日收货出货登记!V15,"")</f>
        <v/>
      </c>
      <c r="F22" s="10">
        <f>IF(每日收货出货登记!W15&gt;0,每日收货出货登记!W15,"")</f>
        <v/>
      </c>
      <c r="G22" s="9">
        <f>IF(每日收货出货登记!W15&gt;0,每日收货出货登记!S15,"")</f>
        <v/>
      </c>
    </row>
    <row r="23" ht="22" customHeight="1">
      <c r="A23" s="9">
        <f>IF(每日收货出货登记!W16&gt;0,每日收货出货登记!A16,"")</f>
        <v/>
      </c>
      <c r="B23" s="10">
        <f>IF(每日收货出货登记!W16&gt;0,每日收货出货登记!D16,"")</f>
        <v/>
      </c>
      <c r="C23" s="10">
        <f>IF(每日收货出货登记!W16&gt;0,每日收货出货登记!G16,"")</f>
        <v/>
      </c>
      <c r="D23" s="10">
        <f>IF(每日收货出货登记!W16&gt;0,每日收货出货登记!Q16,"")</f>
        <v/>
      </c>
      <c r="E23" s="10">
        <f>IF(每日收货出货登记!W16&gt;0,每日收货出货登记!V16,"")</f>
        <v/>
      </c>
      <c r="F23" s="10">
        <f>IF(每日收货出货登记!W16&gt;0,每日收货出货登记!W16,"")</f>
        <v/>
      </c>
      <c r="G23" s="9">
        <f>IF(每日收货出货登记!W16&gt;0,每日收货出货登记!S16,"")</f>
        <v/>
      </c>
    </row>
    <row r="24" ht="22" customHeight="1">
      <c r="A24" s="9">
        <f>IF(每日收货出货登记!W17&gt;0,每日收货出货登记!A17,"")</f>
        <v/>
      </c>
      <c r="B24" s="10">
        <f>IF(每日收货出货登记!W17&gt;0,每日收货出货登记!D17,"")</f>
        <v/>
      </c>
      <c r="C24" s="10">
        <f>IF(每日收货出货登记!W17&gt;0,每日收货出货登记!G17,"")</f>
        <v/>
      </c>
      <c r="D24" s="10">
        <f>IF(每日收货出货登记!W17&gt;0,每日收货出货登记!Q17,"")</f>
        <v/>
      </c>
      <c r="E24" s="10">
        <f>IF(每日收货出货登记!W17&gt;0,每日收货出货登记!V17,"")</f>
        <v/>
      </c>
      <c r="F24" s="10">
        <f>IF(每日收货出货登记!W17&gt;0,每日收货出货登记!W17,"")</f>
        <v/>
      </c>
      <c r="G24" s="9">
        <f>IF(每日收货出货登记!W17&gt;0,每日收货出货登记!S17,"")</f>
        <v/>
      </c>
    </row>
  </sheetData>
  <mergeCells count="14">
    <mergeCell ref="A4:B4"/>
    <mergeCell ref="G4:H4"/>
    <mergeCell ref="E4:F4"/>
    <mergeCell ref="I12:J12"/>
    <mergeCell ref="I4:J4"/>
    <mergeCell ref="I10:J10"/>
    <mergeCell ref="C5:D5"/>
    <mergeCell ref="A5:B5"/>
    <mergeCell ref="G5:H5"/>
    <mergeCell ref="E5:F5"/>
    <mergeCell ref="I11:J11"/>
    <mergeCell ref="I5:J5"/>
    <mergeCell ref="I9:J9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22" customWidth="1" min="6" max="6"/>
    <col width="16" customWidth="1" min="7" max="7"/>
    <col width="12" customWidth="1" min="8" max="8"/>
    <col width="12" customWidth="1" min="9" max="9"/>
    <col width="16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4" customWidth="1" min="18" max="18"/>
    <col width="1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0" customWidth="1" min="24" max="24"/>
    <col width="12" customWidth="1" min="25" max="25"/>
    <col width="12" customWidth="1" min="26" max="26"/>
    <col width="14" customWidth="1" min="27" max="27"/>
    <col width="24" customWidth="1" min="28" max="28"/>
  </cols>
  <sheetData>
    <row r="1" ht="22" customHeight="1">
      <c r="A1" s="1" t="inlineStr">
        <is>
          <t>每日收货出货登记</t>
        </is>
      </c>
    </row>
    <row r="2" ht="42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</row>
    <row r="3" ht="22" customHeight="1">
      <c r="A3" s="9" t="inlineStr">
        <is>
          <t>录单日期</t>
        </is>
      </c>
      <c r="B3" s="9" t="inlineStr">
        <is>
          <t>业务类型</t>
        </is>
      </c>
      <c r="C3" s="9" t="inlineStr">
        <is>
          <t>渠道</t>
        </is>
      </c>
      <c r="D3" s="9" t="inlineStr">
        <is>
          <t>客户单位</t>
        </is>
      </c>
      <c r="E3" s="9" t="inlineStr">
        <is>
          <t>入仓号/唛头</t>
        </is>
      </c>
      <c r="F3" s="9" t="inlineStr">
        <is>
          <t>品名</t>
        </is>
      </c>
      <c r="G3" s="9" t="inlineStr">
        <is>
          <t>运单号</t>
        </is>
      </c>
      <c r="H3" s="9" t="inlineStr">
        <is>
          <t>始发地</t>
        </is>
      </c>
      <c r="I3" s="9" t="inlineStr">
        <is>
          <t>目的地</t>
        </is>
      </c>
      <c r="J3" s="9" t="inlineStr">
        <is>
          <t>运输方式</t>
        </is>
      </c>
      <c r="K3" s="9" t="inlineStr">
        <is>
          <t>件数</t>
        </is>
      </c>
      <c r="L3" s="9" t="inlineStr">
        <is>
          <t>实重</t>
        </is>
      </c>
      <c r="M3" s="9" t="inlineStr">
        <is>
          <t>体积重</t>
        </is>
      </c>
      <c r="N3" s="9" t="inlineStr">
        <is>
          <t>计费重量</t>
        </is>
      </c>
      <c r="O3" s="9" t="inlineStr">
        <is>
          <t>收款币种</t>
        </is>
      </c>
      <c r="P3" s="9" t="inlineStr">
        <is>
          <t>单价</t>
        </is>
      </c>
      <c r="Q3" s="10">
        <f>IF(OR(N3="",P3=""),"",N3*P3)</f>
        <v/>
      </c>
      <c r="R3" s="9" t="inlineStr">
        <is>
          <t>结算方式</t>
        </is>
      </c>
      <c r="S3" s="9" t="inlineStr">
        <is>
          <t>货物状态</t>
        </is>
      </c>
      <c r="T3" s="9" t="inlineStr">
        <is>
          <t>派送日期</t>
        </is>
      </c>
      <c r="U3" s="9">
        <f>IF(Q3="","",IF(W3=0,"已付款PAID",IF(V3&gt;0,"部分核销","未付款N/P")))</f>
        <v/>
      </c>
      <c r="V3" s="10">
        <f>IF(G3="","",SUMIFS(回款核销!$H:$H,回款核销!$C:$C,G3)+SUMIFS(回款核销!$H:$H,回款核销!$B:$B,D3,回款核销!$C:$C,""))</f>
        <v/>
      </c>
      <c r="W3" s="10">
        <f>IF(Q3="","",MAX(0,Q3-V3))</f>
        <v/>
      </c>
      <c r="X3" s="9" t="inlineStr">
        <is>
          <t>成本单价</t>
        </is>
      </c>
      <c r="Y3" s="10">
        <f>IF(OR(N3="",X3=""),"",N3*X3)</f>
        <v/>
      </c>
      <c r="Z3" s="10">
        <f>IF(OR(Q3="",Y3=""),"",Q3-Y3)</f>
        <v/>
      </c>
      <c r="AA3" s="9" t="inlineStr">
        <is>
          <t>成本结算状态</t>
        </is>
      </c>
      <c r="AB3" s="9" t="inlineStr">
        <is>
          <t>备注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10">
        <f>IF(OR(N4="",P4=""),"",N4*P4)</f>
        <v/>
      </c>
      <c r="R4" s="9" t="n"/>
      <c r="S4" s="9" t="n"/>
      <c r="T4" s="9" t="n"/>
      <c r="U4" s="9">
        <f>IF(Q4="","",IF(W4=0,"已付款PAID",IF(V4&gt;0,"部分核销","未付款N/P")))</f>
        <v/>
      </c>
      <c r="V4" s="10">
        <f>IF(G4="","",SUMIFS(回款核销!$H:$H,回款核销!$C:$C,G4)+SUMIFS(回款核销!$H:$H,回款核销!$B:$B,D4,回款核销!$C:$C,""))</f>
        <v/>
      </c>
      <c r="W4" s="10">
        <f>IF(Q4="","",MAX(0,Q4-V4))</f>
        <v/>
      </c>
      <c r="X4" s="9" t="n"/>
      <c r="Y4" s="10">
        <f>IF(OR(N4="",X4=""),"",N4*X4)</f>
        <v/>
      </c>
      <c r="Z4" s="10">
        <f>IF(OR(Q4="",Y4=""),"",Q4-Y4)</f>
        <v/>
      </c>
      <c r="AA4" s="9" t="n"/>
      <c r="AB4" s="9" t="n"/>
    </row>
    <row r="5" ht="22" customHeight="1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10">
        <f>IF(OR(N5="",P5=""),"",N5*P5)</f>
        <v/>
      </c>
      <c r="R5" s="9" t="n"/>
      <c r="S5" s="9" t="n"/>
      <c r="T5" s="9" t="n"/>
      <c r="U5" s="9">
        <f>IF(Q5="","",IF(W5=0,"已付款PAID",IF(V5&gt;0,"部分核销","未付款N/P")))</f>
        <v/>
      </c>
      <c r="V5" s="10">
        <f>IF(G5="","",SUMIFS(回款核销!$H:$H,回款核销!$C:$C,G5)+SUMIFS(回款核销!$H:$H,回款核销!$B:$B,D5,回款核销!$C:$C,""))</f>
        <v/>
      </c>
      <c r="W5" s="10">
        <f>IF(Q5="","",MAX(0,Q5-V5))</f>
        <v/>
      </c>
      <c r="X5" s="9" t="n"/>
      <c r="Y5" s="10">
        <f>IF(OR(N5="",X5=""),"",N5*X5)</f>
        <v/>
      </c>
      <c r="Z5" s="10">
        <f>IF(OR(Q5="",Y5=""),"",Q5-Y5)</f>
        <v/>
      </c>
      <c r="AA5" s="9" t="n"/>
      <c r="AB5" s="9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10">
        <f>IF(OR(N6="",P6=""),"",N6*P6)</f>
        <v/>
      </c>
      <c r="R6" s="9" t="n"/>
      <c r="S6" s="9" t="n"/>
      <c r="T6" s="9" t="n"/>
      <c r="U6" s="9">
        <f>IF(Q6="","",IF(W6=0,"已付款PAID",IF(V6&gt;0,"部分核销","未付款N/P")))</f>
        <v/>
      </c>
      <c r="V6" s="10">
        <f>IF(G6="","",SUMIFS(回款核销!$H:$H,回款核销!$C:$C,G6)+SUMIFS(回款核销!$H:$H,回款核销!$B:$B,D6,回款核销!$C:$C,""))</f>
        <v/>
      </c>
      <c r="W6" s="10">
        <f>IF(Q6="","",MAX(0,Q6-V6))</f>
        <v/>
      </c>
      <c r="X6" s="9" t="n"/>
      <c r="Y6" s="10">
        <f>IF(OR(N6="",X6=""),"",N6*X6)</f>
        <v/>
      </c>
      <c r="Z6" s="10">
        <f>IF(OR(Q6="",Y6=""),"",Q6-Y6)</f>
        <v/>
      </c>
      <c r="AA6" s="9" t="n"/>
      <c r="AB6" s="9" t="n"/>
    </row>
    <row r="7" ht="22" customHeight="1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10">
        <f>IF(OR(N7="",P7=""),"",N7*P7)</f>
        <v/>
      </c>
      <c r="R7" s="9" t="n"/>
      <c r="S7" s="9" t="n"/>
      <c r="T7" s="9" t="n"/>
      <c r="U7" s="9">
        <f>IF(Q7="","",IF(W7=0,"已付款PAID",IF(V7&gt;0,"部分核销","未付款N/P")))</f>
        <v/>
      </c>
      <c r="V7" s="10">
        <f>IF(G7="","",SUMIFS(回款核销!$H:$H,回款核销!$C:$C,G7)+SUMIFS(回款核销!$H:$H,回款核销!$B:$B,D7,回款核销!$C:$C,""))</f>
        <v/>
      </c>
      <c r="W7" s="10">
        <f>IF(Q7="","",MAX(0,Q7-V7))</f>
        <v/>
      </c>
      <c r="X7" s="9" t="n"/>
      <c r="Y7" s="10">
        <f>IF(OR(N7="",X7=""),"",N7*X7)</f>
        <v/>
      </c>
      <c r="Z7" s="10">
        <f>IF(OR(Q7="",Y7=""),"",Q7-Y7)</f>
        <v/>
      </c>
      <c r="AA7" s="9" t="n"/>
      <c r="AB7" s="9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10">
        <f>IF(OR(N8="",P8=""),"",N8*P8)</f>
        <v/>
      </c>
      <c r="R8" s="9" t="n"/>
      <c r="S8" s="9" t="n"/>
      <c r="T8" s="9" t="n"/>
      <c r="U8" s="9">
        <f>IF(Q8="","",IF(W8=0,"已付款PAID",IF(V8&gt;0,"部分核销","未付款N/P")))</f>
        <v/>
      </c>
      <c r="V8" s="10">
        <f>IF(G8="","",SUMIFS(回款核销!$H:$H,回款核销!$C:$C,G8)+SUMIFS(回款核销!$H:$H,回款核销!$B:$B,D8,回款核销!$C:$C,""))</f>
        <v/>
      </c>
      <c r="W8" s="10">
        <f>IF(Q8="","",MAX(0,Q8-V8))</f>
        <v/>
      </c>
      <c r="X8" s="9" t="n"/>
      <c r="Y8" s="10">
        <f>IF(OR(N8="",X8=""),"",N8*X8)</f>
        <v/>
      </c>
      <c r="Z8" s="10">
        <f>IF(OR(Q8="",Y8=""),"",Q8-Y8)</f>
        <v/>
      </c>
      <c r="AA8" s="9" t="n"/>
      <c r="AB8" s="9" t="n"/>
    </row>
    <row r="9" ht="22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10">
        <f>IF(OR(N9="",P9=""),"",N9*P9)</f>
        <v/>
      </c>
      <c r="R9" s="9" t="n"/>
      <c r="S9" s="9" t="n"/>
      <c r="T9" s="9" t="n"/>
      <c r="U9" s="9">
        <f>IF(Q9="","",IF(W9=0,"已付款PAID",IF(V9&gt;0,"部分核销","未付款N/P")))</f>
        <v/>
      </c>
      <c r="V9" s="10">
        <f>IF(G9="","",SUMIFS(回款核销!$H:$H,回款核销!$C:$C,G9)+SUMIFS(回款核销!$H:$H,回款核销!$B:$B,D9,回款核销!$C:$C,""))</f>
        <v/>
      </c>
      <c r="W9" s="10">
        <f>IF(Q9="","",MAX(0,Q9-V9))</f>
        <v/>
      </c>
      <c r="X9" s="9" t="n"/>
      <c r="Y9" s="10">
        <f>IF(OR(N9="",X9=""),"",N9*X9)</f>
        <v/>
      </c>
      <c r="Z9" s="10">
        <f>IF(OR(Q9="",Y9=""),"",Q9-Y9)</f>
        <v/>
      </c>
      <c r="AA9" s="9" t="n"/>
      <c r="AB9" s="9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10">
        <f>IF(OR(N10="",P10=""),"",N10*P10)</f>
        <v/>
      </c>
      <c r="R10" s="9" t="n"/>
      <c r="S10" s="9" t="n"/>
      <c r="T10" s="9" t="n"/>
      <c r="U10" s="9">
        <f>IF(Q10="","",IF(W10=0,"已付款PAID",IF(V10&gt;0,"部分核销","未付款N/P")))</f>
        <v/>
      </c>
      <c r="V10" s="10">
        <f>IF(G10="","",SUMIFS(回款核销!$H:$H,回款核销!$C:$C,G10)+SUMIFS(回款核销!$H:$H,回款核销!$B:$B,D10,回款核销!$C:$C,""))</f>
        <v/>
      </c>
      <c r="W10" s="10">
        <f>IF(Q10="","",MAX(0,Q10-V10))</f>
        <v/>
      </c>
      <c r="X10" s="9" t="n"/>
      <c r="Y10" s="10">
        <f>IF(OR(N10="",X10=""),"",N10*X10)</f>
        <v/>
      </c>
      <c r="Z10" s="10">
        <f>IF(OR(Q10="",Y10=""),"",Q10-Y10)</f>
        <v/>
      </c>
      <c r="AA10" s="9" t="n"/>
      <c r="AB10" s="9" t="n"/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10">
        <f>IF(OR(N11="",P11=""),"",N11*P11)</f>
        <v/>
      </c>
      <c r="R11" s="9" t="n"/>
      <c r="S11" s="9" t="n"/>
      <c r="T11" s="9" t="n"/>
      <c r="U11" s="9">
        <f>IF(Q11="","",IF(W11=0,"已付款PAID",IF(V11&gt;0,"部分核销","未付款N/P")))</f>
        <v/>
      </c>
      <c r="V11" s="10">
        <f>IF(G11="","",SUMIFS(回款核销!$H:$H,回款核销!$C:$C,G11)+SUMIFS(回款核销!$H:$H,回款核销!$B:$B,D11,回款核销!$C:$C,""))</f>
        <v/>
      </c>
      <c r="W11" s="10">
        <f>IF(Q11="","",MAX(0,Q11-V11))</f>
        <v/>
      </c>
      <c r="X11" s="9" t="n"/>
      <c r="Y11" s="10">
        <f>IF(OR(N11="",X11=""),"",N11*X11)</f>
        <v/>
      </c>
      <c r="Z11" s="10">
        <f>IF(OR(Q11="",Y11=""),"",Q11-Y11)</f>
        <v/>
      </c>
      <c r="AA11" s="9" t="n"/>
      <c r="AB11" s="9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10">
        <f>IF(OR(N12="",P12=""),"",N12*P12)</f>
        <v/>
      </c>
      <c r="R12" s="9" t="n"/>
      <c r="S12" s="9" t="n"/>
      <c r="T12" s="9" t="n"/>
      <c r="U12" s="9">
        <f>IF(Q12="","",IF(W12=0,"已付款PAID",IF(V12&gt;0,"部分核销","未付款N/P")))</f>
        <v/>
      </c>
      <c r="V12" s="10">
        <f>IF(G12="","",SUMIFS(回款核销!$H:$H,回款核销!$C:$C,G12)+SUMIFS(回款核销!$H:$H,回款核销!$B:$B,D12,回款核销!$C:$C,""))</f>
        <v/>
      </c>
      <c r="W12" s="10">
        <f>IF(Q12="","",MAX(0,Q12-V12))</f>
        <v/>
      </c>
      <c r="X12" s="9" t="n"/>
      <c r="Y12" s="10">
        <f>IF(OR(N12="",X12=""),"",N12*X12)</f>
        <v/>
      </c>
      <c r="Z12" s="10">
        <f>IF(OR(Q12="",Y12=""),"",Q12-Y12)</f>
        <v/>
      </c>
      <c r="AA12" s="9" t="n"/>
      <c r="AB12" s="9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10">
        <f>IF(OR(N13="",P13=""),"",N13*P13)</f>
        <v/>
      </c>
      <c r="R13" s="9" t="n"/>
      <c r="S13" s="9" t="n"/>
      <c r="T13" s="9" t="n"/>
      <c r="U13" s="9">
        <f>IF(Q13="","",IF(W13=0,"已付款PAID",IF(V13&gt;0,"部分核销","未付款N/P")))</f>
        <v/>
      </c>
      <c r="V13" s="10">
        <f>IF(G13="","",SUMIFS(回款核销!$H:$H,回款核销!$C:$C,G13)+SUMIFS(回款核销!$H:$H,回款核销!$B:$B,D13,回款核销!$C:$C,""))</f>
        <v/>
      </c>
      <c r="W13" s="10">
        <f>IF(Q13="","",MAX(0,Q13-V13))</f>
        <v/>
      </c>
      <c r="X13" s="9" t="n"/>
      <c r="Y13" s="10">
        <f>IF(OR(N13="",X13=""),"",N13*X13)</f>
        <v/>
      </c>
      <c r="Z13" s="10">
        <f>IF(OR(Q13="",Y13=""),"",Q13-Y13)</f>
        <v/>
      </c>
      <c r="AA13" s="9" t="n"/>
      <c r="AB13" s="9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10">
        <f>IF(OR(N14="",P14=""),"",N14*P14)</f>
        <v/>
      </c>
      <c r="R14" s="9" t="n"/>
      <c r="S14" s="9" t="n"/>
      <c r="T14" s="9" t="n"/>
      <c r="U14" s="9">
        <f>IF(Q14="","",IF(W14=0,"已付款PAID",IF(V14&gt;0,"部分核销","未付款N/P")))</f>
        <v/>
      </c>
      <c r="V14" s="10">
        <f>IF(G14="","",SUMIFS(回款核销!$H:$H,回款核销!$C:$C,G14)+SUMIFS(回款核销!$H:$H,回款核销!$B:$B,D14,回款核销!$C:$C,""))</f>
        <v/>
      </c>
      <c r="W14" s="10">
        <f>IF(Q14="","",MAX(0,Q14-V14))</f>
        <v/>
      </c>
      <c r="X14" s="9" t="n"/>
      <c r="Y14" s="10">
        <f>IF(OR(N14="",X14=""),"",N14*X14)</f>
        <v/>
      </c>
      <c r="Z14" s="10">
        <f>IF(OR(Q14="",Y14=""),"",Q14-Y14)</f>
        <v/>
      </c>
      <c r="AA14" s="9" t="n"/>
      <c r="AB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10">
        <f>IF(OR(N15="",P15=""),"",N15*P15)</f>
        <v/>
      </c>
      <c r="R15" s="9" t="n"/>
      <c r="S15" s="9" t="n"/>
      <c r="T15" s="9" t="n"/>
      <c r="U15" s="9">
        <f>IF(Q15="","",IF(W15=0,"已付款PAID",IF(V15&gt;0,"部分核销","未付款N/P")))</f>
        <v/>
      </c>
      <c r="V15" s="10">
        <f>IF(G15="","",SUMIFS(回款核销!$H:$H,回款核销!$C:$C,G15)+SUMIFS(回款核销!$H:$H,回款核销!$B:$B,D15,回款核销!$C:$C,""))</f>
        <v/>
      </c>
      <c r="W15" s="10">
        <f>IF(Q15="","",MAX(0,Q15-V15))</f>
        <v/>
      </c>
      <c r="X15" s="9" t="n"/>
      <c r="Y15" s="10">
        <f>IF(OR(N15="",X15=""),"",N15*X15)</f>
        <v/>
      </c>
      <c r="Z15" s="10">
        <f>IF(OR(Q15="",Y15=""),"",Q15-Y15)</f>
        <v/>
      </c>
      <c r="AA15" s="9" t="n"/>
      <c r="AB15" s="9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10">
        <f>IF(OR(N16="",P16=""),"",N16*P16)</f>
        <v/>
      </c>
      <c r="R16" s="9" t="n"/>
      <c r="S16" s="9" t="n"/>
      <c r="T16" s="9" t="n"/>
      <c r="U16" s="9">
        <f>IF(Q16="","",IF(W16=0,"已付款PAID",IF(V16&gt;0,"部分核销","未付款N/P")))</f>
        <v/>
      </c>
      <c r="V16" s="10">
        <f>IF(G16="","",SUMIFS(回款核销!$H:$H,回款核销!$C:$C,G16)+SUMIFS(回款核销!$H:$H,回款核销!$B:$B,D16,回款核销!$C:$C,""))</f>
        <v/>
      </c>
      <c r="W16" s="10">
        <f>IF(Q16="","",MAX(0,Q16-V16))</f>
        <v/>
      </c>
      <c r="X16" s="9" t="n"/>
      <c r="Y16" s="10">
        <f>IF(OR(N16="",X16=""),"",N16*X16)</f>
        <v/>
      </c>
      <c r="Z16" s="10">
        <f>IF(OR(Q16="",Y16=""),"",Q16-Y16)</f>
        <v/>
      </c>
      <c r="AA16" s="9" t="n"/>
      <c r="AB16" s="9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10">
        <f>IF(OR(N17="",P17=""),"",N17*P17)</f>
        <v/>
      </c>
      <c r="R17" s="9" t="n"/>
      <c r="S17" s="9" t="n"/>
      <c r="T17" s="9" t="n"/>
      <c r="U17" s="9">
        <f>IF(Q17="","",IF(W17=0,"已付款PAID",IF(V17&gt;0,"部分核销","未付款N/P")))</f>
        <v/>
      </c>
      <c r="V17" s="10">
        <f>IF(G17="","",SUMIFS(回款核销!$H:$H,回款核销!$C:$C,G17)+SUMIFS(回款核销!$H:$H,回款核销!$B:$B,D17,回款核销!$C:$C,""))</f>
        <v/>
      </c>
      <c r="W17" s="10">
        <f>IF(Q17="","",MAX(0,Q17-V17))</f>
        <v/>
      </c>
      <c r="X17" s="9" t="n"/>
      <c r="Y17" s="10">
        <f>IF(OR(N17="",X17=""),"",N17*X17)</f>
        <v/>
      </c>
      <c r="Z17" s="10">
        <f>IF(OR(Q17="",Y17=""),"",Q17-Y17)</f>
        <v/>
      </c>
      <c r="AA17" s="9" t="n"/>
      <c r="AB17" s="9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10">
        <f>IF(OR(N18="",P18=""),"",N18*P18)</f>
        <v/>
      </c>
      <c r="R18" s="9" t="n"/>
      <c r="S18" s="9" t="n"/>
      <c r="T18" s="9" t="n"/>
      <c r="U18" s="9">
        <f>IF(Q18="","",IF(W18=0,"已付款PAID",IF(V18&gt;0,"部分核销","未付款N/P")))</f>
        <v/>
      </c>
      <c r="V18" s="10">
        <f>IF(G18="","",SUMIFS(回款核销!$H:$H,回款核销!$C:$C,G18)+SUMIFS(回款核销!$H:$H,回款核销!$B:$B,D18,回款核销!$C:$C,""))</f>
        <v/>
      </c>
      <c r="W18" s="10">
        <f>IF(Q18="","",MAX(0,Q18-V18))</f>
        <v/>
      </c>
      <c r="X18" s="9" t="n"/>
      <c r="Y18" s="10">
        <f>IF(OR(N18="",X18=""),"",N18*X18)</f>
        <v/>
      </c>
      <c r="Z18" s="10">
        <f>IF(OR(Q18="",Y18=""),"",Q18-Y18)</f>
        <v/>
      </c>
      <c r="AA18" s="9" t="n"/>
      <c r="AB18" s="9" t="n"/>
    </row>
    <row r="19" ht="2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10">
        <f>IF(OR(N19="",P19=""),"",N19*P19)</f>
        <v/>
      </c>
      <c r="R19" s="9" t="n"/>
      <c r="S19" s="9" t="n"/>
      <c r="T19" s="9" t="n"/>
      <c r="U19" s="9">
        <f>IF(Q19="","",IF(W19=0,"已付款PAID",IF(V19&gt;0,"部分核销","未付款N/P")))</f>
        <v/>
      </c>
      <c r="V19" s="10">
        <f>IF(G19="","",SUMIFS(回款核销!$H:$H,回款核销!$C:$C,G19)+SUMIFS(回款核销!$H:$H,回款核销!$B:$B,D19,回款核销!$C:$C,""))</f>
        <v/>
      </c>
      <c r="W19" s="10">
        <f>IF(Q19="","",MAX(0,Q19-V19))</f>
        <v/>
      </c>
      <c r="X19" s="9" t="n"/>
      <c r="Y19" s="10">
        <f>IF(OR(N19="",X19=""),"",N19*X19)</f>
        <v/>
      </c>
      <c r="Z19" s="10">
        <f>IF(OR(Q19="",Y19=""),"",Q19-Y19)</f>
        <v/>
      </c>
      <c r="AA19" s="9" t="n"/>
      <c r="AB19" s="9" t="n"/>
    </row>
    <row r="20" ht="2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10">
        <f>IF(OR(N20="",P20=""),"",N20*P20)</f>
        <v/>
      </c>
      <c r="R20" s="9" t="n"/>
      <c r="S20" s="9" t="n"/>
      <c r="T20" s="9" t="n"/>
      <c r="U20" s="9">
        <f>IF(Q20="","",IF(W20=0,"已付款PAID",IF(V20&gt;0,"部分核销","未付款N/P")))</f>
        <v/>
      </c>
      <c r="V20" s="10">
        <f>IF(G20="","",SUMIFS(回款核销!$H:$H,回款核销!$C:$C,G20)+SUMIFS(回款核销!$H:$H,回款核销!$B:$B,D20,回款核销!$C:$C,""))</f>
        <v/>
      </c>
      <c r="W20" s="10">
        <f>IF(Q20="","",MAX(0,Q20-V20))</f>
        <v/>
      </c>
      <c r="X20" s="9" t="n"/>
      <c r="Y20" s="10">
        <f>IF(OR(N20="",X20=""),"",N20*X20)</f>
        <v/>
      </c>
      <c r="Z20" s="10">
        <f>IF(OR(Q20="",Y20=""),"",Q20-Y20)</f>
        <v/>
      </c>
      <c r="AA20" s="9" t="n"/>
      <c r="AB20" s="9" t="n"/>
    </row>
    <row r="21" ht="2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10">
        <f>IF(OR(N21="",P21=""),"",N21*P21)</f>
        <v/>
      </c>
      <c r="R21" s="9" t="n"/>
      <c r="S21" s="9" t="n"/>
      <c r="T21" s="9" t="n"/>
      <c r="U21" s="9">
        <f>IF(Q21="","",IF(W21=0,"已付款PAID",IF(V21&gt;0,"部分核销","未付款N/P")))</f>
        <v/>
      </c>
      <c r="V21" s="10">
        <f>IF(G21="","",SUMIFS(回款核销!$H:$H,回款核销!$C:$C,G21)+SUMIFS(回款核销!$H:$H,回款核销!$B:$B,D21,回款核销!$C:$C,""))</f>
        <v/>
      </c>
      <c r="W21" s="10">
        <f>IF(Q21="","",MAX(0,Q21-V21))</f>
        <v/>
      </c>
      <c r="X21" s="9" t="n"/>
      <c r="Y21" s="10">
        <f>IF(OR(N21="",X21=""),"",N21*X21)</f>
        <v/>
      </c>
      <c r="Z21" s="10">
        <f>IF(OR(Q21="",Y21=""),"",Q21-Y21)</f>
        <v/>
      </c>
      <c r="AA21" s="9" t="n"/>
      <c r="AB21" s="9" t="n"/>
    </row>
    <row r="22" ht="22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10">
        <f>IF(OR(N22="",P22=""),"",N22*P22)</f>
        <v/>
      </c>
      <c r="R22" s="9" t="n"/>
      <c r="S22" s="9" t="n"/>
      <c r="T22" s="9" t="n"/>
      <c r="U22" s="9">
        <f>IF(Q22="","",IF(W22=0,"已付款PAID",IF(V22&gt;0,"部分核销","未付款N/P")))</f>
        <v/>
      </c>
      <c r="V22" s="10">
        <f>IF(G22="","",SUMIFS(回款核销!$H:$H,回款核销!$C:$C,G22)+SUMIFS(回款核销!$H:$H,回款核销!$B:$B,D22,回款核销!$C:$C,""))</f>
        <v/>
      </c>
      <c r="W22" s="10">
        <f>IF(Q22="","",MAX(0,Q22-V22))</f>
        <v/>
      </c>
      <c r="X22" s="9" t="n"/>
      <c r="Y22" s="10">
        <f>IF(OR(N22="",X22=""),"",N22*X22)</f>
        <v/>
      </c>
      <c r="Z22" s="10">
        <f>IF(OR(Q22="",Y22=""),"",Q22-Y22)</f>
        <v/>
      </c>
      <c r="AA22" s="9" t="n"/>
      <c r="AB22" s="9" t="n"/>
    </row>
    <row r="23" ht="2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10">
        <f>IF(OR(N23="",P23=""),"",N23*P23)</f>
        <v/>
      </c>
      <c r="R23" s="9" t="n"/>
      <c r="S23" s="9" t="n"/>
      <c r="T23" s="9" t="n"/>
      <c r="U23" s="9">
        <f>IF(Q23="","",IF(W23=0,"已付款PAID",IF(V23&gt;0,"部分核销","未付款N/P")))</f>
        <v/>
      </c>
      <c r="V23" s="10">
        <f>IF(G23="","",SUMIFS(回款核销!$H:$H,回款核销!$C:$C,G23)+SUMIFS(回款核销!$H:$H,回款核销!$B:$B,D23,回款核销!$C:$C,""))</f>
        <v/>
      </c>
      <c r="W23" s="10">
        <f>IF(Q23="","",MAX(0,Q23-V23))</f>
        <v/>
      </c>
      <c r="X23" s="9" t="n"/>
      <c r="Y23" s="10">
        <f>IF(OR(N23="",X23=""),"",N23*X23)</f>
        <v/>
      </c>
      <c r="Z23" s="10">
        <f>IF(OR(Q23="",Y23=""),"",Q23-Y23)</f>
        <v/>
      </c>
      <c r="AA23" s="9" t="n"/>
      <c r="AB23" s="9" t="n"/>
    </row>
    <row r="24" ht="22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10">
        <f>IF(OR(N24="",P24=""),"",N24*P24)</f>
        <v/>
      </c>
      <c r="R24" s="9" t="n"/>
      <c r="S24" s="9" t="n"/>
      <c r="T24" s="9" t="n"/>
      <c r="U24" s="9">
        <f>IF(Q24="","",IF(W24=0,"已付款PAID",IF(V24&gt;0,"部分核销","未付款N/P")))</f>
        <v/>
      </c>
      <c r="V24" s="10">
        <f>IF(G24="","",SUMIFS(回款核销!$H:$H,回款核销!$C:$C,G24)+SUMIFS(回款核销!$H:$H,回款核销!$B:$B,D24,回款核销!$C:$C,""))</f>
        <v/>
      </c>
      <c r="W24" s="10">
        <f>IF(Q24="","",MAX(0,Q24-V24))</f>
        <v/>
      </c>
      <c r="X24" s="9" t="n"/>
      <c r="Y24" s="10">
        <f>IF(OR(N24="",X24=""),"",N24*X24)</f>
        <v/>
      </c>
      <c r="Z24" s="10">
        <f>IF(OR(Q24="",Y24=""),"",Q24-Y24)</f>
        <v/>
      </c>
      <c r="AA24" s="9" t="n"/>
      <c r="AB24" s="9" t="n"/>
    </row>
    <row r="25" ht="22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10">
        <f>IF(OR(N25="",P25=""),"",N25*P25)</f>
        <v/>
      </c>
      <c r="R25" s="9" t="n"/>
      <c r="S25" s="9" t="n"/>
      <c r="T25" s="9" t="n"/>
      <c r="U25" s="9">
        <f>IF(Q25="","",IF(W25=0,"已付款PAID",IF(V25&gt;0,"部分核销","未付款N/P")))</f>
        <v/>
      </c>
      <c r="V25" s="10">
        <f>IF(G25="","",SUMIFS(回款核销!$H:$H,回款核销!$C:$C,G25)+SUMIFS(回款核销!$H:$H,回款核销!$B:$B,D25,回款核销!$C:$C,""))</f>
        <v/>
      </c>
      <c r="W25" s="10">
        <f>IF(Q25="","",MAX(0,Q25-V25))</f>
        <v/>
      </c>
      <c r="X25" s="9" t="n"/>
      <c r="Y25" s="10">
        <f>IF(OR(N25="",X25=""),"",N25*X25)</f>
        <v/>
      </c>
      <c r="Z25" s="10">
        <f>IF(OR(Q25="",Y25=""),"",Q25-Y25)</f>
        <v/>
      </c>
      <c r="AA25" s="9" t="n"/>
      <c r="AB25" s="9" t="n"/>
    </row>
    <row r="26" ht="22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10">
        <f>IF(OR(N26="",P26=""),"",N26*P26)</f>
        <v/>
      </c>
      <c r="R26" s="9" t="n"/>
      <c r="S26" s="9" t="n"/>
      <c r="T26" s="9" t="n"/>
      <c r="U26" s="9">
        <f>IF(Q26="","",IF(W26=0,"已付款PAID",IF(V26&gt;0,"部分核销","未付款N/P")))</f>
        <v/>
      </c>
      <c r="V26" s="10">
        <f>IF(G26="","",SUMIFS(回款核销!$H:$H,回款核销!$C:$C,G26)+SUMIFS(回款核销!$H:$H,回款核销!$B:$B,D26,回款核销!$C:$C,""))</f>
        <v/>
      </c>
      <c r="W26" s="10">
        <f>IF(Q26="","",MAX(0,Q26-V26))</f>
        <v/>
      </c>
      <c r="X26" s="9" t="n"/>
      <c r="Y26" s="10">
        <f>IF(OR(N26="",X26=""),"",N26*X26)</f>
        <v/>
      </c>
      <c r="Z26" s="10">
        <f>IF(OR(Q26="",Y26=""),"",Q26-Y26)</f>
        <v/>
      </c>
      <c r="AA26" s="9" t="n"/>
      <c r="AB26" s="9" t="n"/>
    </row>
    <row r="27" ht="2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10">
        <f>IF(OR(N27="",P27=""),"",N27*P27)</f>
        <v/>
      </c>
      <c r="R27" s="9" t="n"/>
      <c r="S27" s="9" t="n"/>
      <c r="T27" s="9" t="n"/>
      <c r="U27" s="9">
        <f>IF(Q27="","",IF(W27=0,"已付款PAID",IF(V27&gt;0,"部分核销","未付款N/P")))</f>
        <v/>
      </c>
      <c r="V27" s="10">
        <f>IF(G27="","",SUMIFS(回款核销!$H:$H,回款核销!$C:$C,G27)+SUMIFS(回款核销!$H:$H,回款核销!$B:$B,D27,回款核销!$C:$C,""))</f>
        <v/>
      </c>
      <c r="W27" s="10">
        <f>IF(Q27="","",MAX(0,Q27-V27))</f>
        <v/>
      </c>
      <c r="X27" s="9" t="n"/>
      <c r="Y27" s="10">
        <f>IF(OR(N27="",X27=""),"",N27*X27)</f>
        <v/>
      </c>
      <c r="Z27" s="10">
        <f>IF(OR(Q27="",Y27=""),"",Q27-Y27)</f>
        <v/>
      </c>
      <c r="AA27" s="9" t="n"/>
      <c r="AB27" s="9" t="n"/>
    </row>
    <row r="28" ht="22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10">
        <f>IF(OR(N28="",P28=""),"",N28*P28)</f>
        <v/>
      </c>
      <c r="R28" s="9" t="n"/>
      <c r="S28" s="9" t="n"/>
      <c r="T28" s="9" t="n"/>
      <c r="U28" s="9">
        <f>IF(Q28="","",IF(W28=0,"已付款PAID",IF(V28&gt;0,"部分核销","未付款N/P")))</f>
        <v/>
      </c>
      <c r="V28" s="10">
        <f>IF(G28="","",SUMIFS(回款核销!$H:$H,回款核销!$C:$C,G28)+SUMIFS(回款核销!$H:$H,回款核销!$B:$B,D28,回款核销!$C:$C,""))</f>
        <v/>
      </c>
      <c r="W28" s="10">
        <f>IF(Q28="","",MAX(0,Q28-V28))</f>
        <v/>
      </c>
      <c r="X28" s="9" t="n"/>
      <c r="Y28" s="10">
        <f>IF(OR(N28="",X28=""),"",N28*X28)</f>
        <v/>
      </c>
      <c r="Z28" s="10">
        <f>IF(OR(Q28="",Y28=""),"",Q28-Y28)</f>
        <v/>
      </c>
      <c r="AA28" s="9" t="n"/>
      <c r="AB28" s="9" t="n"/>
    </row>
    <row r="29" ht="22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10">
        <f>IF(OR(N29="",P29=""),"",N29*P29)</f>
        <v/>
      </c>
      <c r="R29" s="9" t="n"/>
      <c r="S29" s="9" t="n"/>
      <c r="T29" s="9" t="n"/>
      <c r="U29" s="9">
        <f>IF(Q29="","",IF(W29=0,"已付款PAID",IF(V29&gt;0,"部分核销","未付款N/P")))</f>
        <v/>
      </c>
      <c r="V29" s="10">
        <f>IF(G29="","",SUMIFS(回款核销!$H:$H,回款核销!$C:$C,G29)+SUMIFS(回款核销!$H:$H,回款核销!$B:$B,D29,回款核销!$C:$C,""))</f>
        <v/>
      </c>
      <c r="W29" s="10">
        <f>IF(Q29="","",MAX(0,Q29-V29))</f>
        <v/>
      </c>
      <c r="X29" s="9" t="n"/>
      <c r="Y29" s="10">
        <f>IF(OR(N29="",X29=""),"",N29*X29)</f>
        <v/>
      </c>
      <c r="Z29" s="10">
        <f>IF(OR(Q29="",Y29=""),"",Q29-Y29)</f>
        <v/>
      </c>
      <c r="AA29" s="9" t="n"/>
      <c r="AB29" s="9" t="n"/>
    </row>
    <row r="30" ht="22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10">
        <f>IF(OR(N30="",P30=""),"",N30*P30)</f>
        <v/>
      </c>
      <c r="R30" s="9" t="n"/>
      <c r="S30" s="9" t="n"/>
      <c r="T30" s="9" t="n"/>
      <c r="U30" s="9">
        <f>IF(Q30="","",IF(W30=0,"已付款PAID",IF(V30&gt;0,"部分核销","未付款N/P")))</f>
        <v/>
      </c>
      <c r="V30" s="10">
        <f>IF(G30="","",SUMIFS(回款核销!$H:$H,回款核销!$C:$C,G30)+SUMIFS(回款核销!$H:$H,回款核销!$B:$B,D30,回款核销!$C:$C,""))</f>
        <v/>
      </c>
      <c r="W30" s="10">
        <f>IF(Q30="","",MAX(0,Q30-V30))</f>
        <v/>
      </c>
      <c r="X30" s="9" t="n"/>
      <c r="Y30" s="10">
        <f>IF(OR(N30="",X30=""),"",N30*X30)</f>
        <v/>
      </c>
      <c r="Z30" s="10">
        <f>IF(OR(Q30="",Y30=""),"",Q30-Y30)</f>
        <v/>
      </c>
      <c r="AA30" s="9" t="n"/>
      <c r="AB30" s="9" t="n"/>
    </row>
    <row r="31" ht="2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10">
        <f>IF(OR(N31="",P31=""),"",N31*P31)</f>
        <v/>
      </c>
      <c r="R31" s="9" t="n"/>
      <c r="S31" s="9" t="n"/>
      <c r="T31" s="9" t="n"/>
      <c r="U31" s="9">
        <f>IF(Q31="","",IF(W31=0,"已付款PAID",IF(V31&gt;0,"部分核销","未付款N/P")))</f>
        <v/>
      </c>
      <c r="V31" s="10">
        <f>IF(G31="","",SUMIFS(回款核销!$H:$H,回款核销!$C:$C,G31)+SUMIFS(回款核销!$H:$H,回款核销!$B:$B,D31,回款核销!$C:$C,""))</f>
        <v/>
      </c>
      <c r="W31" s="10">
        <f>IF(Q31="","",MAX(0,Q31-V31))</f>
        <v/>
      </c>
      <c r="X31" s="9" t="n"/>
      <c r="Y31" s="10">
        <f>IF(OR(N31="",X31=""),"",N31*X31)</f>
        <v/>
      </c>
      <c r="Z31" s="10">
        <f>IF(OR(Q31="",Y31=""),"",Q31-Y31)</f>
        <v/>
      </c>
      <c r="AA31" s="9" t="n"/>
      <c r="AB31" s="9" t="n"/>
    </row>
    <row r="32" ht="22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10">
        <f>IF(OR(N32="",P32=""),"",N32*P32)</f>
        <v/>
      </c>
      <c r="R32" s="9" t="n"/>
      <c r="S32" s="9" t="n"/>
      <c r="T32" s="9" t="n"/>
      <c r="U32" s="9">
        <f>IF(Q32="","",IF(W32=0,"已付款PAID",IF(V32&gt;0,"部分核销","未付款N/P")))</f>
        <v/>
      </c>
      <c r="V32" s="10">
        <f>IF(G32="","",SUMIFS(回款核销!$H:$H,回款核销!$C:$C,G32)+SUMIFS(回款核销!$H:$H,回款核销!$B:$B,D32,回款核销!$C:$C,""))</f>
        <v/>
      </c>
      <c r="W32" s="10">
        <f>IF(Q32="","",MAX(0,Q32-V32))</f>
        <v/>
      </c>
      <c r="X32" s="9" t="n"/>
      <c r="Y32" s="10">
        <f>IF(OR(N32="",X32=""),"",N32*X32)</f>
        <v/>
      </c>
      <c r="Z32" s="10">
        <f>IF(OR(Q32="",Y32=""),"",Q32-Y32)</f>
        <v/>
      </c>
      <c r="AA32" s="9" t="n"/>
      <c r="AB32" s="9" t="n"/>
    </row>
    <row r="33" ht="22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10">
        <f>IF(OR(N33="",P33=""),"",N33*P33)</f>
        <v/>
      </c>
      <c r="R33" s="9" t="n"/>
      <c r="S33" s="9" t="n"/>
      <c r="T33" s="9" t="n"/>
      <c r="U33" s="9">
        <f>IF(Q33="","",IF(W33=0,"已付款PAID",IF(V33&gt;0,"部分核销","未付款N/P")))</f>
        <v/>
      </c>
      <c r="V33" s="10">
        <f>IF(G33="","",SUMIFS(回款核销!$H:$H,回款核销!$C:$C,G33)+SUMIFS(回款核销!$H:$H,回款核销!$B:$B,D33,回款核销!$C:$C,""))</f>
        <v/>
      </c>
      <c r="W33" s="10">
        <f>IF(Q33="","",MAX(0,Q33-V33))</f>
        <v/>
      </c>
      <c r="X33" s="9" t="n"/>
      <c r="Y33" s="10">
        <f>IF(OR(N33="",X33=""),"",N33*X33)</f>
        <v/>
      </c>
      <c r="Z33" s="10">
        <f>IF(OR(Q33="",Y33=""),"",Q33-Y33)</f>
        <v/>
      </c>
      <c r="AA33" s="9" t="n"/>
      <c r="AB33" s="9" t="n"/>
    </row>
    <row r="34" ht="22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10">
        <f>IF(OR(N34="",P34=""),"",N34*P34)</f>
        <v/>
      </c>
      <c r="R34" s="9" t="n"/>
      <c r="S34" s="9" t="n"/>
      <c r="T34" s="9" t="n"/>
      <c r="U34" s="9">
        <f>IF(Q34="","",IF(W34=0,"已付款PAID",IF(V34&gt;0,"部分核销","未付款N/P")))</f>
        <v/>
      </c>
      <c r="V34" s="10">
        <f>IF(G34="","",SUMIFS(回款核销!$H:$H,回款核销!$C:$C,G34)+SUMIFS(回款核销!$H:$H,回款核销!$B:$B,D34,回款核销!$C:$C,""))</f>
        <v/>
      </c>
      <c r="W34" s="10">
        <f>IF(Q34="","",MAX(0,Q34-V34))</f>
        <v/>
      </c>
      <c r="X34" s="9" t="n"/>
      <c r="Y34" s="10">
        <f>IF(OR(N34="",X34=""),"",N34*X34)</f>
        <v/>
      </c>
      <c r="Z34" s="10">
        <f>IF(OR(Q34="",Y34=""),"",Q34-Y34)</f>
        <v/>
      </c>
      <c r="AA34" s="9" t="n"/>
      <c r="AB34" s="9" t="n"/>
    </row>
    <row r="35" ht="22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10">
        <f>IF(OR(N35="",P35=""),"",N35*P35)</f>
        <v/>
      </c>
      <c r="R35" s="9" t="n"/>
      <c r="S35" s="9" t="n"/>
      <c r="T35" s="9" t="n"/>
      <c r="U35" s="9">
        <f>IF(Q35="","",IF(W35=0,"已付款PAID",IF(V35&gt;0,"部分核销","未付款N/P")))</f>
        <v/>
      </c>
      <c r="V35" s="10">
        <f>IF(G35="","",SUMIFS(回款核销!$H:$H,回款核销!$C:$C,G35)+SUMIFS(回款核销!$H:$H,回款核销!$B:$B,D35,回款核销!$C:$C,""))</f>
        <v/>
      </c>
      <c r="W35" s="10">
        <f>IF(Q35="","",MAX(0,Q35-V35))</f>
        <v/>
      </c>
      <c r="X35" s="9" t="n"/>
      <c r="Y35" s="10">
        <f>IF(OR(N35="",X35=""),"",N35*X35)</f>
        <v/>
      </c>
      <c r="Z35" s="10">
        <f>IF(OR(Q35="",Y35=""),"",Q35-Y35)</f>
        <v/>
      </c>
      <c r="AA35" s="9" t="n"/>
      <c r="AB35" s="9" t="n"/>
    </row>
    <row r="36" ht="22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10">
        <f>IF(OR(N36="",P36=""),"",N36*P36)</f>
        <v/>
      </c>
      <c r="R36" s="9" t="n"/>
      <c r="S36" s="9" t="n"/>
      <c r="T36" s="9" t="n"/>
      <c r="U36" s="9">
        <f>IF(Q36="","",IF(W36=0,"已付款PAID",IF(V36&gt;0,"部分核销","未付款N/P")))</f>
        <v/>
      </c>
      <c r="V36" s="10">
        <f>IF(G36="","",SUMIFS(回款核销!$H:$H,回款核销!$C:$C,G36)+SUMIFS(回款核销!$H:$H,回款核销!$B:$B,D36,回款核销!$C:$C,""))</f>
        <v/>
      </c>
      <c r="W36" s="10">
        <f>IF(Q36="","",MAX(0,Q36-V36))</f>
        <v/>
      </c>
      <c r="X36" s="9" t="n"/>
      <c r="Y36" s="10">
        <f>IF(OR(N36="",X36=""),"",N36*X36)</f>
        <v/>
      </c>
      <c r="Z36" s="10">
        <f>IF(OR(Q36="",Y36=""),"",Q36-Y36)</f>
        <v/>
      </c>
      <c r="AA36" s="9" t="n"/>
      <c r="AB36" s="9" t="n"/>
    </row>
    <row r="37" ht="22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10">
        <f>IF(OR(N37="",P37=""),"",N37*P37)</f>
        <v/>
      </c>
      <c r="R37" s="9" t="n"/>
      <c r="S37" s="9" t="n"/>
      <c r="T37" s="9" t="n"/>
      <c r="U37" s="9">
        <f>IF(Q37="","",IF(W37=0,"已付款PAID",IF(V37&gt;0,"部分核销","未付款N/P")))</f>
        <v/>
      </c>
      <c r="V37" s="10">
        <f>IF(G37="","",SUMIFS(回款核销!$H:$H,回款核销!$C:$C,G37)+SUMIFS(回款核销!$H:$H,回款核销!$B:$B,D37,回款核销!$C:$C,""))</f>
        <v/>
      </c>
      <c r="W37" s="10">
        <f>IF(Q37="","",MAX(0,Q37-V37))</f>
        <v/>
      </c>
      <c r="X37" s="9" t="n"/>
      <c r="Y37" s="10">
        <f>IF(OR(N37="",X37=""),"",N37*X37)</f>
        <v/>
      </c>
      <c r="Z37" s="10">
        <f>IF(OR(Q37="",Y37=""),"",Q37-Y37)</f>
        <v/>
      </c>
      <c r="AA37" s="9" t="n"/>
      <c r="AB37" s="9" t="n"/>
    </row>
    <row r="38" ht="22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10">
        <f>IF(OR(N38="",P38=""),"",N38*P38)</f>
        <v/>
      </c>
      <c r="R38" s="9" t="n"/>
      <c r="S38" s="9" t="n"/>
      <c r="T38" s="9" t="n"/>
      <c r="U38" s="9">
        <f>IF(Q38="","",IF(W38=0,"已付款PAID",IF(V38&gt;0,"部分核销","未付款N/P")))</f>
        <v/>
      </c>
      <c r="V38" s="10">
        <f>IF(G38="","",SUMIFS(回款核销!$H:$H,回款核销!$C:$C,G38)+SUMIFS(回款核销!$H:$H,回款核销!$B:$B,D38,回款核销!$C:$C,""))</f>
        <v/>
      </c>
      <c r="W38" s="10">
        <f>IF(Q38="","",MAX(0,Q38-V38))</f>
        <v/>
      </c>
      <c r="X38" s="9" t="n"/>
      <c r="Y38" s="10">
        <f>IF(OR(N38="",X38=""),"",N38*X38)</f>
        <v/>
      </c>
      <c r="Z38" s="10">
        <f>IF(OR(Q38="",Y38=""),"",Q38-Y38)</f>
        <v/>
      </c>
      <c r="AA38" s="9" t="n"/>
      <c r="AB38" s="9" t="n"/>
    </row>
    <row r="39" ht="22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10">
        <f>IF(OR(N39="",P39=""),"",N39*P39)</f>
        <v/>
      </c>
      <c r="R39" s="9" t="n"/>
      <c r="S39" s="9" t="n"/>
      <c r="T39" s="9" t="n"/>
      <c r="U39" s="9">
        <f>IF(Q39="","",IF(W39=0,"已付款PAID",IF(V39&gt;0,"部分核销","未付款N/P")))</f>
        <v/>
      </c>
      <c r="V39" s="10">
        <f>IF(G39="","",SUMIFS(回款核销!$H:$H,回款核销!$C:$C,G39)+SUMIFS(回款核销!$H:$H,回款核销!$B:$B,D39,回款核销!$C:$C,""))</f>
        <v/>
      </c>
      <c r="W39" s="10">
        <f>IF(Q39="","",MAX(0,Q39-V39))</f>
        <v/>
      </c>
      <c r="X39" s="9" t="n"/>
      <c r="Y39" s="10">
        <f>IF(OR(N39="",X39=""),"",N39*X39)</f>
        <v/>
      </c>
      <c r="Z39" s="10">
        <f>IF(OR(Q39="",Y39=""),"",Q39-Y39)</f>
        <v/>
      </c>
      <c r="AA39" s="9" t="n"/>
      <c r="AB39" s="9" t="n"/>
    </row>
    <row r="40" ht="22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10">
        <f>IF(OR(N40="",P40=""),"",N40*P40)</f>
        <v/>
      </c>
      <c r="R40" s="9" t="n"/>
      <c r="S40" s="9" t="n"/>
      <c r="T40" s="9" t="n"/>
      <c r="U40" s="9">
        <f>IF(Q40="","",IF(W40=0,"已付款PAID",IF(V40&gt;0,"部分核销","未付款N/P")))</f>
        <v/>
      </c>
      <c r="V40" s="10">
        <f>IF(G40="","",SUMIFS(回款核销!$H:$H,回款核销!$C:$C,G40)+SUMIFS(回款核销!$H:$H,回款核销!$B:$B,D40,回款核销!$C:$C,""))</f>
        <v/>
      </c>
      <c r="W40" s="10">
        <f>IF(Q40="","",MAX(0,Q40-V40))</f>
        <v/>
      </c>
      <c r="X40" s="9" t="n"/>
      <c r="Y40" s="10">
        <f>IF(OR(N40="",X40=""),"",N40*X40)</f>
        <v/>
      </c>
      <c r="Z40" s="10">
        <f>IF(OR(Q40="",Y40=""),"",Q40-Y40)</f>
        <v/>
      </c>
      <c r="AA40" s="9" t="n"/>
      <c r="AB40" s="9" t="n"/>
    </row>
    <row r="41" ht="22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10">
        <f>IF(OR(N41="",P41=""),"",N41*P41)</f>
        <v/>
      </c>
      <c r="R41" s="9" t="n"/>
      <c r="S41" s="9" t="n"/>
      <c r="T41" s="9" t="n"/>
      <c r="U41" s="9">
        <f>IF(Q41="","",IF(W41=0,"已付款PAID",IF(V41&gt;0,"部分核销","未付款N/P")))</f>
        <v/>
      </c>
      <c r="V41" s="10">
        <f>IF(G41="","",SUMIFS(回款核销!$H:$H,回款核销!$C:$C,G41)+SUMIFS(回款核销!$H:$H,回款核销!$B:$B,D41,回款核销!$C:$C,""))</f>
        <v/>
      </c>
      <c r="W41" s="10">
        <f>IF(Q41="","",MAX(0,Q41-V41))</f>
        <v/>
      </c>
      <c r="X41" s="9" t="n"/>
      <c r="Y41" s="10">
        <f>IF(OR(N41="",X41=""),"",N41*X41)</f>
        <v/>
      </c>
      <c r="Z41" s="10">
        <f>IF(OR(Q41="",Y41=""),"",Q41-Y41)</f>
        <v/>
      </c>
      <c r="AA41" s="9" t="n"/>
      <c r="AB41" s="9" t="n"/>
    </row>
    <row r="42" ht="22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10">
        <f>IF(OR(N42="",P42=""),"",N42*P42)</f>
        <v/>
      </c>
      <c r="R42" s="9" t="n"/>
      <c r="S42" s="9" t="n"/>
      <c r="T42" s="9" t="n"/>
      <c r="U42" s="9">
        <f>IF(Q42="","",IF(W42=0,"已付款PAID",IF(V42&gt;0,"部分核销","未付款N/P")))</f>
        <v/>
      </c>
      <c r="V42" s="10">
        <f>IF(G42="","",SUMIFS(回款核销!$H:$H,回款核销!$C:$C,G42)+SUMIFS(回款核销!$H:$H,回款核销!$B:$B,D42,回款核销!$C:$C,""))</f>
        <v/>
      </c>
      <c r="W42" s="10">
        <f>IF(Q42="","",MAX(0,Q42-V42))</f>
        <v/>
      </c>
      <c r="X42" s="9" t="n"/>
      <c r="Y42" s="10">
        <f>IF(OR(N42="",X42=""),"",N42*X42)</f>
        <v/>
      </c>
      <c r="Z42" s="10">
        <f>IF(OR(Q42="",Y42=""),"",Q42-Y42)</f>
        <v/>
      </c>
      <c r="AA42" s="9" t="n"/>
      <c r="AB42" s="9" t="n"/>
    </row>
    <row r="43" ht="22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10">
        <f>IF(OR(N43="",P43=""),"",N43*P43)</f>
        <v/>
      </c>
      <c r="R43" s="9" t="n"/>
      <c r="S43" s="9" t="n"/>
      <c r="T43" s="9" t="n"/>
      <c r="U43" s="9">
        <f>IF(Q43="","",IF(W43=0,"已付款PAID",IF(V43&gt;0,"部分核销","未付款N/P")))</f>
        <v/>
      </c>
      <c r="V43" s="10">
        <f>IF(G43="","",SUMIFS(回款核销!$H:$H,回款核销!$C:$C,G43)+SUMIFS(回款核销!$H:$H,回款核销!$B:$B,D43,回款核销!$C:$C,""))</f>
        <v/>
      </c>
      <c r="W43" s="10">
        <f>IF(Q43="","",MAX(0,Q43-V43))</f>
        <v/>
      </c>
      <c r="X43" s="9" t="n"/>
      <c r="Y43" s="10">
        <f>IF(OR(N43="",X43=""),"",N43*X43)</f>
        <v/>
      </c>
      <c r="Z43" s="10">
        <f>IF(OR(Q43="",Y43=""),"",Q43-Y43)</f>
        <v/>
      </c>
      <c r="AA43" s="9" t="n"/>
      <c r="AB43" s="9" t="n"/>
    </row>
    <row r="44" ht="22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10">
        <f>IF(OR(N44="",P44=""),"",N44*P44)</f>
        <v/>
      </c>
      <c r="R44" s="9" t="n"/>
      <c r="S44" s="9" t="n"/>
      <c r="T44" s="9" t="n"/>
      <c r="U44" s="9">
        <f>IF(Q44="","",IF(W44=0,"已付款PAID",IF(V44&gt;0,"部分核销","未付款N/P")))</f>
        <v/>
      </c>
      <c r="V44" s="10">
        <f>IF(G44="","",SUMIFS(回款核销!$H:$H,回款核销!$C:$C,G44)+SUMIFS(回款核销!$H:$H,回款核销!$B:$B,D44,回款核销!$C:$C,""))</f>
        <v/>
      </c>
      <c r="W44" s="10">
        <f>IF(Q44="","",MAX(0,Q44-V44))</f>
        <v/>
      </c>
      <c r="X44" s="9" t="n"/>
      <c r="Y44" s="10">
        <f>IF(OR(N44="",X44=""),"",N44*X44)</f>
        <v/>
      </c>
      <c r="Z44" s="10">
        <f>IF(OR(Q44="",Y44=""),"",Q44-Y44)</f>
        <v/>
      </c>
      <c r="AA44" s="9" t="n"/>
      <c r="AB44" s="9" t="n"/>
    </row>
    <row r="45" ht="22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10">
        <f>IF(OR(N45="",P45=""),"",N45*P45)</f>
        <v/>
      </c>
      <c r="R45" s="9" t="n"/>
      <c r="S45" s="9" t="n"/>
      <c r="T45" s="9" t="n"/>
      <c r="U45" s="9">
        <f>IF(Q45="","",IF(W45=0,"已付款PAID",IF(V45&gt;0,"部分核销","未付款N/P")))</f>
        <v/>
      </c>
      <c r="V45" s="10">
        <f>IF(G45="","",SUMIFS(回款核销!$H:$H,回款核销!$C:$C,G45)+SUMIFS(回款核销!$H:$H,回款核销!$B:$B,D45,回款核销!$C:$C,""))</f>
        <v/>
      </c>
      <c r="W45" s="10">
        <f>IF(Q45="","",MAX(0,Q45-V45))</f>
        <v/>
      </c>
      <c r="X45" s="9" t="n"/>
      <c r="Y45" s="10">
        <f>IF(OR(N45="",X45=""),"",N45*X45)</f>
        <v/>
      </c>
      <c r="Z45" s="10">
        <f>IF(OR(Q45="",Y45=""),"",Q45-Y45)</f>
        <v/>
      </c>
      <c r="AA45" s="9" t="n"/>
      <c r="AB45" s="9" t="n"/>
    </row>
    <row r="46" ht="22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10">
        <f>IF(OR(N46="",P46=""),"",N46*P46)</f>
        <v/>
      </c>
      <c r="R46" s="9" t="n"/>
      <c r="S46" s="9" t="n"/>
      <c r="T46" s="9" t="n"/>
      <c r="U46" s="9">
        <f>IF(Q46="","",IF(W46=0,"已付款PAID",IF(V46&gt;0,"部分核销","未付款N/P")))</f>
        <v/>
      </c>
      <c r="V46" s="10">
        <f>IF(G46="","",SUMIFS(回款核销!$H:$H,回款核销!$C:$C,G46)+SUMIFS(回款核销!$H:$H,回款核销!$B:$B,D46,回款核销!$C:$C,""))</f>
        <v/>
      </c>
      <c r="W46" s="10">
        <f>IF(Q46="","",MAX(0,Q46-V46))</f>
        <v/>
      </c>
      <c r="X46" s="9" t="n"/>
      <c r="Y46" s="10">
        <f>IF(OR(N46="",X46=""),"",N46*X46)</f>
        <v/>
      </c>
      <c r="Z46" s="10">
        <f>IF(OR(Q46="",Y46=""),"",Q46-Y46)</f>
        <v/>
      </c>
      <c r="AA46" s="9" t="n"/>
      <c r="AB46" s="9" t="n"/>
    </row>
    <row r="47" ht="22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10">
        <f>IF(OR(N47="",P47=""),"",N47*P47)</f>
        <v/>
      </c>
      <c r="R47" s="9" t="n"/>
      <c r="S47" s="9" t="n"/>
      <c r="T47" s="9" t="n"/>
      <c r="U47" s="9">
        <f>IF(Q47="","",IF(W47=0,"已付款PAID",IF(V47&gt;0,"部分核销","未付款N/P")))</f>
        <v/>
      </c>
      <c r="V47" s="10">
        <f>IF(G47="","",SUMIFS(回款核销!$H:$H,回款核销!$C:$C,G47)+SUMIFS(回款核销!$H:$H,回款核销!$B:$B,D47,回款核销!$C:$C,""))</f>
        <v/>
      </c>
      <c r="W47" s="10">
        <f>IF(Q47="","",MAX(0,Q47-V47))</f>
        <v/>
      </c>
      <c r="X47" s="9" t="n"/>
      <c r="Y47" s="10">
        <f>IF(OR(N47="",X47=""),"",N47*X47)</f>
        <v/>
      </c>
      <c r="Z47" s="10">
        <f>IF(OR(Q47="",Y47=""),"",Q47-Y47)</f>
        <v/>
      </c>
      <c r="AA47" s="9" t="n"/>
      <c r="AB47" s="9" t="n"/>
    </row>
    <row r="48" ht="22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10">
        <f>IF(OR(N48="",P48=""),"",N48*P48)</f>
        <v/>
      </c>
      <c r="R48" s="9" t="n"/>
      <c r="S48" s="9" t="n"/>
      <c r="T48" s="9" t="n"/>
      <c r="U48" s="9">
        <f>IF(Q48="","",IF(W48=0,"已付款PAID",IF(V48&gt;0,"部分核销","未付款N/P")))</f>
        <v/>
      </c>
      <c r="V48" s="10">
        <f>IF(G48="","",SUMIFS(回款核销!$H:$H,回款核销!$C:$C,G48)+SUMIFS(回款核销!$H:$H,回款核销!$B:$B,D48,回款核销!$C:$C,""))</f>
        <v/>
      </c>
      <c r="W48" s="10">
        <f>IF(Q48="","",MAX(0,Q48-V48))</f>
        <v/>
      </c>
      <c r="X48" s="9" t="n"/>
      <c r="Y48" s="10">
        <f>IF(OR(N48="",X48=""),"",N48*X48)</f>
        <v/>
      </c>
      <c r="Z48" s="10">
        <f>IF(OR(Q48="",Y48=""),"",Q48-Y48)</f>
        <v/>
      </c>
      <c r="AA48" s="9" t="n"/>
      <c r="AB48" s="9" t="n"/>
    </row>
    <row r="49" ht="22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10">
        <f>IF(OR(N49="",P49=""),"",N49*P49)</f>
        <v/>
      </c>
      <c r="R49" s="9" t="n"/>
      <c r="S49" s="9" t="n"/>
      <c r="T49" s="9" t="n"/>
      <c r="U49" s="9">
        <f>IF(Q49="","",IF(W49=0,"已付款PAID",IF(V49&gt;0,"部分核销","未付款N/P")))</f>
        <v/>
      </c>
      <c r="V49" s="10">
        <f>IF(G49="","",SUMIFS(回款核销!$H:$H,回款核销!$C:$C,G49)+SUMIFS(回款核销!$H:$H,回款核销!$B:$B,D49,回款核销!$C:$C,""))</f>
        <v/>
      </c>
      <c r="W49" s="10">
        <f>IF(Q49="","",MAX(0,Q49-V49))</f>
        <v/>
      </c>
      <c r="X49" s="9" t="n"/>
      <c r="Y49" s="10">
        <f>IF(OR(N49="",X49=""),"",N49*X49)</f>
        <v/>
      </c>
      <c r="Z49" s="10">
        <f>IF(OR(Q49="",Y49=""),"",Q49-Y49)</f>
        <v/>
      </c>
      <c r="AA49" s="9" t="n"/>
      <c r="AB49" s="9" t="n"/>
    </row>
    <row r="50" ht="22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10">
        <f>IF(OR(N50="",P50=""),"",N50*P50)</f>
        <v/>
      </c>
      <c r="R50" s="9" t="n"/>
      <c r="S50" s="9" t="n"/>
      <c r="T50" s="9" t="n"/>
      <c r="U50" s="9">
        <f>IF(Q50="","",IF(W50=0,"已付款PAID",IF(V50&gt;0,"部分核销","未付款N/P")))</f>
        <v/>
      </c>
      <c r="V50" s="10">
        <f>IF(G50="","",SUMIFS(回款核销!$H:$H,回款核销!$C:$C,G50)+SUMIFS(回款核销!$H:$H,回款核销!$B:$B,D50,回款核销!$C:$C,""))</f>
        <v/>
      </c>
      <c r="W50" s="10">
        <f>IF(Q50="","",MAX(0,Q50-V50))</f>
        <v/>
      </c>
      <c r="X50" s="9" t="n"/>
      <c r="Y50" s="10">
        <f>IF(OR(N50="",X50=""),"",N50*X50)</f>
        <v/>
      </c>
      <c r="Z50" s="10">
        <f>IF(OR(Q50="",Y50=""),"",Q50-Y50)</f>
        <v/>
      </c>
      <c r="AA50" s="9" t="n"/>
      <c r="AB50" s="9" t="n"/>
    </row>
    <row r="51" ht="22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10">
        <f>IF(OR(N51="",P51=""),"",N51*P51)</f>
        <v/>
      </c>
      <c r="R51" s="9" t="n"/>
      <c r="S51" s="9" t="n"/>
      <c r="T51" s="9" t="n"/>
      <c r="U51" s="9">
        <f>IF(Q51="","",IF(W51=0,"已付款PAID",IF(V51&gt;0,"部分核销","未付款N/P")))</f>
        <v/>
      </c>
      <c r="V51" s="10">
        <f>IF(G51="","",SUMIFS(回款核销!$H:$H,回款核销!$C:$C,G51)+SUMIFS(回款核销!$H:$H,回款核销!$B:$B,D51,回款核销!$C:$C,""))</f>
        <v/>
      </c>
      <c r="W51" s="10">
        <f>IF(Q51="","",MAX(0,Q51-V51))</f>
        <v/>
      </c>
      <c r="X51" s="9" t="n"/>
      <c r="Y51" s="10">
        <f>IF(OR(N51="",X51=""),"",N51*X51)</f>
        <v/>
      </c>
      <c r="Z51" s="10">
        <f>IF(OR(Q51="",Y51=""),"",Q51-Y51)</f>
        <v/>
      </c>
      <c r="AA51" s="9" t="n"/>
      <c r="AB51" s="9" t="n"/>
    </row>
    <row r="52" ht="22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10">
        <f>IF(OR(N52="",P52=""),"",N52*P52)</f>
        <v/>
      </c>
      <c r="R52" s="9" t="n"/>
      <c r="S52" s="9" t="n"/>
      <c r="T52" s="9" t="n"/>
      <c r="U52" s="9">
        <f>IF(Q52="","",IF(W52=0,"已付款PAID",IF(V52&gt;0,"部分核销","未付款N/P")))</f>
        <v/>
      </c>
      <c r="V52" s="10">
        <f>IF(G52="","",SUMIFS(回款核销!$H:$H,回款核销!$C:$C,G52)+SUMIFS(回款核销!$H:$H,回款核销!$B:$B,D52,回款核销!$C:$C,""))</f>
        <v/>
      </c>
      <c r="W52" s="10">
        <f>IF(Q52="","",MAX(0,Q52-V52))</f>
        <v/>
      </c>
      <c r="X52" s="9" t="n"/>
      <c r="Y52" s="10">
        <f>IF(OR(N52="",X52=""),"",N52*X52)</f>
        <v/>
      </c>
      <c r="Z52" s="10">
        <f>IF(OR(Q52="",Y52=""),"",Q52-Y52)</f>
        <v/>
      </c>
      <c r="AA52" s="9" t="n"/>
      <c r="AB52" s="9" t="n"/>
    </row>
    <row r="53" ht="22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10">
        <f>IF(OR(N53="",P53=""),"",N53*P53)</f>
        <v/>
      </c>
      <c r="R53" s="9" t="n"/>
      <c r="S53" s="9" t="n"/>
      <c r="T53" s="9" t="n"/>
      <c r="U53" s="9">
        <f>IF(Q53="","",IF(W53=0,"已付款PAID",IF(V53&gt;0,"部分核销","未付款N/P")))</f>
        <v/>
      </c>
      <c r="V53" s="10">
        <f>IF(G53="","",SUMIFS(回款核销!$H:$H,回款核销!$C:$C,G53)+SUMIFS(回款核销!$H:$H,回款核销!$B:$B,D53,回款核销!$C:$C,""))</f>
        <v/>
      </c>
      <c r="W53" s="10">
        <f>IF(Q53="","",MAX(0,Q53-V53))</f>
        <v/>
      </c>
      <c r="X53" s="9" t="n"/>
      <c r="Y53" s="10">
        <f>IF(OR(N53="",X53=""),"",N53*X53)</f>
        <v/>
      </c>
      <c r="Z53" s="10">
        <f>IF(OR(Q53="",Y53=""),"",Q53-Y53)</f>
        <v/>
      </c>
      <c r="AA53" s="9" t="n"/>
      <c r="AB53" s="9" t="n"/>
    </row>
    <row r="54" ht="22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10">
        <f>IF(OR(N54="",P54=""),"",N54*P54)</f>
        <v/>
      </c>
      <c r="R54" s="9" t="n"/>
      <c r="S54" s="9" t="n"/>
      <c r="T54" s="9" t="n"/>
      <c r="U54" s="9">
        <f>IF(Q54="","",IF(W54=0,"已付款PAID",IF(V54&gt;0,"部分核销","未付款N/P")))</f>
        <v/>
      </c>
      <c r="V54" s="10">
        <f>IF(G54="","",SUMIFS(回款核销!$H:$H,回款核销!$C:$C,G54)+SUMIFS(回款核销!$H:$H,回款核销!$B:$B,D54,回款核销!$C:$C,""))</f>
        <v/>
      </c>
      <c r="W54" s="10">
        <f>IF(Q54="","",MAX(0,Q54-V54))</f>
        <v/>
      </c>
      <c r="X54" s="9" t="n"/>
      <c r="Y54" s="10">
        <f>IF(OR(N54="",X54=""),"",N54*X54)</f>
        <v/>
      </c>
      <c r="Z54" s="10">
        <f>IF(OR(Q54="",Y54=""),"",Q54-Y54)</f>
        <v/>
      </c>
      <c r="AA54" s="9" t="n"/>
      <c r="AB54" s="9" t="n"/>
    </row>
    <row r="55" ht="22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10">
        <f>IF(OR(N55="",P55=""),"",N55*P55)</f>
        <v/>
      </c>
      <c r="R55" s="9" t="n"/>
      <c r="S55" s="9" t="n"/>
      <c r="T55" s="9" t="n"/>
      <c r="U55" s="9">
        <f>IF(Q55="","",IF(W55=0,"已付款PAID",IF(V55&gt;0,"部分核销","未付款N/P")))</f>
        <v/>
      </c>
      <c r="V55" s="10">
        <f>IF(G55="","",SUMIFS(回款核销!$H:$H,回款核销!$C:$C,G55)+SUMIFS(回款核销!$H:$H,回款核销!$B:$B,D55,回款核销!$C:$C,""))</f>
        <v/>
      </c>
      <c r="W55" s="10">
        <f>IF(Q55="","",MAX(0,Q55-V55))</f>
        <v/>
      </c>
      <c r="X55" s="9" t="n"/>
      <c r="Y55" s="10">
        <f>IF(OR(N55="",X55=""),"",N55*X55)</f>
        <v/>
      </c>
      <c r="Z55" s="10">
        <f>IF(OR(Q55="",Y55=""),"",Q55-Y55)</f>
        <v/>
      </c>
      <c r="AA55" s="9" t="n"/>
      <c r="AB55" s="9" t="n"/>
    </row>
    <row r="56" ht="22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10">
        <f>IF(OR(N56="",P56=""),"",N56*P56)</f>
        <v/>
      </c>
      <c r="R56" s="9" t="n"/>
      <c r="S56" s="9" t="n"/>
      <c r="T56" s="9" t="n"/>
      <c r="U56" s="9">
        <f>IF(Q56="","",IF(W56=0,"已付款PAID",IF(V56&gt;0,"部分核销","未付款N/P")))</f>
        <v/>
      </c>
      <c r="V56" s="10">
        <f>IF(G56="","",SUMIFS(回款核销!$H:$H,回款核销!$C:$C,G56)+SUMIFS(回款核销!$H:$H,回款核销!$B:$B,D56,回款核销!$C:$C,""))</f>
        <v/>
      </c>
      <c r="W56" s="10">
        <f>IF(Q56="","",MAX(0,Q56-V56))</f>
        <v/>
      </c>
      <c r="X56" s="9" t="n"/>
      <c r="Y56" s="10">
        <f>IF(OR(N56="",X56=""),"",N56*X56)</f>
        <v/>
      </c>
      <c r="Z56" s="10">
        <f>IF(OR(Q56="",Y56=""),"",Q56-Y56)</f>
        <v/>
      </c>
      <c r="AA56" s="9" t="n"/>
      <c r="AB56" s="9" t="n"/>
    </row>
    <row r="57" ht="22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10">
        <f>IF(OR(N57="",P57=""),"",N57*P57)</f>
        <v/>
      </c>
      <c r="R57" s="9" t="n"/>
      <c r="S57" s="9" t="n"/>
      <c r="T57" s="9" t="n"/>
      <c r="U57" s="9">
        <f>IF(Q57="","",IF(W57=0,"已付款PAID",IF(V57&gt;0,"部分核销","未付款N/P")))</f>
        <v/>
      </c>
      <c r="V57" s="10">
        <f>IF(G57="","",SUMIFS(回款核销!$H:$H,回款核销!$C:$C,G57)+SUMIFS(回款核销!$H:$H,回款核销!$B:$B,D57,回款核销!$C:$C,""))</f>
        <v/>
      </c>
      <c r="W57" s="10">
        <f>IF(Q57="","",MAX(0,Q57-V57))</f>
        <v/>
      </c>
      <c r="X57" s="9" t="n"/>
      <c r="Y57" s="10">
        <f>IF(OR(N57="",X57=""),"",N57*X57)</f>
        <v/>
      </c>
      <c r="Z57" s="10">
        <f>IF(OR(Q57="",Y57=""),"",Q57-Y57)</f>
        <v/>
      </c>
      <c r="AA57" s="9" t="n"/>
      <c r="AB57" s="9" t="n"/>
    </row>
    <row r="58" ht="22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10">
        <f>IF(OR(N58="",P58=""),"",N58*P58)</f>
        <v/>
      </c>
      <c r="R58" s="9" t="n"/>
      <c r="S58" s="9" t="n"/>
      <c r="T58" s="9" t="n"/>
      <c r="U58" s="9">
        <f>IF(Q58="","",IF(W58=0,"已付款PAID",IF(V58&gt;0,"部分核销","未付款N/P")))</f>
        <v/>
      </c>
      <c r="V58" s="10">
        <f>IF(G58="","",SUMIFS(回款核销!$H:$H,回款核销!$C:$C,G58)+SUMIFS(回款核销!$H:$H,回款核销!$B:$B,D58,回款核销!$C:$C,""))</f>
        <v/>
      </c>
      <c r="W58" s="10">
        <f>IF(Q58="","",MAX(0,Q58-V58))</f>
        <v/>
      </c>
      <c r="X58" s="9" t="n"/>
      <c r="Y58" s="10">
        <f>IF(OR(N58="",X58=""),"",N58*X58)</f>
        <v/>
      </c>
      <c r="Z58" s="10">
        <f>IF(OR(Q58="",Y58=""),"",Q58-Y58)</f>
        <v/>
      </c>
      <c r="AA58" s="9" t="n"/>
      <c r="AB58" s="9" t="n"/>
    </row>
    <row r="59" ht="22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10">
        <f>IF(OR(N59="",P59=""),"",N59*P59)</f>
        <v/>
      </c>
      <c r="R59" s="9" t="n"/>
      <c r="S59" s="9" t="n"/>
      <c r="T59" s="9" t="n"/>
      <c r="U59" s="9">
        <f>IF(Q59="","",IF(W59=0,"已付款PAID",IF(V59&gt;0,"部分核销","未付款N/P")))</f>
        <v/>
      </c>
      <c r="V59" s="10">
        <f>IF(G59="","",SUMIFS(回款核销!$H:$H,回款核销!$C:$C,G59)+SUMIFS(回款核销!$H:$H,回款核销!$B:$B,D59,回款核销!$C:$C,""))</f>
        <v/>
      </c>
      <c r="W59" s="10">
        <f>IF(Q59="","",MAX(0,Q59-V59))</f>
        <v/>
      </c>
      <c r="X59" s="9" t="n"/>
      <c r="Y59" s="10">
        <f>IF(OR(N59="",X59=""),"",N59*X59)</f>
        <v/>
      </c>
      <c r="Z59" s="10">
        <f>IF(OR(Q59="",Y59=""),"",Q59-Y59)</f>
        <v/>
      </c>
      <c r="AA59" s="9" t="n"/>
      <c r="AB59" s="9" t="n"/>
    </row>
    <row r="60" ht="22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10">
        <f>IF(OR(N60="",P60=""),"",N60*P60)</f>
        <v/>
      </c>
      <c r="R60" s="9" t="n"/>
      <c r="S60" s="9" t="n"/>
      <c r="T60" s="9" t="n"/>
      <c r="U60" s="9">
        <f>IF(Q60="","",IF(W60=0,"已付款PAID",IF(V60&gt;0,"部分核销","未付款N/P")))</f>
        <v/>
      </c>
      <c r="V60" s="10">
        <f>IF(G60="","",SUMIFS(回款核销!$H:$H,回款核销!$C:$C,G60)+SUMIFS(回款核销!$H:$H,回款核销!$B:$B,D60,回款核销!$C:$C,""))</f>
        <v/>
      </c>
      <c r="W60" s="10">
        <f>IF(Q60="","",MAX(0,Q60-V60))</f>
        <v/>
      </c>
      <c r="X60" s="9" t="n"/>
      <c r="Y60" s="10">
        <f>IF(OR(N60="",X60=""),"",N60*X60)</f>
        <v/>
      </c>
      <c r="Z60" s="10">
        <f>IF(OR(Q60="",Y60=""),"",Q60-Y60)</f>
        <v/>
      </c>
      <c r="AA60" s="9" t="n"/>
      <c r="AB60" s="9" t="n"/>
    </row>
    <row r="61" ht="22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10">
        <f>IF(OR(N61="",P61=""),"",N61*P61)</f>
        <v/>
      </c>
      <c r="R61" s="9" t="n"/>
      <c r="S61" s="9" t="n"/>
      <c r="T61" s="9" t="n"/>
      <c r="U61" s="9">
        <f>IF(Q61="","",IF(W61=0,"已付款PAID",IF(V61&gt;0,"部分核销","未付款N/P")))</f>
        <v/>
      </c>
      <c r="V61" s="10">
        <f>IF(G61="","",SUMIFS(回款核销!$H:$H,回款核销!$C:$C,G61)+SUMIFS(回款核销!$H:$H,回款核销!$B:$B,D61,回款核销!$C:$C,""))</f>
        <v/>
      </c>
      <c r="W61" s="10">
        <f>IF(Q61="","",MAX(0,Q61-V61))</f>
        <v/>
      </c>
      <c r="X61" s="9" t="n"/>
      <c r="Y61" s="10">
        <f>IF(OR(N61="",X61=""),"",N61*X61)</f>
        <v/>
      </c>
      <c r="Z61" s="10">
        <f>IF(OR(Q61="",Y61=""),"",Q61-Y61)</f>
        <v/>
      </c>
      <c r="AA61" s="9" t="n"/>
      <c r="AB61" s="9" t="n"/>
    </row>
    <row r="62" ht="22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10">
        <f>IF(OR(N62="",P62=""),"",N62*P62)</f>
        <v/>
      </c>
      <c r="R62" s="9" t="n"/>
      <c r="S62" s="9" t="n"/>
      <c r="T62" s="9" t="n"/>
      <c r="U62" s="9">
        <f>IF(Q62="","",IF(W62=0,"已付款PAID",IF(V62&gt;0,"部分核销","未付款N/P")))</f>
        <v/>
      </c>
      <c r="V62" s="10">
        <f>IF(G62="","",SUMIFS(回款核销!$H:$H,回款核销!$C:$C,G62)+SUMIFS(回款核销!$H:$H,回款核销!$B:$B,D62,回款核销!$C:$C,""))</f>
        <v/>
      </c>
      <c r="W62" s="10">
        <f>IF(Q62="","",MAX(0,Q62-V62))</f>
        <v/>
      </c>
      <c r="X62" s="9" t="n"/>
      <c r="Y62" s="10">
        <f>IF(OR(N62="",X62=""),"",N62*X62)</f>
        <v/>
      </c>
      <c r="Z62" s="10">
        <f>IF(OR(Q62="",Y62=""),"",Q62-Y62)</f>
        <v/>
      </c>
      <c r="AA62" s="9" t="n"/>
      <c r="AB62" s="9" t="n"/>
    </row>
    <row r="63" ht="22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10">
        <f>IF(OR(N63="",P63=""),"",N63*P63)</f>
        <v/>
      </c>
      <c r="R63" s="9" t="n"/>
      <c r="S63" s="9" t="n"/>
      <c r="T63" s="9" t="n"/>
      <c r="U63" s="9">
        <f>IF(Q63="","",IF(W63=0,"已付款PAID",IF(V63&gt;0,"部分核销","未付款N/P")))</f>
        <v/>
      </c>
      <c r="V63" s="10">
        <f>IF(G63="","",SUMIFS(回款核销!$H:$H,回款核销!$C:$C,G63)+SUMIFS(回款核销!$H:$H,回款核销!$B:$B,D63,回款核销!$C:$C,""))</f>
        <v/>
      </c>
      <c r="W63" s="10">
        <f>IF(Q63="","",MAX(0,Q63-V63))</f>
        <v/>
      </c>
      <c r="X63" s="9" t="n"/>
      <c r="Y63" s="10">
        <f>IF(OR(N63="",X63=""),"",N63*X63)</f>
        <v/>
      </c>
      <c r="Z63" s="10">
        <f>IF(OR(Q63="",Y63=""),"",Q63-Y63)</f>
        <v/>
      </c>
      <c r="AA63" s="9" t="n"/>
      <c r="AB63" s="9" t="n"/>
    </row>
    <row r="64" ht="22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10">
        <f>IF(OR(N64="",P64=""),"",N64*P64)</f>
        <v/>
      </c>
      <c r="R64" s="9" t="n"/>
      <c r="S64" s="9" t="n"/>
      <c r="T64" s="9" t="n"/>
      <c r="U64" s="9">
        <f>IF(Q64="","",IF(W64=0,"已付款PAID",IF(V64&gt;0,"部分核销","未付款N/P")))</f>
        <v/>
      </c>
      <c r="V64" s="10">
        <f>IF(G64="","",SUMIFS(回款核销!$H:$H,回款核销!$C:$C,G64)+SUMIFS(回款核销!$H:$H,回款核销!$B:$B,D64,回款核销!$C:$C,""))</f>
        <v/>
      </c>
      <c r="W64" s="10">
        <f>IF(Q64="","",MAX(0,Q64-V64))</f>
        <v/>
      </c>
      <c r="X64" s="9" t="n"/>
      <c r="Y64" s="10">
        <f>IF(OR(N64="",X64=""),"",N64*X64)</f>
        <v/>
      </c>
      <c r="Z64" s="10">
        <f>IF(OR(Q64="",Y64=""),"",Q64-Y64)</f>
        <v/>
      </c>
      <c r="AA64" s="9" t="n"/>
      <c r="AB64" s="9" t="n"/>
    </row>
    <row r="65" ht="22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10">
        <f>IF(OR(N65="",P65=""),"",N65*P65)</f>
        <v/>
      </c>
      <c r="R65" s="9" t="n"/>
      <c r="S65" s="9" t="n"/>
      <c r="T65" s="9" t="n"/>
      <c r="U65" s="9">
        <f>IF(Q65="","",IF(W65=0,"已付款PAID",IF(V65&gt;0,"部分核销","未付款N/P")))</f>
        <v/>
      </c>
      <c r="V65" s="10">
        <f>IF(G65="","",SUMIFS(回款核销!$H:$H,回款核销!$C:$C,G65)+SUMIFS(回款核销!$H:$H,回款核销!$B:$B,D65,回款核销!$C:$C,""))</f>
        <v/>
      </c>
      <c r="W65" s="10">
        <f>IF(Q65="","",MAX(0,Q65-V65))</f>
        <v/>
      </c>
      <c r="X65" s="9" t="n"/>
      <c r="Y65" s="10">
        <f>IF(OR(N65="",X65=""),"",N65*X65)</f>
        <v/>
      </c>
      <c r="Z65" s="10">
        <f>IF(OR(Q65="",Y65=""),"",Q65-Y65)</f>
        <v/>
      </c>
      <c r="AA65" s="9" t="n"/>
      <c r="AB65" s="9" t="n"/>
    </row>
    <row r="66" ht="22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10">
        <f>IF(OR(N66="",P66=""),"",N66*P66)</f>
        <v/>
      </c>
      <c r="R66" s="9" t="n"/>
      <c r="S66" s="9" t="n"/>
      <c r="T66" s="9" t="n"/>
      <c r="U66" s="9">
        <f>IF(Q66="","",IF(W66=0,"已付款PAID",IF(V66&gt;0,"部分核销","未付款N/P")))</f>
        <v/>
      </c>
      <c r="V66" s="10">
        <f>IF(G66="","",SUMIFS(回款核销!$H:$H,回款核销!$C:$C,G66)+SUMIFS(回款核销!$H:$H,回款核销!$B:$B,D66,回款核销!$C:$C,""))</f>
        <v/>
      </c>
      <c r="W66" s="10">
        <f>IF(Q66="","",MAX(0,Q66-V66))</f>
        <v/>
      </c>
      <c r="X66" s="9" t="n"/>
      <c r="Y66" s="10">
        <f>IF(OR(N66="",X66=""),"",N66*X66)</f>
        <v/>
      </c>
      <c r="Z66" s="10">
        <f>IF(OR(Q66="",Y66=""),"",Q66-Y66)</f>
        <v/>
      </c>
      <c r="AA66" s="9" t="n"/>
      <c r="AB66" s="9" t="n"/>
    </row>
    <row r="67" ht="22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10">
        <f>IF(OR(N67="",P67=""),"",N67*P67)</f>
        <v/>
      </c>
      <c r="R67" s="9" t="n"/>
      <c r="S67" s="9" t="n"/>
      <c r="T67" s="9" t="n"/>
      <c r="U67" s="9">
        <f>IF(Q67="","",IF(W67=0,"已付款PAID",IF(V67&gt;0,"部分核销","未付款N/P")))</f>
        <v/>
      </c>
      <c r="V67" s="10">
        <f>IF(G67="","",SUMIFS(回款核销!$H:$H,回款核销!$C:$C,G67)+SUMIFS(回款核销!$H:$H,回款核销!$B:$B,D67,回款核销!$C:$C,""))</f>
        <v/>
      </c>
      <c r="W67" s="10">
        <f>IF(Q67="","",MAX(0,Q67-V67))</f>
        <v/>
      </c>
      <c r="X67" s="9" t="n"/>
      <c r="Y67" s="10">
        <f>IF(OR(N67="",X67=""),"",N67*X67)</f>
        <v/>
      </c>
      <c r="Z67" s="10">
        <f>IF(OR(Q67="",Y67=""),"",Q67-Y67)</f>
        <v/>
      </c>
      <c r="AA67" s="9" t="n"/>
      <c r="AB67" s="9" t="n"/>
    </row>
    <row r="68" ht="22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10">
        <f>IF(OR(N68="",P68=""),"",N68*P68)</f>
        <v/>
      </c>
      <c r="R68" s="9" t="n"/>
      <c r="S68" s="9" t="n"/>
      <c r="T68" s="9" t="n"/>
      <c r="U68" s="9">
        <f>IF(Q68="","",IF(W68=0,"已付款PAID",IF(V68&gt;0,"部分核销","未付款N/P")))</f>
        <v/>
      </c>
      <c r="V68" s="10">
        <f>IF(G68="","",SUMIFS(回款核销!$H:$H,回款核销!$C:$C,G68)+SUMIFS(回款核销!$H:$H,回款核销!$B:$B,D68,回款核销!$C:$C,""))</f>
        <v/>
      </c>
      <c r="W68" s="10">
        <f>IF(Q68="","",MAX(0,Q68-V68))</f>
        <v/>
      </c>
      <c r="X68" s="9" t="n"/>
      <c r="Y68" s="10">
        <f>IF(OR(N68="",X68=""),"",N68*X68)</f>
        <v/>
      </c>
      <c r="Z68" s="10">
        <f>IF(OR(Q68="",Y68=""),"",Q68-Y68)</f>
        <v/>
      </c>
      <c r="AA68" s="9" t="n"/>
      <c r="AB68" s="9" t="n"/>
    </row>
    <row r="69" ht="22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10">
        <f>IF(OR(N69="",P69=""),"",N69*P69)</f>
        <v/>
      </c>
      <c r="R69" s="9" t="n"/>
      <c r="S69" s="9" t="n"/>
      <c r="T69" s="9" t="n"/>
      <c r="U69" s="9">
        <f>IF(Q69="","",IF(W69=0,"已付款PAID",IF(V69&gt;0,"部分核销","未付款N/P")))</f>
        <v/>
      </c>
      <c r="V69" s="10">
        <f>IF(G69="","",SUMIFS(回款核销!$H:$H,回款核销!$C:$C,G69)+SUMIFS(回款核销!$H:$H,回款核销!$B:$B,D69,回款核销!$C:$C,""))</f>
        <v/>
      </c>
      <c r="W69" s="10">
        <f>IF(Q69="","",MAX(0,Q69-V69))</f>
        <v/>
      </c>
      <c r="X69" s="9" t="n"/>
      <c r="Y69" s="10">
        <f>IF(OR(N69="",X69=""),"",N69*X69)</f>
        <v/>
      </c>
      <c r="Z69" s="10">
        <f>IF(OR(Q69="",Y69=""),"",Q69-Y69)</f>
        <v/>
      </c>
      <c r="AA69" s="9" t="n"/>
      <c r="AB69" s="9" t="n"/>
    </row>
    <row r="70" ht="22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10">
        <f>IF(OR(N70="",P70=""),"",N70*P70)</f>
        <v/>
      </c>
      <c r="R70" s="9" t="n"/>
      <c r="S70" s="9" t="n"/>
      <c r="T70" s="9" t="n"/>
      <c r="U70" s="9">
        <f>IF(Q70="","",IF(W70=0,"已付款PAID",IF(V70&gt;0,"部分核销","未付款N/P")))</f>
        <v/>
      </c>
      <c r="V70" s="10">
        <f>IF(G70="","",SUMIFS(回款核销!$H:$H,回款核销!$C:$C,G70)+SUMIFS(回款核销!$H:$H,回款核销!$B:$B,D70,回款核销!$C:$C,""))</f>
        <v/>
      </c>
      <c r="W70" s="10">
        <f>IF(Q70="","",MAX(0,Q70-V70))</f>
        <v/>
      </c>
      <c r="X70" s="9" t="n"/>
      <c r="Y70" s="10">
        <f>IF(OR(N70="",X70=""),"",N70*X70)</f>
        <v/>
      </c>
      <c r="Z70" s="10">
        <f>IF(OR(Q70="",Y70=""),"",Q70-Y70)</f>
        <v/>
      </c>
      <c r="AA70" s="9" t="n"/>
      <c r="AB70" s="9" t="n"/>
    </row>
    <row r="71" ht="22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10">
        <f>IF(OR(N71="",P71=""),"",N71*P71)</f>
        <v/>
      </c>
      <c r="R71" s="9" t="n"/>
      <c r="S71" s="9" t="n"/>
      <c r="T71" s="9" t="n"/>
      <c r="U71" s="9">
        <f>IF(Q71="","",IF(W71=0,"已付款PAID",IF(V71&gt;0,"部分核销","未付款N/P")))</f>
        <v/>
      </c>
      <c r="V71" s="10">
        <f>IF(G71="","",SUMIFS(回款核销!$H:$H,回款核销!$C:$C,G71)+SUMIFS(回款核销!$H:$H,回款核销!$B:$B,D71,回款核销!$C:$C,""))</f>
        <v/>
      </c>
      <c r="W71" s="10">
        <f>IF(Q71="","",MAX(0,Q71-V71))</f>
        <v/>
      </c>
      <c r="X71" s="9" t="n"/>
      <c r="Y71" s="10">
        <f>IF(OR(N71="",X71=""),"",N71*X71)</f>
        <v/>
      </c>
      <c r="Z71" s="10">
        <f>IF(OR(Q71="",Y71=""),"",Q71-Y71)</f>
        <v/>
      </c>
      <c r="AA71" s="9" t="n"/>
      <c r="AB71" s="9" t="n"/>
    </row>
    <row r="72" ht="22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10">
        <f>IF(OR(N72="",P72=""),"",N72*P72)</f>
        <v/>
      </c>
      <c r="R72" s="9" t="n"/>
      <c r="S72" s="9" t="n"/>
      <c r="T72" s="9" t="n"/>
      <c r="U72" s="9">
        <f>IF(Q72="","",IF(W72=0,"已付款PAID",IF(V72&gt;0,"部分核销","未付款N/P")))</f>
        <v/>
      </c>
      <c r="V72" s="10">
        <f>IF(G72="","",SUMIFS(回款核销!$H:$H,回款核销!$C:$C,G72)+SUMIFS(回款核销!$H:$H,回款核销!$B:$B,D72,回款核销!$C:$C,""))</f>
        <v/>
      </c>
      <c r="W72" s="10">
        <f>IF(Q72="","",MAX(0,Q72-V72))</f>
        <v/>
      </c>
      <c r="X72" s="9" t="n"/>
      <c r="Y72" s="10">
        <f>IF(OR(N72="",X72=""),"",N72*X72)</f>
        <v/>
      </c>
      <c r="Z72" s="10">
        <f>IF(OR(Q72="",Y72=""),"",Q72-Y72)</f>
        <v/>
      </c>
      <c r="AA72" s="9" t="n"/>
      <c r="AB72" s="9" t="n"/>
    </row>
    <row r="73" ht="22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10">
        <f>IF(OR(N73="",P73=""),"",N73*P73)</f>
        <v/>
      </c>
      <c r="R73" s="9" t="n"/>
      <c r="S73" s="9" t="n"/>
      <c r="T73" s="9" t="n"/>
      <c r="U73" s="9">
        <f>IF(Q73="","",IF(W73=0,"已付款PAID",IF(V73&gt;0,"部分核销","未付款N/P")))</f>
        <v/>
      </c>
      <c r="V73" s="10">
        <f>IF(G73="","",SUMIFS(回款核销!$H:$H,回款核销!$C:$C,G73)+SUMIFS(回款核销!$H:$H,回款核销!$B:$B,D73,回款核销!$C:$C,""))</f>
        <v/>
      </c>
      <c r="W73" s="10">
        <f>IF(Q73="","",MAX(0,Q73-V73))</f>
        <v/>
      </c>
      <c r="X73" s="9" t="n"/>
      <c r="Y73" s="10">
        <f>IF(OR(N73="",X73=""),"",N73*X73)</f>
        <v/>
      </c>
      <c r="Z73" s="10">
        <f>IF(OR(Q73="",Y73=""),"",Q73-Y73)</f>
        <v/>
      </c>
      <c r="AA73" s="9" t="n"/>
      <c r="AB73" s="9" t="n"/>
    </row>
    <row r="74" ht="22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10">
        <f>IF(OR(N74="",P74=""),"",N74*P74)</f>
        <v/>
      </c>
      <c r="R74" s="9" t="n"/>
      <c r="S74" s="9" t="n"/>
      <c r="T74" s="9" t="n"/>
      <c r="U74" s="9">
        <f>IF(Q74="","",IF(W74=0,"已付款PAID",IF(V74&gt;0,"部分核销","未付款N/P")))</f>
        <v/>
      </c>
      <c r="V74" s="10">
        <f>IF(G74="","",SUMIFS(回款核销!$H:$H,回款核销!$C:$C,G74)+SUMIFS(回款核销!$H:$H,回款核销!$B:$B,D74,回款核销!$C:$C,""))</f>
        <v/>
      </c>
      <c r="W74" s="10">
        <f>IF(Q74="","",MAX(0,Q74-V74))</f>
        <v/>
      </c>
      <c r="X74" s="9" t="n"/>
      <c r="Y74" s="10">
        <f>IF(OR(N74="",X74=""),"",N74*X74)</f>
        <v/>
      </c>
      <c r="Z74" s="10">
        <f>IF(OR(Q74="",Y74=""),"",Q74-Y74)</f>
        <v/>
      </c>
      <c r="AA74" s="9" t="n"/>
      <c r="AB74" s="9" t="n"/>
    </row>
    <row r="75" ht="22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10">
        <f>IF(OR(N75="",P75=""),"",N75*P75)</f>
        <v/>
      </c>
      <c r="R75" s="9" t="n"/>
      <c r="S75" s="9" t="n"/>
      <c r="T75" s="9" t="n"/>
      <c r="U75" s="9">
        <f>IF(Q75="","",IF(W75=0,"已付款PAID",IF(V75&gt;0,"部分核销","未付款N/P")))</f>
        <v/>
      </c>
      <c r="V75" s="10">
        <f>IF(G75="","",SUMIFS(回款核销!$H:$H,回款核销!$C:$C,G75)+SUMIFS(回款核销!$H:$H,回款核销!$B:$B,D75,回款核销!$C:$C,""))</f>
        <v/>
      </c>
      <c r="W75" s="10">
        <f>IF(Q75="","",MAX(0,Q75-V75))</f>
        <v/>
      </c>
      <c r="X75" s="9" t="n"/>
      <c r="Y75" s="10">
        <f>IF(OR(N75="",X75=""),"",N75*X75)</f>
        <v/>
      </c>
      <c r="Z75" s="10">
        <f>IF(OR(Q75="",Y75=""),"",Q75-Y75)</f>
        <v/>
      </c>
      <c r="AA75" s="9" t="n"/>
      <c r="AB75" s="9" t="n"/>
    </row>
    <row r="76" ht="22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10">
        <f>IF(OR(N76="",P76=""),"",N76*P76)</f>
        <v/>
      </c>
      <c r="R76" s="9" t="n"/>
      <c r="S76" s="9" t="n"/>
      <c r="T76" s="9" t="n"/>
      <c r="U76" s="9">
        <f>IF(Q76="","",IF(W76=0,"已付款PAID",IF(V76&gt;0,"部分核销","未付款N/P")))</f>
        <v/>
      </c>
      <c r="V76" s="10">
        <f>IF(G76="","",SUMIFS(回款核销!$H:$H,回款核销!$C:$C,G76)+SUMIFS(回款核销!$H:$H,回款核销!$B:$B,D76,回款核销!$C:$C,""))</f>
        <v/>
      </c>
      <c r="W76" s="10">
        <f>IF(Q76="","",MAX(0,Q76-V76))</f>
        <v/>
      </c>
      <c r="X76" s="9" t="n"/>
      <c r="Y76" s="10">
        <f>IF(OR(N76="",X76=""),"",N76*X76)</f>
        <v/>
      </c>
      <c r="Z76" s="10">
        <f>IF(OR(Q76="",Y76=""),"",Q76-Y76)</f>
        <v/>
      </c>
      <c r="AA76" s="9" t="n"/>
      <c r="AB76" s="9" t="n"/>
    </row>
    <row r="77" ht="22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10">
        <f>IF(OR(N77="",P77=""),"",N77*P77)</f>
        <v/>
      </c>
      <c r="R77" s="9" t="n"/>
      <c r="S77" s="9" t="n"/>
      <c r="T77" s="9" t="n"/>
      <c r="U77" s="9">
        <f>IF(Q77="","",IF(W77=0,"已付款PAID",IF(V77&gt;0,"部分核销","未付款N/P")))</f>
        <v/>
      </c>
      <c r="V77" s="10">
        <f>IF(G77="","",SUMIFS(回款核销!$H:$H,回款核销!$C:$C,G77)+SUMIFS(回款核销!$H:$H,回款核销!$B:$B,D77,回款核销!$C:$C,""))</f>
        <v/>
      </c>
      <c r="W77" s="10">
        <f>IF(Q77="","",MAX(0,Q77-V77))</f>
        <v/>
      </c>
      <c r="X77" s="9" t="n"/>
      <c r="Y77" s="10">
        <f>IF(OR(N77="",X77=""),"",N77*X77)</f>
        <v/>
      </c>
      <c r="Z77" s="10">
        <f>IF(OR(Q77="",Y77=""),"",Q77-Y77)</f>
        <v/>
      </c>
      <c r="AA77" s="9" t="n"/>
      <c r="AB77" s="9" t="n"/>
    </row>
    <row r="78" ht="22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10">
        <f>IF(OR(N78="",P78=""),"",N78*P78)</f>
        <v/>
      </c>
      <c r="R78" s="9" t="n"/>
      <c r="S78" s="9" t="n"/>
      <c r="T78" s="9" t="n"/>
      <c r="U78" s="9">
        <f>IF(Q78="","",IF(W78=0,"已付款PAID",IF(V78&gt;0,"部分核销","未付款N/P")))</f>
        <v/>
      </c>
      <c r="V78" s="10">
        <f>IF(G78="","",SUMIFS(回款核销!$H:$H,回款核销!$C:$C,G78)+SUMIFS(回款核销!$H:$H,回款核销!$B:$B,D78,回款核销!$C:$C,""))</f>
        <v/>
      </c>
      <c r="W78" s="10">
        <f>IF(Q78="","",MAX(0,Q78-V78))</f>
        <v/>
      </c>
      <c r="X78" s="9" t="n"/>
      <c r="Y78" s="10">
        <f>IF(OR(N78="",X78=""),"",N78*X78)</f>
        <v/>
      </c>
      <c r="Z78" s="10">
        <f>IF(OR(Q78="",Y78=""),"",Q78-Y78)</f>
        <v/>
      </c>
      <c r="AA78" s="9" t="n"/>
      <c r="AB78" s="9" t="n"/>
    </row>
    <row r="79" ht="22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10">
        <f>IF(OR(N79="",P79=""),"",N79*P79)</f>
        <v/>
      </c>
      <c r="R79" s="9" t="n"/>
      <c r="S79" s="9" t="n"/>
      <c r="T79" s="9" t="n"/>
      <c r="U79" s="9">
        <f>IF(Q79="","",IF(W79=0,"已付款PAID",IF(V79&gt;0,"部分核销","未付款N/P")))</f>
        <v/>
      </c>
      <c r="V79" s="10">
        <f>IF(G79="","",SUMIFS(回款核销!$H:$H,回款核销!$C:$C,G79)+SUMIFS(回款核销!$H:$H,回款核销!$B:$B,D79,回款核销!$C:$C,""))</f>
        <v/>
      </c>
      <c r="W79" s="10">
        <f>IF(Q79="","",MAX(0,Q79-V79))</f>
        <v/>
      </c>
      <c r="X79" s="9" t="n"/>
      <c r="Y79" s="10">
        <f>IF(OR(N79="",X79=""),"",N79*X79)</f>
        <v/>
      </c>
      <c r="Z79" s="10">
        <f>IF(OR(Q79="",Y79=""),"",Q79-Y79)</f>
        <v/>
      </c>
      <c r="AA79" s="9" t="n"/>
      <c r="AB79" s="9" t="n"/>
    </row>
    <row r="80" ht="22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10">
        <f>IF(OR(N80="",P80=""),"",N80*P80)</f>
        <v/>
      </c>
      <c r="R80" s="9" t="n"/>
      <c r="S80" s="9" t="n"/>
      <c r="T80" s="9" t="n"/>
      <c r="U80" s="9">
        <f>IF(Q80="","",IF(W80=0,"已付款PAID",IF(V80&gt;0,"部分核销","未付款N/P")))</f>
        <v/>
      </c>
      <c r="V80" s="10">
        <f>IF(G80="","",SUMIFS(回款核销!$H:$H,回款核销!$C:$C,G80)+SUMIFS(回款核销!$H:$H,回款核销!$B:$B,D80,回款核销!$C:$C,""))</f>
        <v/>
      </c>
      <c r="W80" s="10">
        <f>IF(Q80="","",MAX(0,Q80-V80))</f>
        <v/>
      </c>
      <c r="X80" s="9" t="n"/>
      <c r="Y80" s="10">
        <f>IF(OR(N80="",X80=""),"",N80*X80)</f>
        <v/>
      </c>
      <c r="Z80" s="10">
        <f>IF(OR(Q80="",Y80=""),"",Q80-Y80)</f>
        <v/>
      </c>
      <c r="AA80" s="9" t="n"/>
      <c r="AB80" s="9" t="n"/>
    </row>
    <row r="81" ht="22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10">
        <f>IF(OR(N81="",P81=""),"",N81*P81)</f>
        <v/>
      </c>
      <c r="R81" s="9" t="n"/>
      <c r="S81" s="9" t="n"/>
      <c r="T81" s="9" t="n"/>
      <c r="U81" s="9">
        <f>IF(Q81="","",IF(W81=0,"已付款PAID",IF(V81&gt;0,"部分核销","未付款N/P")))</f>
        <v/>
      </c>
      <c r="V81" s="10">
        <f>IF(G81="","",SUMIFS(回款核销!$H:$H,回款核销!$C:$C,G81)+SUMIFS(回款核销!$H:$H,回款核销!$B:$B,D81,回款核销!$C:$C,""))</f>
        <v/>
      </c>
      <c r="W81" s="10">
        <f>IF(Q81="","",MAX(0,Q81-V81))</f>
        <v/>
      </c>
      <c r="X81" s="9" t="n"/>
      <c r="Y81" s="10">
        <f>IF(OR(N81="",X81=""),"",N81*X81)</f>
        <v/>
      </c>
      <c r="Z81" s="10">
        <f>IF(OR(Q81="",Y81=""),"",Q81-Y81)</f>
        <v/>
      </c>
      <c r="AA81" s="9" t="n"/>
      <c r="AB81" s="9" t="n"/>
    </row>
    <row r="82" ht="22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10">
        <f>IF(OR(N82="",P82=""),"",N82*P82)</f>
        <v/>
      </c>
      <c r="R82" s="9" t="n"/>
      <c r="S82" s="9" t="n"/>
      <c r="T82" s="9" t="n"/>
      <c r="U82" s="9">
        <f>IF(Q82="","",IF(W82=0,"已付款PAID",IF(V82&gt;0,"部分核销","未付款N/P")))</f>
        <v/>
      </c>
      <c r="V82" s="10">
        <f>IF(G82="","",SUMIFS(回款核销!$H:$H,回款核销!$C:$C,G82)+SUMIFS(回款核销!$H:$H,回款核销!$B:$B,D82,回款核销!$C:$C,""))</f>
        <v/>
      </c>
      <c r="W82" s="10">
        <f>IF(Q82="","",MAX(0,Q82-V82))</f>
        <v/>
      </c>
      <c r="X82" s="9" t="n"/>
      <c r="Y82" s="10">
        <f>IF(OR(N82="",X82=""),"",N82*X82)</f>
        <v/>
      </c>
      <c r="Z82" s="10">
        <f>IF(OR(Q82="",Y82=""),"",Q82-Y82)</f>
        <v/>
      </c>
      <c r="AA82" s="9" t="n"/>
      <c r="AB82" s="9" t="n"/>
    </row>
    <row r="83" ht="22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10">
        <f>IF(OR(N83="",P83=""),"",N83*P83)</f>
        <v/>
      </c>
      <c r="R83" s="9" t="n"/>
      <c r="S83" s="9" t="n"/>
      <c r="T83" s="9" t="n"/>
      <c r="U83" s="9">
        <f>IF(Q83="","",IF(W83=0,"已付款PAID",IF(V83&gt;0,"部分核销","未付款N/P")))</f>
        <v/>
      </c>
      <c r="V83" s="10">
        <f>IF(G83="","",SUMIFS(回款核销!$H:$H,回款核销!$C:$C,G83)+SUMIFS(回款核销!$H:$H,回款核销!$B:$B,D83,回款核销!$C:$C,""))</f>
        <v/>
      </c>
      <c r="W83" s="10">
        <f>IF(Q83="","",MAX(0,Q83-V83))</f>
        <v/>
      </c>
      <c r="X83" s="9" t="n"/>
      <c r="Y83" s="10">
        <f>IF(OR(N83="",X83=""),"",N83*X83)</f>
        <v/>
      </c>
      <c r="Z83" s="10">
        <f>IF(OR(Q83="",Y83=""),"",Q83-Y83)</f>
        <v/>
      </c>
      <c r="AA83" s="9" t="n"/>
      <c r="AB83" s="9" t="n"/>
    </row>
    <row r="84" ht="22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10">
        <f>IF(OR(N84="",P84=""),"",N84*P84)</f>
        <v/>
      </c>
      <c r="R84" s="9" t="n"/>
      <c r="S84" s="9" t="n"/>
      <c r="T84" s="9" t="n"/>
      <c r="U84" s="9">
        <f>IF(Q84="","",IF(W84=0,"已付款PAID",IF(V84&gt;0,"部分核销","未付款N/P")))</f>
        <v/>
      </c>
      <c r="V84" s="10">
        <f>IF(G84="","",SUMIFS(回款核销!$H:$H,回款核销!$C:$C,G84)+SUMIFS(回款核销!$H:$H,回款核销!$B:$B,D84,回款核销!$C:$C,""))</f>
        <v/>
      </c>
      <c r="W84" s="10">
        <f>IF(Q84="","",MAX(0,Q84-V84))</f>
        <v/>
      </c>
      <c r="X84" s="9" t="n"/>
      <c r="Y84" s="10">
        <f>IF(OR(N84="",X84=""),"",N84*X84)</f>
        <v/>
      </c>
      <c r="Z84" s="10">
        <f>IF(OR(Q84="",Y84=""),"",Q84-Y84)</f>
        <v/>
      </c>
      <c r="AA84" s="9" t="n"/>
      <c r="AB84" s="9" t="n"/>
    </row>
    <row r="85" ht="22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10">
        <f>IF(OR(N85="",P85=""),"",N85*P85)</f>
        <v/>
      </c>
      <c r="R85" s="9" t="n"/>
      <c r="S85" s="9" t="n"/>
      <c r="T85" s="9" t="n"/>
      <c r="U85" s="9">
        <f>IF(Q85="","",IF(W85=0,"已付款PAID",IF(V85&gt;0,"部分核销","未付款N/P")))</f>
        <v/>
      </c>
      <c r="V85" s="10">
        <f>IF(G85="","",SUMIFS(回款核销!$H:$H,回款核销!$C:$C,G85)+SUMIFS(回款核销!$H:$H,回款核销!$B:$B,D85,回款核销!$C:$C,""))</f>
        <v/>
      </c>
      <c r="W85" s="10">
        <f>IF(Q85="","",MAX(0,Q85-V85))</f>
        <v/>
      </c>
      <c r="X85" s="9" t="n"/>
      <c r="Y85" s="10">
        <f>IF(OR(N85="",X85=""),"",N85*X85)</f>
        <v/>
      </c>
      <c r="Z85" s="10">
        <f>IF(OR(Q85="",Y85=""),"",Q85-Y85)</f>
        <v/>
      </c>
      <c r="AA85" s="9" t="n"/>
      <c r="AB85" s="9" t="n"/>
    </row>
    <row r="86" ht="22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10">
        <f>IF(OR(N86="",P86=""),"",N86*P86)</f>
        <v/>
      </c>
      <c r="R86" s="9" t="n"/>
      <c r="S86" s="9" t="n"/>
      <c r="T86" s="9" t="n"/>
      <c r="U86" s="9">
        <f>IF(Q86="","",IF(W86=0,"已付款PAID",IF(V86&gt;0,"部分核销","未付款N/P")))</f>
        <v/>
      </c>
      <c r="V86" s="10">
        <f>IF(G86="","",SUMIFS(回款核销!$H:$H,回款核销!$C:$C,G86)+SUMIFS(回款核销!$H:$H,回款核销!$B:$B,D86,回款核销!$C:$C,""))</f>
        <v/>
      </c>
      <c r="W86" s="10">
        <f>IF(Q86="","",MAX(0,Q86-V86))</f>
        <v/>
      </c>
      <c r="X86" s="9" t="n"/>
      <c r="Y86" s="10">
        <f>IF(OR(N86="",X86=""),"",N86*X86)</f>
        <v/>
      </c>
      <c r="Z86" s="10">
        <f>IF(OR(Q86="",Y86=""),"",Q86-Y86)</f>
        <v/>
      </c>
      <c r="AA86" s="9" t="n"/>
      <c r="AB86" s="9" t="n"/>
    </row>
    <row r="87" ht="22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10">
        <f>IF(OR(N87="",P87=""),"",N87*P87)</f>
        <v/>
      </c>
      <c r="R87" s="9" t="n"/>
      <c r="S87" s="9" t="n"/>
      <c r="T87" s="9" t="n"/>
      <c r="U87" s="9">
        <f>IF(Q87="","",IF(W87=0,"已付款PAID",IF(V87&gt;0,"部分核销","未付款N/P")))</f>
        <v/>
      </c>
      <c r="V87" s="10">
        <f>IF(G87="","",SUMIFS(回款核销!$H:$H,回款核销!$C:$C,G87)+SUMIFS(回款核销!$H:$H,回款核销!$B:$B,D87,回款核销!$C:$C,""))</f>
        <v/>
      </c>
      <c r="W87" s="10">
        <f>IF(Q87="","",MAX(0,Q87-V87))</f>
        <v/>
      </c>
      <c r="X87" s="9" t="n"/>
      <c r="Y87" s="10">
        <f>IF(OR(N87="",X87=""),"",N87*X87)</f>
        <v/>
      </c>
      <c r="Z87" s="10">
        <f>IF(OR(Q87="",Y87=""),"",Q87-Y87)</f>
        <v/>
      </c>
      <c r="AA87" s="9" t="n"/>
      <c r="AB87" s="9" t="n"/>
    </row>
    <row r="88" ht="22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10">
        <f>IF(OR(N88="",P88=""),"",N88*P88)</f>
        <v/>
      </c>
      <c r="R88" s="9" t="n"/>
      <c r="S88" s="9" t="n"/>
      <c r="T88" s="9" t="n"/>
      <c r="U88" s="9">
        <f>IF(Q88="","",IF(W88=0,"已付款PAID",IF(V88&gt;0,"部分核销","未付款N/P")))</f>
        <v/>
      </c>
      <c r="V88" s="10">
        <f>IF(G88="","",SUMIFS(回款核销!$H:$H,回款核销!$C:$C,G88)+SUMIFS(回款核销!$H:$H,回款核销!$B:$B,D88,回款核销!$C:$C,""))</f>
        <v/>
      </c>
      <c r="W88" s="10">
        <f>IF(Q88="","",MAX(0,Q88-V88))</f>
        <v/>
      </c>
      <c r="X88" s="9" t="n"/>
      <c r="Y88" s="10">
        <f>IF(OR(N88="",X88=""),"",N88*X88)</f>
        <v/>
      </c>
      <c r="Z88" s="10">
        <f>IF(OR(Q88="",Y88=""),"",Q88-Y88)</f>
        <v/>
      </c>
      <c r="AA88" s="9" t="n"/>
      <c r="AB88" s="9" t="n"/>
    </row>
    <row r="89" ht="22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10">
        <f>IF(OR(N89="",P89=""),"",N89*P89)</f>
        <v/>
      </c>
      <c r="R89" s="9" t="n"/>
      <c r="S89" s="9" t="n"/>
      <c r="T89" s="9" t="n"/>
      <c r="U89" s="9">
        <f>IF(Q89="","",IF(W89=0,"已付款PAID",IF(V89&gt;0,"部分核销","未付款N/P")))</f>
        <v/>
      </c>
      <c r="V89" s="10">
        <f>IF(G89="","",SUMIFS(回款核销!$H:$H,回款核销!$C:$C,G89)+SUMIFS(回款核销!$H:$H,回款核销!$B:$B,D89,回款核销!$C:$C,""))</f>
        <v/>
      </c>
      <c r="W89" s="10">
        <f>IF(Q89="","",MAX(0,Q89-V89))</f>
        <v/>
      </c>
      <c r="X89" s="9" t="n"/>
      <c r="Y89" s="10">
        <f>IF(OR(N89="",X89=""),"",N89*X89)</f>
        <v/>
      </c>
      <c r="Z89" s="10">
        <f>IF(OR(Q89="",Y89=""),"",Q89-Y89)</f>
        <v/>
      </c>
      <c r="AA89" s="9" t="n"/>
      <c r="AB89" s="9" t="n"/>
    </row>
    <row r="90" ht="22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10">
        <f>IF(OR(N90="",P90=""),"",N90*P90)</f>
        <v/>
      </c>
      <c r="R90" s="9" t="n"/>
      <c r="S90" s="9" t="n"/>
      <c r="T90" s="9" t="n"/>
      <c r="U90" s="9">
        <f>IF(Q90="","",IF(W90=0,"已付款PAID",IF(V90&gt;0,"部分核销","未付款N/P")))</f>
        <v/>
      </c>
      <c r="V90" s="10">
        <f>IF(G90="","",SUMIFS(回款核销!$H:$H,回款核销!$C:$C,G90)+SUMIFS(回款核销!$H:$H,回款核销!$B:$B,D90,回款核销!$C:$C,""))</f>
        <v/>
      </c>
      <c r="W90" s="10">
        <f>IF(Q90="","",MAX(0,Q90-V90))</f>
        <v/>
      </c>
      <c r="X90" s="9" t="n"/>
      <c r="Y90" s="10">
        <f>IF(OR(N90="",X90=""),"",N90*X90)</f>
        <v/>
      </c>
      <c r="Z90" s="10">
        <f>IF(OR(Q90="",Y90=""),"",Q90-Y90)</f>
        <v/>
      </c>
      <c r="AA90" s="9" t="n"/>
      <c r="AB90" s="9" t="n"/>
    </row>
    <row r="91" ht="22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10">
        <f>IF(OR(N91="",P91=""),"",N91*P91)</f>
        <v/>
      </c>
      <c r="R91" s="9" t="n"/>
      <c r="S91" s="9" t="n"/>
      <c r="T91" s="9" t="n"/>
      <c r="U91" s="9">
        <f>IF(Q91="","",IF(W91=0,"已付款PAID",IF(V91&gt;0,"部分核销","未付款N/P")))</f>
        <v/>
      </c>
      <c r="V91" s="10">
        <f>IF(G91="","",SUMIFS(回款核销!$H:$H,回款核销!$C:$C,G91)+SUMIFS(回款核销!$H:$H,回款核销!$B:$B,D91,回款核销!$C:$C,""))</f>
        <v/>
      </c>
      <c r="W91" s="10">
        <f>IF(Q91="","",MAX(0,Q91-V91))</f>
        <v/>
      </c>
      <c r="X91" s="9" t="n"/>
      <c r="Y91" s="10">
        <f>IF(OR(N91="",X91=""),"",N91*X91)</f>
        <v/>
      </c>
      <c r="Z91" s="10">
        <f>IF(OR(Q91="",Y91=""),"",Q91-Y91)</f>
        <v/>
      </c>
      <c r="AA91" s="9" t="n"/>
      <c r="AB91" s="9" t="n"/>
    </row>
    <row r="92" ht="22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10">
        <f>IF(OR(N92="",P92=""),"",N92*P92)</f>
        <v/>
      </c>
      <c r="R92" s="9" t="n"/>
      <c r="S92" s="9" t="n"/>
      <c r="T92" s="9" t="n"/>
      <c r="U92" s="9">
        <f>IF(Q92="","",IF(W92=0,"已付款PAID",IF(V92&gt;0,"部分核销","未付款N/P")))</f>
        <v/>
      </c>
      <c r="V92" s="10">
        <f>IF(G92="","",SUMIFS(回款核销!$H:$H,回款核销!$C:$C,G92)+SUMIFS(回款核销!$H:$H,回款核销!$B:$B,D92,回款核销!$C:$C,""))</f>
        <v/>
      </c>
      <c r="W92" s="10">
        <f>IF(Q92="","",MAX(0,Q92-V92))</f>
        <v/>
      </c>
      <c r="X92" s="9" t="n"/>
      <c r="Y92" s="10">
        <f>IF(OR(N92="",X92=""),"",N92*X92)</f>
        <v/>
      </c>
      <c r="Z92" s="10">
        <f>IF(OR(Q92="",Y92=""),"",Q92-Y92)</f>
        <v/>
      </c>
      <c r="AA92" s="9" t="n"/>
      <c r="AB92" s="9" t="n"/>
    </row>
    <row r="93" ht="22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10">
        <f>IF(OR(N93="",P93=""),"",N93*P93)</f>
        <v/>
      </c>
      <c r="R93" s="9" t="n"/>
      <c r="S93" s="9" t="n"/>
      <c r="T93" s="9" t="n"/>
      <c r="U93" s="9">
        <f>IF(Q93="","",IF(W93=0,"已付款PAID",IF(V93&gt;0,"部分核销","未付款N/P")))</f>
        <v/>
      </c>
      <c r="V93" s="10">
        <f>IF(G93="","",SUMIFS(回款核销!$H:$H,回款核销!$C:$C,G93)+SUMIFS(回款核销!$H:$H,回款核销!$B:$B,D93,回款核销!$C:$C,""))</f>
        <v/>
      </c>
      <c r="W93" s="10">
        <f>IF(Q93="","",MAX(0,Q93-V93))</f>
        <v/>
      </c>
      <c r="X93" s="9" t="n"/>
      <c r="Y93" s="10">
        <f>IF(OR(N93="",X93=""),"",N93*X93)</f>
        <v/>
      </c>
      <c r="Z93" s="10">
        <f>IF(OR(Q93="",Y93=""),"",Q93-Y93)</f>
        <v/>
      </c>
      <c r="AA93" s="9" t="n"/>
      <c r="AB93" s="9" t="n"/>
    </row>
    <row r="94" ht="22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10">
        <f>IF(OR(N94="",P94=""),"",N94*P94)</f>
        <v/>
      </c>
      <c r="R94" s="9" t="n"/>
      <c r="S94" s="9" t="n"/>
      <c r="T94" s="9" t="n"/>
      <c r="U94" s="9">
        <f>IF(Q94="","",IF(W94=0,"已付款PAID",IF(V94&gt;0,"部分核销","未付款N/P")))</f>
        <v/>
      </c>
      <c r="V94" s="10">
        <f>IF(G94="","",SUMIFS(回款核销!$H:$H,回款核销!$C:$C,G94)+SUMIFS(回款核销!$H:$H,回款核销!$B:$B,D94,回款核销!$C:$C,""))</f>
        <v/>
      </c>
      <c r="W94" s="10">
        <f>IF(Q94="","",MAX(0,Q94-V94))</f>
        <v/>
      </c>
      <c r="X94" s="9" t="n"/>
      <c r="Y94" s="10">
        <f>IF(OR(N94="",X94=""),"",N94*X94)</f>
        <v/>
      </c>
      <c r="Z94" s="10">
        <f>IF(OR(Q94="",Y94=""),"",Q94-Y94)</f>
        <v/>
      </c>
      <c r="AA94" s="9" t="n"/>
      <c r="AB94" s="9" t="n"/>
    </row>
    <row r="95" ht="22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10">
        <f>IF(OR(N95="",P95=""),"",N95*P95)</f>
        <v/>
      </c>
      <c r="R95" s="9" t="n"/>
      <c r="S95" s="9" t="n"/>
      <c r="T95" s="9" t="n"/>
      <c r="U95" s="9">
        <f>IF(Q95="","",IF(W95=0,"已付款PAID",IF(V95&gt;0,"部分核销","未付款N/P")))</f>
        <v/>
      </c>
      <c r="V95" s="10">
        <f>IF(G95="","",SUMIFS(回款核销!$H:$H,回款核销!$C:$C,G95)+SUMIFS(回款核销!$H:$H,回款核销!$B:$B,D95,回款核销!$C:$C,""))</f>
        <v/>
      </c>
      <c r="W95" s="10">
        <f>IF(Q95="","",MAX(0,Q95-V95))</f>
        <v/>
      </c>
      <c r="X95" s="9" t="n"/>
      <c r="Y95" s="10">
        <f>IF(OR(N95="",X95=""),"",N95*X95)</f>
        <v/>
      </c>
      <c r="Z95" s="10">
        <f>IF(OR(Q95="",Y95=""),"",Q95-Y95)</f>
        <v/>
      </c>
      <c r="AA95" s="9" t="n"/>
      <c r="AB95" s="9" t="n"/>
    </row>
    <row r="96" ht="22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10">
        <f>IF(OR(N96="",P96=""),"",N96*P96)</f>
        <v/>
      </c>
      <c r="R96" s="9" t="n"/>
      <c r="S96" s="9" t="n"/>
      <c r="T96" s="9" t="n"/>
      <c r="U96" s="9">
        <f>IF(Q96="","",IF(W96=0,"已付款PAID",IF(V96&gt;0,"部分核销","未付款N/P")))</f>
        <v/>
      </c>
      <c r="V96" s="10">
        <f>IF(G96="","",SUMIFS(回款核销!$H:$H,回款核销!$C:$C,G96)+SUMIFS(回款核销!$H:$H,回款核销!$B:$B,D96,回款核销!$C:$C,""))</f>
        <v/>
      </c>
      <c r="W96" s="10">
        <f>IF(Q96="","",MAX(0,Q96-V96))</f>
        <v/>
      </c>
      <c r="X96" s="9" t="n"/>
      <c r="Y96" s="10">
        <f>IF(OR(N96="",X96=""),"",N96*X96)</f>
        <v/>
      </c>
      <c r="Z96" s="10">
        <f>IF(OR(Q96="",Y96=""),"",Q96-Y96)</f>
        <v/>
      </c>
      <c r="AA96" s="9" t="n"/>
      <c r="AB96" s="9" t="n"/>
    </row>
    <row r="97" ht="22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10">
        <f>IF(OR(N97="",P97=""),"",N97*P97)</f>
        <v/>
      </c>
      <c r="R97" s="9" t="n"/>
      <c r="S97" s="9" t="n"/>
      <c r="T97" s="9" t="n"/>
      <c r="U97" s="9">
        <f>IF(Q97="","",IF(W97=0,"已付款PAID",IF(V97&gt;0,"部分核销","未付款N/P")))</f>
        <v/>
      </c>
      <c r="V97" s="10">
        <f>IF(G97="","",SUMIFS(回款核销!$H:$H,回款核销!$C:$C,G97)+SUMIFS(回款核销!$H:$H,回款核销!$B:$B,D97,回款核销!$C:$C,""))</f>
        <v/>
      </c>
      <c r="W97" s="10">
        <f>IF(Q97="","",MAX(0,Q97-V97))</f>
        <v/>
      </c>
      <c r="X97" s="9" t="n"/>
      <c r="Y97" s="10">
        <f>IF(OR(N97="",X97=""),"",N97*X97)</f>
        <v/>
      </c>
      <c r="Z97" s="10">
        <f>IF(OR(Q97="",Y97=""),"",Q97-Y97)</f>
        <v/>
      </c>
      <c r="AA97" s="9" t="n"/>
      <c r="AB97" s="9" t="n"/>
    </row>
    <row r="98" ht="22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10">
        <f>IF(OR(N98="",P98=""),"",N98*P98)</f>
        <v/>
      </c>
      <c r="R98" s="9" t="n"/>
      <c r="S98" s="9" t="n"/>
      <c r="T98" s="9" t="n"/>
      <c r="U98" s="9">
        <f>IF(Q98="","",IF(W98=0,"已付款PAID",IF(V98&gt;0,"部分核销","未付款N/P")))</f>
        <v/>
      </c>
      <c r="V98" s="10">
        <f>IF(G98="","",SUMIFS(回款核销!$H:$H,回款核销!$C:$C,G98)+SUMIFS(回款核销!$H:$H,回款核销!$B:$B,D98,回款核销!$C:$C,""))</f>
        <v/>
      </c>
      <c r="W98" s="10">
        <f>IF(Q98="","",MAX(0,Q98-V98))</f>
        <v/>
      </c>
      <c r="X98" s="9" t="n"/>
      <c r="Y98" s="10">
        <f>IF(OR(N98="",X98=""),"",N98*X98)</f>
        <v/>
      </c>
      <c r="Z98" s="10">
        <f>IF(OR(Q98="",Y98=""),"",Q98-Y98)</f>
        <v/>
      </c>
      <c r="AA98" s="9" t="n"/>
      <c r="AB98" s="9" t="n"/>
    </row>
    <row r="99" ht="22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10">
        <f>IF(OR(N99="",P99=""),"",N99*P99)</f>
        <v/>
      </c>
      <c r="R99" s="9" t="n"/>
      <c r="S99" s="9" t="n"/>
      <c r="T99" s="9" t="n"/>
      <c r="U99" s="9">
        <f>IF(Q99="","",IF(W99=0,"已付款PAID",IF(V99&gt;0,"部分核销","未付款N/P")))</f>
        <v/>
      </c>
      <c r="V99" s="10">
        <f>IF(G99="","",SUMIFS(回款核销!$H:$H,回款核销!$C:$C,G99)+SUMIFS(回款核销!$H:$H,回款核销!$B:$B,D99,回款核销!$C:$C,""))</f>
        <v/>
      </c>
      <c r="W99" s="10">
        <f>IF(Q99="","",MAX(0,Q99-V99))</f>
        <v/>
      </c>
      <c r="X99" s="9" t="n"/>
      <c r="Y99" s="10">
        <f>IF(OR(N99="",X99=""),"",N99*X99)</f>
        <v/>
      </c>
      <c r="Z99" s="10">
        <f>IF(OR(Q99="",Y99=""),"",Q99-Y99)</f>
        <v/>
      </c>
      <c r="AA99" s="9" t="n"/>
      <c r="AB99" s="9" t="n"/>
    </row>
    <row r="100" ht="22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10">
        <f>IF(OR(N100="",P100=""),"",N100*P100)</f>
        <v/>
      </c>
      <c r="R100" s="9" t="n"/>
      <c r="S100" s="9" t="n"/>
      <c r="T100" s="9" t="n"/>
      <c r="U100" s="9">
        <f>IF(Q100="","",IF(W100=0,"已付款PAID",IF(V100&gt;0,"部分核销","未付款N/P")))</f>
        <v/>
      </c>
      <c r="V100" s="10">
        <f>IF(G100="","",SUMIFS(回款核销!$H:$H,回款核销!$C:$C,G100)+SUMIFS(回款核销!$H:$H,回款核销!$B:$B,D100,回款核销!$C:$C,""))</f>
        <v/>
      </c>
      <c r="W100" s="10">
        <f>IF(Q100="","",MAX(0,Q100-V100))</f>
        <v/>
      </c>
      <c r="X100" s="9" t="n"/>
      <c r="Y100" s="10">
        <f>IF(OR(N100="",X100=""),"",N100*X100)</f>
        <v/>
      </c>
      <c r="Z100" s="10">
        <f>IF(OR(Q100="",Y100=""),"",Q100-Y100)</f>
        <v/>
      </c>
      <c r="AA100" s="9" t="n"/>
      <c r="AB100" s="9" t="n"/>
    </row>
    <row r="101" ht="22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10">
        <f>IF(OR(N101="",P101=""),"",N101*P101)</f>
        <v/>
      </c>
      <c r="R101" s="9" t="n"/>
      <c r="S101" s="9" t="n"/>
      <c r="T101" s="9" t="n"/>
      <c r="U101" s="9">
        <f>IF(Q101="","",IF(W101=0,"已付款PAID",IF(V101&gt;0,"部分核销","未付款N/P")))</f>
        <v/>
      </c>
      <c r="V101" s="10">
        <f>IF(G101="","",SUMIFS(回款核销!$H:$H,回款核销!$C:$C,G101)+SUMIFS(回款核销!$H:$H,回款核销!$B:$B,D101,回款核销!$C:$C,""))</f>
        <v/>
      </c>
      <c r="W101" s="10">
        <f>IF(Q101="","",MAX(0,Q101-V101))</f>
        <v/>
      </c>
      <c r="X101" s="9" t="n"/>
      <c r="Y101" s="10">
        <f>IF(OR(N101="",X101=""),"",N101*X101)</f>
        <v/>
      </c>
      <c r="Z101" s="10">
        <f>IF(OR(Q101="",Y101=""),"",Q101-Y101)</f>
        <v/>
      </c>
      <c r="AA101" s="9" t="n"/>
      <c r="AB101" s="9" t="n"/>
    </row>
    <row r="102" ht="22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10">
        <f>IF(OR(N102="",P102=""),"",N102*P102)</f>
        <v/>
      </c>
      <c r="R102" s="9" t="n"/>
      <c r="S102" s="9" t="n"/>
      <c r="T102" s="9" t="n"/>
      <c r="U102" s="9">
        <f>IF(Q102="","",IF(W102=0,"已付款PAID",IF(V102&gt;0,"部分核销","未付款N/P")))</f>
        <v/>
      </c>
      <c r="V102" s="10">
        <f>IF(G102="","",SUMIFS(回款核销!$H:$H,回款核销!$C:$C,G102)+SUMIFS(回款核销!$H:$H,回款核销!$B:$B,D102,回款核销!$C:$C,""))</f>
        <v/>
      </c>
      <c r="W102" s="10">
        <f>IF(Q102="","",MAX(0,Q102-V102))</f>
        <v/>
      </c>
      <c r="X102" s="9" t="n"/>
      <c r="Y102" s="10">
        <f>IF(OR(N102="",X102=""),"",N102*X102)</f>
        <v/>
      </c>
      <c r="Z102" s="10">
        <f>IF(OR(Q102="",Y102=""),"",Q102-Y102)</f>
        <v/>
      </c>
      <c r="AA102" s="9" t="n"/>
      <c r="AB102" s="9" t="n"/>
    </row>
    <row r="103" ht="22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10">
        <f>IF(OR(N103="",P103=""),"",N103*P103)</f>
        <v/>
      </c>
      <c r="R103" s="9" t="n"/>
      <c r="S103" s="9" t="n"/>
      <c r="T103" s="9" t="n"/>
      <c r="U103" s="9">
        <f>IF(Q103="","",IF(W103=0,"已付款PAID",IF(V103&gt;0,"部分核销","未付款N/P")))</f>
        <v/>
      </c>
      <c r="V103" s="10">
        <f>IF(G103="","",SUMIFS(回款核销!$H:$H,回款核销!$C:$C,G103)+SUMIFS(回款核销!$H:$H,回款核销!$B:$B,D103,回款核销!$C:$C,""))</f>
        <v/>
      </c>
      <c r="W103" s="10">
        <f>IF(Q103="","",MAX(0,Q103-V103))</f>
        <v/>
      </c>
      <c r="X103" s="9" t="n"/>
      <c r="Y103" s="10">
        <f>IF(OR(N103="",X103=""),"",N103*X103)</f>
        <v/>
      </c>
      <c r="Z103" s="10">
        <f>IF(OR(Q103="",Y103=""),"",Q103-Y103)</f>
        <v/>
      </c>
      <c r="AA103" s="9" t="n"/>
      <c r="AB103" s="9" t="n"/>
    </row>
    <row r="104" ht="22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10">
        <f>IF(OR(N104="",P104=""),"",N104*P104)</f>
        <v/>
      </c>
      <c r="R104" s="9" t="n"/>
      <c r="S104" s="9" t="n"/>
      <c r="T104" s="9" t="n"/>
      <c r="U104" s="9">
        <f>IF(Q104="","",IF(W104=0,"已付款PAID",IF(V104&gt;0,"部分核销","未付款N/P")))</f>
        <v/>
      </c>
      <c r="V104" s="10">
        <f>IF(G104="","",SUMIFS(回款核销!$H:$H,回款核销!$C:$C,G104)+SUMIFS(回款核销!$H:$H,回款核销!$B:$B,D104,回款核销!$C:$C,""))</f>
        <v/>
      </c>
      <c r="W104" s="10">
        <f>IF(Q104="","",MAX(0,Q104-V104))</f>
        <v/>
      </c>
      <c r="X104" s="9" t="n"/>
      <c r="Y104" s="10">
        <f>IF(OR(N104="",X104=""),"",N104*X104)</f>
        <v/>
      </c>
      <c r="Z104" s="10">
        <f>IF(OR(Q104="",Y104=""),"",Q104-Y104)</f>
        <v/>
      </c>
      <c r="AA104" s="9" t="n"/>
      <c r="AB104" s="9" t="n"/>
    </row>
    <row r="105" ht="22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10">
        <f>IF(OR(N105="",P105=""),"",N105*P105)</f>
        <v/>
      </c>
      <c r="R105" s="9" t="n"/>
      <c r="S105" s="9" t="n"/>
      <c r="T105" s="9" t="n"/>
      <c r="U105" s="9">
        <f>IF(Q105="","",IF(W105=0,"已付款PAID",IF(V105&gt;0,"部分核销","未付款N/P")))</f>
        <v/>
      </c>
      <c r="V105" s="10">
        <f>IF(G105="","",SUMIFS(回款核销!$H:$H,回款核销!$C:$C,G105)+SUMIFS(回款核销!$H:$H,回款核销!$B:$B,D105,回款核销!$C:$C,""))</f>
        <v/>
      </c>
      <c r="W105" s="10">
        <f>IF(Q105="","",MAX(0,Q105-V105))</f>
        <v/>
      </c>
      <c r="X105" s="9" t="n"/>
      <c r="Y105" s="10">
        <f>IF(OR(N105="",X105=""),"",N105*X105)</f>
        <v/>
      </c>
      <c r="Z105" s="10">
        <f>IF(OR(Q105="",Y105=""),"",Q105-Y105)</f>
        <v/>
      </c>
      <c r="AA105" s="9" t="n"/>
      <c r="AB105" s="9" t="n"/>
    </row>
    <row r="106" ht="22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10">
        <f>IF(OR(N106="",P106=""),"",N106*P106)</f>
        <v/>
      </c>
      <c r="R106" s="9" t="n"/>
      <c r="S106" s="9" t="n"/>
      <c r="T106" s="9" t="n"/>
      <c r="U106" s="9">
        <f>IF(Q106="","",IF(W106=0,"已付款PAID",IF(V106&gt;0,"部分核销","未付款N/P")))</f>
        <v/>
      </c>
      <c r="V106" s="10">
        <f>IF(G106="","",SUMIFS(回款核销!$H:$H,回款核销!$C:$C,G106)+SUMIFS(回款核销!$H:$H,回款核销!$B:$B,D106,回款核销!$C:$C,""))</f>
        <v/>
      </c>
      <c r="W106" s="10">
        <f>IF(Q106="","",MAX(0,Q106-V106))</f>
        <v/>
      </c>
      <c r="X106" s="9" t="n"/>
      <c r="Y106" s="10">
        <f>IF(OR(N106="",X106=""),"",N106*X106)</f>
        <v/>
      </c>
      <c r="Z106" s="10">
        <f>IF(OR(Q106="",Y106=""),"",Q106-Y106)</f>
        <v/>
      </c>
      <c r="AA106" s="9" t="n"/>
      <c r="AB106" s="9" t="n"/>
    </row>
    <row r="107" ht="22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10">
        <f>IF(OR(N107="",P107=""),"",N107*P107)</f>
        <v/>
      </c>
      <c r="R107" s="9" t="n"/>
      <c r="S107" s="9" t="n"/>
      <c r="T107" s="9" t="n"/>
      <c r="U107" s="9">
        <f>IF(Q107="","",IF(W107=0,"已付款PAID",IF(V107&gt;0,"部分核销","未付款N/P")))</f>
        <v/>
      </c>
      <c r="V107" s="10">
        <f>IF(G107="","",SUMIFS(回款核销!$H:$H,回款核销!$C:$C,G107)+SUMIFS(回款核销!$H:$H,回款核销!$B:$B,D107,回款核销!$C:$C,""))</f>
        <v/>
      </c>
      <c r="W107" s="10">
        <f>IF(Q107="","",MAX(0,Q107-V107))</f>
        <v/>
      </c>
      <c r="X107" s="9" t="n"/>
      <c r="Y107" s="10">
        <f>IF(OR(N107="",X107=""),"",N107*X107)</f>
        <v/>
      </c>
      <c r="Z107" s="10">
        <f>IF(OR(Q107="",Y107=""),"",Q107-Y107)</f>
        <v/>
      </c>
      <c r="AA107" s="9" t="n"/>
      <c r="AB107" s="9" t="n"/>
    </row>
    <row r="108" ht="22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10">
        <f>IF(OR(N108="",P108=""),"",N108*P108)</f>
        <v/>
      </c>
      <c r="R108" s="9" t="n"/>
      <c r="S108" s="9" t="n"/>
      <c r="T108" s="9" t="n"/>
      <c r="U108" s="9">
        <f>IF(Q108="","",IF(W108=0,"已付款PAID",IF(V108&gt;0,"部分核销","未付款N/P")))</f>
        <v/>
      </c>
      <c r="V108" s="10">
        <f>IF(G108="","",SUMIFS(回款核销!$H:$H,回款核销!$C:$C,G108)+SUMIFS(回款核销!$H:$H,回款核销!$B:$B,D108,回款核销!$C:$C,""))</f>
        <v/>
      </c>
      <c r="W108" s="10">
        <f>IF(Q108="","",MAX(0,Q108-V108))</f>
        <v/>
      </c>
      <c r="X108" s="9" t="n"/>
      <c r="Y108" s="10">
        <f>IF(OR(N108="",X108=""),"",N108*X108)</f>
        <v/>
      </c>
      <c r="Z108" s="10">
        <f>IF(OR(Q108="",Y108=""),"",Q108-Y108)</f>
        <v/>
      </c>
      <c r="AA108" s="9" t="n"/>
      <c r="AB108" s="9" t="n"/>
    </row>
    <row r="109" ht="22" customHeight="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10">
        <f>IF(OR(N109="",P109=""),"",N109*P109)</f>
        <v/>
      </c>
      <c r="R109" s="9" t="n"/>
      <c r="S109" s="9" t="n"/>
      <c r="T109" s="9" t="n"/>
      <c r="U109" s="9">
        <f>IF(Q109="","",IF(W109=0,"已付款PAID",IF(V109&gt;0,"部分核销","未付款N/P")))</f>
        <v/>
      </c>
      <c r="V109" s="10">
        <f>IF(G109="","",SUMIFS(回款核销!$H:$H,回款核销!$C:$C,G109)+SUMIFS(回款核销!$H:$H,回款核销!$B:$B,D109,回款核销!$C:$C,""))</f>
        <v/>
      </c>
      <c r="W109" s="10">
        <f>IF(Q109="","",MAX(0,Q109-V109))</f>
        <v/>
      </c>
      <c r="X109" s="9" t="n"/>
      <c r="Y109" s="10">
        <f>IF(OR(N109="",X109=""),"",N109*X109)</f>
        <v/>
      </c>
      <c r="Z109" s="10">
        <f>IF(OR(Q109="",Y109=""),"",Q109-Y109)</f>
        <v/>
      </c>
      <c r="AA109" s="9" t="n"/>
      <c r="AB109" s="9" t="n"/>
    </row>
    <row r="110" ht="22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10">
        <f>IF(OR(N110="",P110=""),"",N110*P110)</f>
        <v/>
      </c>
      <c r="R110" s="9" t="n"/>
      <c r="S110" s="9" t="n"/>
      <c r="T110" s="9" t="n"/>
      <c r="U110" s="9">
        <f>IF(Q110="","",IF(W110=0,"已付款PAID",IF(V110&gt;0,"部分核销","未付款N/P")))</f>
        <v/>
      </c>
      <c r="V110" s="10">
        <f>IF(G110="","",SUMIFS(回款核销!$H:$H,回款核销!$C:$C,G110)+SUMIFS(回款核销!$H:$H,回款核销!$B:$B,D110,回款核销!$C:$C,""))</f>
        <v/>
      </c>
      <c r="W110" s="10">
        <f>IF(Q110="","",MAX(0,Q110-V110))</f>
        <v/>
      </c>
      <c r="X110" s="9" t="n"/>
      <c r="Y110" s="10">
        <f>IF(OR(N110="",X110=""),"",N110*X110)</f>
        <v/>
      </c>
      <c r="Z110" s="10">
        <f>IF(OR(Q110="",Y110=""),"",Q110-Y110)</f>
        <v/>
      </c>
      <c r="AA110" s="9" t="n"/>
      <c r="AB110" s="9" t="n"/>
    </row>
    <row r="111" ht="22" customHeight="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10">
        <f>IF(OR(N111="",P111=""),"",N111*P111)</f>
        <v/>
      </c>
      <c r="R111" s="9" t="n"/>
      <c r="S111" s="9" t="n"/>
      <c r="T111" s="9" t="n"/>
      <c r="U111" s="9">
        <f>IF(Q111="","",IF(W111=0,"已付款PAID",IF(V111&gt;0,"部分核销","未付款N/P")))</f>
        <v/>
      </c>
      <c r="V111" s="10">
        <f>IF(G111="","",SUMIFS(回款核销!$H:$H,回款核销!$C:$C,G111)+SUMIFS(回款核销!$H:$H,回款核销!$B:$B,D111,回款核销!$C:$C,""))</f>
        <v/>
      </c>
      <c r="W111" s="10">
        <f>IF(Q111="","",MAX(0,Q111-V111))</f>
        <v/>
      </c>
      <c r="X111" s="9" t="n"/>
      <c r="Y111" s="10">
        <f>IF(OR(N111="",X111=""),"",N111*X111)</f>
        <v/>
      </c>
      <c r="Z111" s="10">
        <f>IF(OR(Q111="",Y111=""),"",Q111-Y111)</f>
        <v/>
      </c>
      <c r="AA111" s="9" t="n"/>
      <c r="AB111" s="9" t="n"/>
    </row>
    <row r="112" ht="22" customHeight="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10">
        <f>IF(OR(N112="",P112=""),"",N112*P112)</f>
        <v/>
      </c>
      <c r="R112" s="9" t="n"/>
      <c r="S112" s="9" t="n"/>
      <c r="T112" s="9" t="n"/>
      <c r="U112" s="9">
        <f>IF(Q112="","",IF(W112=0,"已付款PAID",IF(V112&gt;0,"部分核销","未付款N/P")))</f>
        <v/>
      </c>
      <c r="V112" s="10">
        <f>IF(G112="","",SUMIFS(回款核销!$H:$H,回款核销!$C:$C,G112)+SUMIFS(回款核销!$H:$H,回款核销!$B:$B,D112,回款核销!$C:$C,""))</f>
        <v/>
      </c>
      <c r="W112" s="10">
        <f>IF(Q112="","",MAX(0,Q112-V112))</f>
        <v/>
      </c>
      <c r="X112" s="9" t="n"/>
      <c r="Y112" s="10">
        <f>IF(OR(N112="",X112=""),"",N112*X112)</f>
        <v/>
      </c>
      <c r="Z112" s="10">
        <f>IF(OR(Q112="",Y112=""),"",Q112-Y112)</f>
        <v/>
      </c>
      <c r="AA112" s="9" t="n"/>
      <c r="AB112" s="9" t="n"/>
    </row>
    <row r="113" ht="22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10">
        <f>IF(OR(N113="",P113=""),"",N113*P113)</f>
        <v/>
      </c>
      <c r="R113" s="9" t="n"/>
      <c r="S113" s="9" t="n"/>
      <c r="T113" s="9" t="n"/>
      <c r="U113" s="9">
        <f>IF(Q113="","",IF(W113=0,"已付款PAID",IF(V113&gt;0,"部分核销","未付款N/P")))</f>
        <v/>
      </c>
      <c r="V113" s="10">
        <f>IF(G113="","",SUMIFS(回款核销!$H:$H,回款核销!$C:$C,G113)+SUMIFS(回款核销!$H:$H,回款核销!$B:$B,D113,回款核销!$C:$C,""))</f>
        <v/>
      </c>
      <c r="W113" s="10">
        <f>IF(Q113="","",MAX(0,Q113-V113))</f>
        <v/>
      </c>
      <c r="X113" s="9" t="n"/>
      <c r="Y113" s="10">
        <f>IF(OR(N113="",X113=""),"",N113*X113)</f>
        <v/>
      </c>
      <c r="Z113" s="10">
        <f>IF(OR(Q113="",Y113=""),"",Q113-Y113)</f>
        <v/>
      </c>
      <c r="AA113" s="9" t="n"/>
      <c r="AB113" s="9" t="n"/>
    </row>
    <row r="114" ht="22" customHeight="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10">
        <f>IF(OR(N114="",P114=""),"",N114*P114)</f>
        <v/>
      </c>
      <c r="R114" s="9" t="n"/>
      <c r="S114" s="9" t="n"/>
      <c r="T114" s="9" t="n"/>
      <c r="U114" s="9">
        <f>IF(Q114="","",IF(W114=0,"已付款PAID",IF(V114&gt;0,"部分核销","未付款N/P")))</f>
        <v/>
      </c>
      <c r="V114" s="10">
        <f>IF(G114="","",SUMIFS(回款核销!$H:$H,回款核销!$C:$C,G114)+SUMIFS(回款核销!$H:$H,回款核销!$B:$B,D114,回款核销!$C:$C,""))</f>
        <v/>
      </c>
      <c r="W114" s="10">
        <f>IF(Q114="","",MAX(0,Q114-V114))</f>
        <v/>
      </c>
      <c r="X114" s="9" t="n"/>
      <c r="Y114" s="10">
        <f>IF(OR(N114="",X114=""),"",N114*X114)</f>
        <v/>
      </c>
      <c r="Z114" s="10">
        <f>IF(OR(Q114="",Y114=""),"",Q114-Y114)</f>
        <v/>
      </c>
      <c r="AA114" s="9" t="n"/>
      <c r="AB114" s="9" t="n"/>
    </row>
    <row r="115" ht="22" customHeight="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10">
        <f>IF(OR(N115="",P115=""),"",N115*P115)</f>
        <v/>
      </c>
      <c r="R115" s="9" t="n"/>
      <c r="S115" s="9" t="n"/>
      <c r="T115" s="9" t="n"/>
      <c r="U115" s="9">
        <f>IF(Q115="","",IF(W115=0,"已付款PAID",IF(V115&gt;0,"部分核销","未付款N/P")))</f>
        <v/>
      </c>
      <c r="V115" s="10">
        <f>IF(G115="","",SUMIFS(回款核销!$H:$H,回款核销!$C:$C,G115)+SUMIFS(回款核销!$H:$H,回款核销!$B:$B,D115,回款核销!$C:$C,""))</f>
        <v/>
      </c>
      <c r="W115" s="10">
        <f>IF(Q115="","",MAX(0,Q115-V115))</f>
        <v/>
      </c>
      <c r="X115" s="9" t="n"/>
      <c r="Y115" s="10">
        <f>IF(OR(N115="",X115=""),"",N115*X115)</f>
        <v/>
      </c>
      <c r="Z115" s="10">
        <f>IF(OR(Q115="",Y115=""),"",Q115-Y115)</f>
        <v/>
      </c>
      <c r="AA115" s="9" t="n"/>
      <c r="AB115" s="9" t="n"/>
    </row>
    <row r="116" ht="22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10">
        <f>IF(OR(N116="",P116=""),"",N116*P116)</f>
        <v/>
      </c>
      <c r="R116" s="9" t="n"/>
      <c r="S116" s="9" t="n"/>
      <c r="T116" s="9" t="n"/>
      <c r="U116" s="9">
        <f>IF(Q116="","",IF(W116=0,"已付款PAID",IF(V116&gt;0,"部分核销","未付款N/P")))</f>
        <v/>
      </c>
      <c r="V116" s="10">
        <f>IF(G116="","",SUMIFS(回款核销!$H:$H,回款核销!$C:$C,G116)+SUMIFS(回款核销!$H:$H,回款核销!$B:$B,D116,回款核销!$C:$C,""))</f>
        <v/>
      </c>
      <c r="W116" s="10">
        <f>IF(Q116="","",MAX(0,Q116-V116))</f>
        <v/>
      </c>
      <c r="X116" s="9" t="n"/>
      <c r="Y116" s="10">
        <f>IF(OR(N116="",X116=""),"",N116*X116)</f>
        <v/>
      </c>
      <c r="Z116" s="10">
        <f>IF(OR(Q116="",Y116=""),"",Q116-Y116)</f>
        <v/>
      </c>
      <c r="AA116" s="9" t="n"/>
      <c r="AB116" s="9" t="n"/>
    </row>
    <row r="117" ht="22" customHeight="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10">
        <f>IF(OR(N117="",P117=""),"",N117*P117)</f>
        <v/>
      </c>
      <c r="R117" s="9" t="n"/>
      <c r="S117" s="9" t="n"/>
      <c r="T117" s="9" t="n"/>
      <c r="U117" s="9">
        <f>IF(Q117="","",IF(W117=0,"已付款PAID",IF(V117&gt;0,"部分核销","未付款N/P")))</f>
        <v/>
      </c>
      <c r="V117" s="10">
        <f>IF(G117="","",SUMIFS(回款核销!$H:$H,回款核销!$C:$C,G117)+SUMIFS(回款核销!$H:$H,回款核销!$B:$B,D117,回款核销!$C:$C,""))</f>
        <v/>
      </c>
      <c r="W117" s="10">
        <f>IF(Q117="","",MAX(0,Q117-V117))</f>
        <v/>
      </c>
      <c r="X117" s="9" t="n"/>
      <c r="Y117" s="10">
        <f>IF(OR(N117="",X117=""),"",N117*X117)</f>
        <v/>
      </c>
      <c r="Z117" s="10">
        <f>IF(OR(Q117="",Y117=""),"",Q117-Y117)</f>
        <v/>
      </c>
      <c r="AA117" s="9" t="n"/>
      <c r="AB117" s="9" t="n"/>
    </row>
    <row r="118" ht="22" customHeight="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10">
        <f>IF(OR(N118="",P118=""),"",N118*P118)</f>
        <v/>
      </c>
      <c r="R118" s="9" t="n"/>
      <c r="S118" s="9" t="n"/>
      <c r="T118" s="9" t="n"/>
      <c r="U118" s="9">
        <f>IF(Q118="","",IF(W118=0,"已付款PAID",IF(V118&gt;0,"部分核销","未付款N/P")))</f>
        <v/>
      </c>
      <c r="V118" s="10">
        <f>IF(G118="","",SUMIFS(回款核销!$H:$H,回款核销!$C:$C,G118)+SUMIFS(回款核销!$H:$H,回款核销!$B:$B,D118,回款核销!$C:$C,""))</f>
        <v/>
      </c>
      <c r="W118" s="10">
        <f>IF(Q118="","",MAX(0,Q118-V118))</f>
        <v/>
      </c>
      <c r="X118" s="9" t="n"/>
      <c r="Y118" s="10">
        <f>IF(OR(N118="",X118=""),"",N118*X118)</f>
        <v/>
      </c>
      <c r="Z118" s="10">
        <f>IF(OR(Q118="",Y118=""),"",Q118-Y118)</f>
        <v/>
      </c>
      <c r="AA118" s="9" t="n"/>
      <c r="AB118" s="9" t="n"/>
    </row>
    <row r="119" ht="22" customHeight="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10">
        <f>IF(OR(N119="",P119=""),"",N119*P119)</f>
        <v/>
      </c>
      <c r="R119" s="9" t="n"/>
      <c r="S119" s="9" t="n"/>
      <c r="T119" s="9" t="n"/>
      <c r="U119" s="9">
        <f>IF(Q119="","",IF(W119=0,"已付款PAID",IF(V119&gt;0,"部分核销","未付款N/P")))</f>
        <v/>
      </c>
      <c r="V119" s="10">
        <f>IF(G119="","",SUMIFS(回款核销!$H:$H,回款核销!$C:$C,G119)+SUMIFS(回款核销!$H:$H,回款核销!$B:$B,D119,回款核销!$C:$C,""))</f>
        <v/>
      </c>
      <c r="W119" s="10">
        <f>IF(Q119="","",MAX(0,Q119-V119))</f>
        <v/>
      </c>
      <c r="X119" s="9" t="n"/>
      <c r="Y119" s="10">
        <f>IF(OR(N119="",X119=""),"",N119*X119)</f>
        <v/>
      </c>
      <c r="Z119" s="10">
        <f>IF(OR(Q119="",Y119=""),"",Q119-Y119)</f>
        <v/>
      </c>
      <c r="AA119" s="9" t="n"/>
      <c r="AB119" s="9" t="n"/>
    </row>
    <row r="120" ht="22" customHeight="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10">
        <f>IF(OR(N120="",P120=""),"",N120*P120)</f>
        <v/>
      </c>
      <c r="R120" s="9" t="n"/>
      <c r="S120" s="9" t="n"/>
      <c r="T120" s="9" t="n"/>
      <c r="U120" s="9">
        <f>IF(Q120="","",IF(W120=0,"已付款PAID",IF(V120&gt;0,"部分核销","未付款N/P")))</f>
        <v/>
      </c>
      <c r="V120" s="10">
        <f>IF(G120="","",SUMIFS(回款核销!$H:$H,回款核销!$C:$C,G120)+SUMIFS(回款核销!$H:$H,回款核销!$B:$B,D120,回款核销!$C:$C,""))</f>
        <v/>
      </c>
      <c r="W120" s="10">
        <f>IF(Q120="","",MAX(0,Q120-V120))</f>
        <v/>
      </c>
      <c r="X120" s="9" t="n"/>
      <c r="Y120" s="10">
        <f>IF(OR(N120="",X120=""),"",N120*X120)</f>
        <v/>
      </c>
      <c r="Z120" s="10">
        <f>IF(OR(Q120="",Y120=""),"",Q120-Y120)</f>
        <v/>
      </c>
      <c r="AA120" s="9" t="n"/>
      <c r="AB120" s="9" t="n"/>
    </row>
    <row r="121" ht="22" customHeight="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10">
        <f>IF(OR(N121="",P121=""),"",N121*P121)</f>
        <v/>
      </c>
      <c r="R121" s="9" t="n"/>
      <c r="S121" s="9" t="n"/>
      <c r="T121" s="9" t="n"/>
      <c r="U121" s="9">
        <f>IF(Q121="","",IF(W121=0,"已付款PAID",IF(V121&gt;0,"部分核销","未付款N/P")))</f>
        <v/>
      </c>
      <c r="V121" s="10">
        <f>IF(G121="","",SUMIFS(回款核销!$H:$H,回款核销!$C:$C,G121)+SUMIFS(回款核销!$H:$H,回款核销!$B:$B,D121,回款核销!$C:$C,""))</f>
        <v/>
      </c>
      <c r="W121" s="10">
        <f>IF(Q121="","",MAX(0,Q121-V121))</f>
        <v/>
      </c>
      <c r="X121" s="9" t="n"/>
      <c r="Y121" s="10">
        <f>IF(OR(N121="",X121=""),"",N121*X121)</f>
        <v/>
      </c>
      <c r="Z121" s="10">
        <f>IF(OR(Q121="",Y121=""),"",Q121-Y121)</f>
        <v/>
      </c>
      <c r="AA121" s="9" t="n"/>
      <c r="AB121" s="9" t="n"/>
    </row>
    <row r="122" ht="22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10">
        <f>IF(OR(N122="",P122=""),"",N122*P122)</f>
        <v/>
      </c>
      <c r="R122" s="9" t="n"/>
      <c r="S122" s="9" t="n"/>
      <c r="T122" s="9" t="n"/>
      <c r="U122" s="9">
        <f>IF(Q122="","",IF(W122=0,"已付款PAID",IF(V122&gt;0,"部分核销","未付款N/P")))</f>
        <v/>
      </c>
      <c r="V122" s="10">
        <f>IF(G122="","",SUMIFS(回款核销!$H:$H,回款核销!$C:$C,G122)+SUMIFS(回款核销!$H:$H,回款核销!$B:$B,D122,回款核销!$C:$C,""))</f>
        <v/>
      </c>
      <c r="W122" s="10">
        <f>IF(Q122="","",MAX(0,Q122-V122))</f>
        <v/>
      </c>
      <c r="X122" s="9" t="n"/>
      <c r="Y122" s="10">
        <f>IF(OR(N122="",X122=""),"",N122*X122)</f>
        <v/>
      </c>
      <c r="Z122" s="10">
        <f>IF(OR(Q122="",Y122=""),"",Q122-Y122)</f>
        <v/>
      </c>
      <c r="AA122" s="9" t="n"/>
      <c r="AB122" s="9" t="n"/>
    </row>
    <row r="123" ht="22" customHeight="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10">
        <f>IF(OR(N123="",P123=""),"",N123*P123)</f>
        <v/>
      </c>
      <c r="R123" s="9" t="n"/>
      <c r="S123" s="9" t="n"/>
      <c r="T123" s="9" t="n"/>
      <c r="U123" s="9">
        <f>IF(Q123="","",IF(W123=0,"已付款PAID",IF(V123&gt;0,"部分核销","未付款N/P")))</f>
        <v/>
      </c>
      <c r="V123" s="10">
        <f>IF(G123="","",SUMIFS(回款核销!$H:$H,回款核销!$C:$C,G123)+SUMIFS(回款核销!$H:$H,回款核销!$B:$B,D123,回款核销!$C:$C,""))</f>
        <v/>
      </c>
      <c r="W123" s="10">
        <f>IF(Q123="","",MAX(0,Q123-V123))</f>
        <v/>
      </c>
      <c r="X123" s="9" t="n"/>
      <c r="Y123" s="10">
        <f>IF(OR(N123="",X123=""),"",N123*X123)</f>
        <v/>
      </c>
      <c r="Z123" s="10">
        <f>IF(OR(Q123="",Y123=""),"",Q123-Y123)</f>
        <v/>
      </c>
      <c r="AA123" s="9" t="n"/>
      <c r="AB123" s="9" t="n"/>
    </row>
    <row r="124" ht="22" customHeight="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10">
        <f>IF(OR(N124="",P124=""),"",N124*P124)</f>
        <v/>
      </c>
      <c r="R124" s="9" t="n"/>
      <c r="S124" s="9" t="n"/>
      <c r="T124" s="9" t="n"/>
      <c r="U124" s="9">
        <f>IF(Q124="","",IF(W124=0,"已付款PAID",IF(V124&gt;0,"部分核销","未付款N/P")))</f>
        <v/>
      </c>
      <c r="V124" s="10">
        <f>IF(G124="","",SUMIFS(回款核销!$H:$H,回款核销!$C:$C,G124)+SUMIFS(回款核销!$H:$H,回款核销!$B:$B,D124,回款核销!$C:$C,""))</f>
        <v/>
      </c>
      <c r="W124" s="10">
        <f>IF(Q124="","",MAX(0,Q124-V124))</f>
        <v/>
      </c>
      <c r="X124" s="9" t="n"/>
      <c r="Y124" s="10">
        <f>IF(OR(N124="",X124=""),"",N124*X124)</f>
        <v/>
      </c>
      <c r="Z124" s="10">
        <f>IF(OR(Q124="",Y124=""),"",Q124-Y124)</f>
        <v/>
      </c>
      <c r="AA124" s="9" t="n"/>
      <c r="AB124" s="9" t="n"/>
    </row>
    <row r="125" ht="22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10">
        <f>IF(OR(N125="",P125=""),"",N125*P125)</f>
        <v/>
      </c>
      <c r="R125" s="9" t="n"/>
      <c r="S125" s="9" t="n"/>
      <c r="T125" s="9" t="n"/>
      <c r="U125" s="9">
        <f>IF(Q125="","",IF(W125=0,"已付款PAID",IF(V125&gt;0,"部分核销","未付款N/P")))</f>
        <v/>
      </c>
      <c r="V125" s="10">
        <f>IF(G125="","",SUMIFS(回款核销!$H:$H,回款核销!$C:$C,G125)+SUMIFS(回款核销!$H:$H,回款核销!$B:$B,D125,回款核销!$C:$C,""))</f>
        <v/>
      </c>
      <c r="W125" s="10">
        <f>IF(Q125="","",MAX(0,Q125-V125))</f>
        <v/>
      </c>
      <c r="X125" s="9" t="n"/>
      <c r="Y125" s="10">
        <f>IF(OR(N125="",X125=""),"",N125*X125)</f>
        <v/>
      </c>
      <c r="Z125" s="10">
        <f>IF(OR(Q125="",Y125=""),"",Q125-Y125)</f>
        <v/>
      </c>
      <c r="AA125" s="9" t="n"/>
      <c r="AB125" s="9" t="n"/>
    </row>
    <row r="126" ht="22" customHeight="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10">
        <f>IF(OR(N126="",P126=""),"",N126*P126)</f>
        <v/>
      </c>
      <c r="R126" s="9" t="n"/>
      <c r="S126" s="9" t="n"/>
      <c r="T126" s="9" t="n"/>
      <c r="U126" s="9">
        <f>IF(Q126="","",IF(W126=0,"已付款PAID",IF(V126&gt;0,"部分核销","未付款N/P")))</f>
        <v/>
      </c>
      <c r="V126" s="10">
        <f>IF(G126="","",SUMIFS(回款核销!$H:$H,回款核销!$C:$C,G126)+SUMIFS(回款核销!$H:$H,回款核销!$B:$B,D126,回款核销!$C:$C,""))</f>
        <v/>
      </c>
      <c r="W126" s="10">
        <f>IF(Q126="","",MAX(0,Q126-V126))</f>
        <v/>
      </c>
      <c r="X126" s="9" t="n"/>
      <c r="Y126" s="10">
        <f>IF(OR(N126="",X126=""),"",N126*X126)</f>
        <v/>
      </c>
      <c r="Z126" s="10">
        <f>IF(OR(Q126="",Y126=""),"",Q126-Y126)</f>
        <v/>
      </c>
      <c r="AA126" s="9" t="n"/>
      <c r="AB126" s="9" t="n"/>
    </row>
    <row r="127" ht="22" customHeight="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10">
        <f>IF(OR(N127="",P127=""),"",N127*P127)</f>
        <v/>
      </c>
      <c r="R127" s="9" t="n"/>
      <c r="S127" s="9" t="n"/>
      <c r="T127" s="9" t="n"/>
      <c r="U127" s="9">
        <f>IF(Q127="","",IF(W127=0,"已付款PAID",IF(V127&gt;0,"部分核销","未付款N/P")))</f>
        <v/>
      </c>
      <c r="V127" s="10">
        <f>IF(G127="","",SUMIFS(回款核销!$H:$H,回款核销!$C:$C,G127)+SUMIFS(回款核销!$H:$H,回款核销!$B:$B,D127,回款核销!$C:$C,""))</f>
        <v/>
      </c>
      <c r="W127" s="10">
        <f>IF(Q127="","",MAX(0,Q127-V127))</f>
        <v/>
      </c>
      <c r="X127" s="9" t="n"/>
      <c r="Y127" s="10">
        <f>IF(OR(N127="",X127=""),"",N127*X127)</f>
        <v/>
      </c>
      <c r="Z127" s="10">
        <f>IF(OR(Q127="",Y127=""),"",Q127-Y127)</f>
        <v/>
      </c>
      <c r="AA127" s="9" t="n"/>
      <c r="AB127" s="9" t="n"/>
    </row>
    <row r="128" ht="22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10">
        <f>IF(OR(N128="",P128=""),"",N128*P128)</f>
        <v/>
      </c>
      <c r="R128" s="9" t="n"/>
      <c r="S128" s="9" t="n"/>
      <c r="T128" s="9" t="n"/>
      <c r="U128" s="9">
        <f>IF(Q128="","",IF(W128=0,"已付款PAID",IF(V128&gt;0,"部分核销","未付款N/P")))</f>
        <v/>
      </c>
      <c r="V128" s="10">
        <f>IF(G128="","",SUMIFS(回款核销!$H:$H,回款核销!$C:$C,G128)+SUMIFS(回款核销!$H:$H,回款核销!$B:$B,D128,回款核销!$C:$C,""))</f>
        <v/>
      </c>
      <c r="W128" s="10">
        <f>IF(Q128="","",MAX(0,Q128-V128))</f>
        <v/>
      </c>
      <c r="X128" s="9" t="n"/>
      <c r="Y128" s="10">
        <f>IF(OR(N128="",X128=""),"",N128*X128)</f>
        <v/>
      </c>
      <c r="Z128" s="10">
        <f>IF(OR(Q128="",Y128=""),"",Q128-Y128)</f>
        <v/>
      </c>
      <c r="AA128" s="9" t="n"/>
      <c r="AB128" s="9" t="n"/>
    </row>
    <row r="129" ht="22" customHeight="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10">
        <f>IF(OR(N129="",P129=""),"",N129*P129)</f>
        <v/>
      </c>
      <c r="R129" s="9" t="n"/>
      <c r="S129" s="9" t="n"/>
      <c r="T129" s="9" t="n"/>
      <c r="U129" s="9">
        <f>IF(Q129="","",IF(W129=0,"已付款PAID",IF(V129&gt;0,"部分核销","未付款N/P")))</f>
        <v/>
      </c>
      <c r="V129" s="10">
        <f>IF(G129="","",SUMIFS(回款核销!$H:$H,回款核销!$C:$C,G129)+SUMIFS(回款核销!$H:$H,回款核销!$B:$B,D129,回款核销!$C:$C,""))</f>
        <v/>
      </c>
      <c r="W129" s="10">
        <f>IF(Q129="","",MAX(0,Q129-V129))</f>
        <v/>
      </c>
      <c r="X129" s="9" t="n"/>
      <c r="Y129" s="10">
        <f>IF(OR(N129="",X129=""),"",N129*X129)</f>
        <v/>
      </c>
      <c r="Z129" s="10">
        <f>IF(OR(Q129="",Y129=""),"",Q129-Y129)</f>
        <v/>
      </c>
      <c r="AA129" s="9" t="n"/>
      <c r="AB129" s="9" t="n"/>
    </row>
    <row r="130" ht="22" customHeight="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10">
        <f>IF(OR(N130="",P130=""),"",N130*P130)</f>
        <v/>
      </c>
      <c r="R130" s="9" t="n"/>
      <c r="S130" s="9" t="n"/>
      <c r="T130" s="9" t="n"/>
      <c r="U130" s="9">
        <f>IF(Q130="","",IF(W130=0,"已付款PAID",IF(V130&gt;0,"部分核销","未付款N/P")))</f>
        <v/>
      </c>
      <c r="V130" s="10">
        <f>IF(G130="","",SUMIFS(回款核销!$H:$H,回款核销!$C:$C,G130)+SUMIFS(回款核销!$H:$H,回款核销!$B:$B,D130,回款核销!$C:$C,""))</f>
        <v/>
      </c>
      <c r="W130" s="10">
        <f>IF(Q130="","",MAX(0,Q130-V130))</f>
        <v/>
      </c>
      <c r="X130" s="9" t="n"/>
      <c r="Y130" s="10">
        <f>IF(OR(N130="",X130=""),"",N130*X130)</f>
        <v/>
      </c>
      <c r="Z130" s="10">
        <f>IF(OR(Q130="",Y130=""),"",Q130-Y130)</f>
        <v/>
      </c>
      <c r="AA130" s="9" t="n"/>
      <c r="AB130" s="9" t="n"/>
    </row>
    <row r="131" ht="22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10">
        <f>IF(OR(N131="",P131=""),"",N131*P131)</f>
        <v/>
      </c>
      <c r="R131" s="9" t="n"/>
      <c r="S131" s="9" t="n"/>
      <c r="T131" s="9" t="n"/>
      <c r="U131" s="9">
        <f>IF(Q131="","",IF(W131=0,"已付款PAID",IF(V131&gt;0,"部分核销","未付款N/P")))</f>
        <v/>
      </c>
      <c r="V131" s="10">
        <f>IF(G131="","",SUMIFS(回款核销!$H:$H,回款核销!$C:$C,G131)+SUMIFS(回款核销!$H:$H,回款核销!$B:$B,D131,回款核销!$C:$C,""))</f>
        <v/>
      </c>
      <c r="W131" s="10">
        <f>IF(Q131="","",MAX(0,Q131-V131))</f>
        <v/>
      </c>
      <c r="X131" s="9" t="n"/>
      <c r="Y131" s="10">
        <f>IF(OR(N131="",X131=""),"",N131*X131)</f>
        <v/>
      </c>
      <c r="Z131" s="10">
        <f>IF(OR(Q131="",Y131=""),"",Q131-Y131)</f>
        <v/>
      </c>
      <c r="AA131" s="9" t="n"/>
      <c r="AB131" s="9" t="n"/>
    </row>
    <row r="132" ht="22" customHeight="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10">
        <f>IF(OR(N132="",P132=""),"",N132*P132)</f>
        <v/>
      </c>
      <c r="R132" s="9" t="n"/>
      <c r="S132" s="9" t="n"/>
      <c r="T132" s="9" t="n"/>
      <c r="U132" s="9">
        <f>IF(Q132="","",IF(W132=0,"已付款PAID",IF(V132&gt;0,"部分核销","未付款N/P")))</f>
        <v/>
      </c>
      <c r="V132" s="10">
        <f>IF(G132="","",SUMIFS(回款核销!$H:$H,回款核销!$C:$C,G132)+SUMIFS(回款核销!$H:$H,回款核销!$B:$B,D132,回款核销!$C:$C,""))</f>
        <v/>
      </c>
      <c r="W132" s="10">
        <f>IF(Q132="","",MAX(0,Q132-V132))</f>
        <v/>
      </c>
      <c r="X132" s="9" t="n"/>
      <c r="Y132" s="10">
        <f>IF(OR(N132="",X132=""),"",N132*X132)</f>
        <v/>
      </c>
      <c r="Z132" s="10">
        <f>IF(OR(Q132="",Y132=""),"",Q132-Y132)</f>
        <v/>
      </c>
      <c r="AA132" s="9" t="n"/>
      <c r="AB132" s="9" t="n"/>
    </row>
    <row r="133" ht="22" customHeight="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10">
        <f>IF(OR(N133="",P133=""),"",N133*P133)</f>
        <v/>
      </c>
      <c r="R133" s="9" t="n"/>
      <c r="S133" s="9" t="n"/>
      <c r="T133" s="9" t="n"/>
      <c r="U133" s="9">
        <f>IF(Q133="","",IF(W133=0,"已付款PAID",IF(V133&gt;0,"部分核销","未付款N/P")))</f>
        <v/>
      </c>
      <c r="V133" s="10">
        <f>IF(G133="","",SUMIFS(回款核销!$H:$H,回款核销!$C:$C,G133)+SUMIFS(回款核销!$H:$H,回款核销!$B:$B,D133,回款核销!$C:$C,""))</f>
        <v/>
      </c>
      <c r="W133" s="10">
        <f>IF(Q133="","",MAX(0,Q133-V133))</f>
        <v/>
      </c>
      <c r="X133" s="9" t="n"/>
      <c r="Y133" s="10">
        <f>IF(OR(N133="",X133=""),"",N133*X133)</f>
        <v/>
      </c>
      <c r="Z133" s="10">
        <f>IF(OR(Q133="",Y133=""),"",Q133-Y133)</f>
        <v/>
      </c>
      <c r="AA133" s="9" t="n"/>
      <c r="AB133" s="9" t="n"/>
    </row>
    <row r="134" ht="22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10">
        <f>IF(OR(N134="",P134=""),"",N134*P134)</f>
        <v/>
      </c>
      <c r="R134" s="9" t="n"/>
      <c r="S134" s="9" t="n"/>
      <c r="T134" s="9" t="n"/>
      <c r="U134" s="9">
        <f>IF(Q134="","",IF(W134=0,"已付款PAID",IF(V134&gt;0,"部分核销","未付款N/P")))</f>
        <v/>
      </c>
      <c r="V134" s="10">
        <f>IF(G134="","",SUMIFS(回款核销!$H:$H,回款核销!$C:$C,G134)+SUMIFS(回款核销!$H:$H,回款核销!$B:$B,D134,回款核销!$C:$C,""))</f>
        <v/>
      </c>
      <c r="W134" s="10">
        <f>IF(Q134="","",MAX(0,Q134-V134))</f>
        <v/>
      </c>
      <c r="X134" s="9" t="n"/>
      <c r="Y134" s="10">
        <f>IF(OR(N134="",X134=""),"",N134*X134)</f>
        <v/>
      </c>
      <c r="Z134" s="10">
        <f>IF(OR(Q134="",Y134=""),"",Q134-Y134)</f>
        <v/>
      </c>
      <c r="AA134" s="9" t="n"/>
      <c r="AB134" s="9" t="n"/>
    </row>
    <row r="135" ht="22" customHeight="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10">
        <f>IF(OR(N135="",P135=""),"",N135*P135)</f>
        <v/>
      </c>
      <c r="R135" s="9" t="n"/>
      <c r="S135" s="9" t="n"/>
      <c r="T135" s="9" t="n"/>
      <c r="U135" s="9">
        <f>IF(Q135="","",IF(W135=0,"已付款PAID",IF(V135&gt;0,"部分核销","未付款N/P")))</f>
        <v/>
      </c>
      <c r="V135" s="10">
        <f>IF(G135="","",SUMIFS(回款核销!$H:$H,回款核销!$C:$C,G135)+SUMIFS(回款核销!$H:$H,回款核销!$B:$B,D135,回款核销!$C:$C,""))</f>
        <v/>
      </c>
      <c r="W135" s="10">
        <f>IF(Q135="","",MAX(0,Q135-V135))</f>
        <v/>
      </c>
      <c r="X135" s="9" t="n"/>
      <c r="Y135" s="10">
        <f>IF(OR(N135="",X135=""),"",N135*X135)</f>
        <v/>
      </c>
      <c r="Z135" s="10">
        <f>IF(OR(Q135="",Y135=""),"",Q135-Y135)</f>
        <v/>
      </c>
      <c r="AA135" s="9" t="n"/>
      <c r="AB135" s="9" t="n"/>
    </row>
    <row r="136" ht="22" customHeight="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10">
        <f>IF(OR(N136="",P136=""),"",N136*P136)</f>
        <v/>
      </c>
      <c r="R136" s="9" t="n"/>
      <c r="S136" s="9" t="n"/>
      <c r="T136" s="9" t="n"/>
      <c r="U136" s="9">
        <f>IF(Q136="","",IF(W136=0,"已付款PAID",IF(V136&gt;0,"部分核销","未付款N/P")))</f>
        <v/>
      </c>
      <c r="V136" s="10">
        <f>IF(G136="","",SUMIFS(回款核销!$H:$H,回款核销!$C:$C,G136)+SUMIFS(回款核销!$H:$H,回款核销!$B:$B,D136,回款核销!$C:$C,""))</f>
        <v/>
      </c>
      <c r="W136" s="10">
        <f>IF(Q136="","",MAX(0,Q136-V136))</f>
        <v/>
      </c>
      <c r="X136" s="9" t="n"/>
      <c r="Y136" s="10">
        <f>IF(OR(N136="",X136=""),"",N136*X136)</f>
        <v/>
      </c>
      <c r="Z136" s="10">
        <f>IF(OR(Q136="",Y136=""),"",Q136-Y136)</f>
        <v/>
      </c>
      <c r="AA136" s="9" t="n"/>
      <c r="AB136" s="9" t="n"/>
    </row>
    <row r="137" ht="22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10">
        <f>IF(OR(N137="",P137=""),"",N137*P137)</f>
        <v/>
      </c>
      <c r="R137" s="9" t="n"/>
      <c r="S137" s="9" t="n"/>
      <c r="T137" s="9" t="n"/>
      <c r="U137" s="9">
        <f>IF(Q137="","",IF(W137=0,"已付款PAID",IF(V137&gt;0,"部分核销","未付款N/P")))</f>
        <v/>
      </c>
      <c r="V137" s="10">
        <f>IF(G137="","",SUMIFS(回款核销!$H:$H,回款核销!$C:$C,G137)+SUMIFS(回款核销!$H:$H,回款核销!$B:$B,D137,回款核销!$C:$C,""))</f>
        <v/>
      </c>
      <c r="W137" s="10">
        <f>IF(Q137="","",MAX(0,Q137-V137))</f>
        <v/>
      </c>
      <c r="X137" s="9" t="n"/>
      <c r="Y137" s="10">
        <f>IF(OR(N137="",X137=""),"",N137*X137)</f>
        <v/>
      </c>
      <c r="Z137" s="10">
        <f>IF(OR(Q137="",Y137=""),"",Q137-Y137)</f>
        <v/>
      </c>
      <c r="AA137" s="9" t="n"/>
      <c r="AB137" s="9" t="n"/>
    </row>
    <row r="138" ht="22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10">
        <f>IF(OR(N138="",P138=""),"",N138*P138)</f>
        <v/>
      </c>
      <c r="R138" s="9" t="n"/>
      <c r="S138" s="9" t="n"/>
      <c r="T138" s="9" t="n"/>
      <c r="U138" s="9">
        <f>IF(Q138="","",IF(W138=0,"已付款PAID",IF(V138&gt;0,"部分核销","未付款N/P")))</f>
        <v/>
      </c>
      <c r="V138" s="10">
        <f>IF(G138="","",SUMIFS(回款核销!$H:$H,回款核销!$C:$C,G138)+SUMIFS(回款核销!$H:$H,回款核销!$B:$B,D138,回款核销!$C:$C,""))</f>
        <v/>
      </c>
      <c r="W138" s="10">
        <f>IF(Q138="","",MAX(0,Q138-V138))</f>
        <v/>
      </c>
      <c r="X138" s="9" t="n"/>
      <c r="Y138" s="10">
        <f>IF(OR(N138="",X138=""),"",N138*X138)</f>
        <v/>
      </c>
      <c r="Z138" s="10">
        <f>IF(OR(Q138="",Y138=""),"",Q138-Y138)</f>
        <v/>
      </c>
      <c r="AA138" s="9" t="n"/>
      <c r="AB138" s="9" t="n"/>
    </row>
    <row r="139" ht="22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10">
        <f>IF(OR(N139="",P139=""),"",N139*P139)</f>
        <v/>
      </c>
      <c r="R139" s="9" t="n"/>
      <c r="S139" s="9" t="n"/>
      <c r="T139" s="9" t="n"/>
      <c r="U139" s="9">
        <f>IF(Q139="","",IF(W139=0,"已付款PAID",IF(V139&gt;0,"部分核销","未付款N/P")))</f>
        <v/>
      </c>
      <c r="V139" s="10">
        <f>IF(G139="","",SUMIFS(回款核销!$H:$H,回款核销!$C:$C,G139)+SUMIFS(回款核销!$H:$H,回款核销!$B:$B,D139,回款核销!$C:$C,""))</f>
        <v/>
      </c>
      <c r="W139" s="10">
        <f>IF(Q139="","",MAX(0,Q139-V139))</f>
        <v/>
      </c>
      <c r="X139" s="9" t="n"/>
      <c r="Y139" s="10">
        <f>IF(OR(N139="",X139=""),"",N139*X139)</f>
        <v/>
      </c>
      <c r="Z139" s="10">
        <f>IF(OR(Q139="",Y139=""),"",Q139-Y139)</f>
        <v/>
      </c>
      <c r="AA139" s="9" t="n"/>
      <c r="AB139" s="9" t="n"/>
    </row>
    <row r="140" ht="22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10">
        <f>IF(OR(N140="",P140=""),"",N140*P140)</f>
        <v/>
      </c>
      <c r="R140" s="9" t="n"/>
      <c r="S140" s="9" t="n"/>
      <c r="T140" s="9" t="n"/>
      <c r="U140" s="9">
        <f>IF(Q140="","",IF(W140=0,"已付款PAID",IF(V140&gt;0,"部分核销","未付款N/P")))</f>
        <v/>
      </c>
      <c r="V140" s="10">
        <f>IF(G140="","",SUMIFS(回款核销!$H:$H,回款核销!$C:$C,G140)+SUMIFS(回款核销!$H:$H,回款核销!$B:$B,D140,回款核销!$C:$C,""))</f>
        <v/>
      </c>
      <c r="W140" s="10">
        <f>IF(Q140="","",MAX(0,Q140-V140))</f>
        <v/>
      </c>
      <c r="X140" s="9" t="n"/>
      <c r="Y140" s="10">
        <f>IF(OR(N140="",X140=""),"",N140*X140)</f>
        <v/>
      </c>
      <c r="Z140" s="10">
        <f>IF(OR(Q140="",Y140=""),"",Q140-Y140)</f>
        <v/>
      </c>
      <c r="AA140" s="9" t="n"/>
      <c r="AB140" s="9" t="n"/>
    </row>
    <row r="141" ht="22" customHeight="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10">
        <f>IF(OR(N141="",P141=""),"",N141*P141)</f>
        <v/>
      </c>
      <c r="R141" s="9" t="n"/>
      <c r="S141" s="9" t="n"/>
      <c r="T141" s="9" t="n"/>
      <c r="U141" s="9">
        <f>IF(Q141="","",IF(W141=0,"已付款PAID",IF(V141&gt;0,"部分核销","未付款N/P")))</f>
        <v/>
      </c>
      <c r="V141" s="10">
        <f>IF(G141="","",SUMIFS(回款核销!$H:$H,回款核销!$C:$C,G141)+SUMIFS(回款核销!$H:$H,回款核销!$B:$B,D141,回款核销!$C:$C,""))</f>
        <v/>
      </c>
      <c r="W141" s="10">
        <f>IF(Q141="","",MAX(0,Q141-V141))</f>
        <v/>
      </c>
      <c r="X141" s="9" t="n"/>
      <c r="Y141" s="10">
        <f>IF(OR(N141="",X141=""),"",N141*X141)</f>
        <v/>
      </c>
      <c r="Z141" s="10">
        <f>IF(OR(Q141="",Y141=""),"",Q141-Y141)</f>
        <v/>
      </c>
      <c r="AA141" s="9" t="n"/>
      <c r="AB141" s="9" t="n"/>
    </row>
    <row r="142" ht="22" customHeight="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10">
        <f>IF(OR(N142="",P142=""),"",N142*P142)</f>
        <v/>
      </c>
      <c r="R142" s="9" t="n"/>
      <c r="S142" s="9" t="n"/>
      <c r="T142" s="9" t="n"/>
      <c r="U142" s="9">
        <f>IF(Q142="","",IF(W142=0,"已付款PAID",IF(V142&gt;0,"部分核销","未付款N/P")))</f>
        <v/>
      </c>
      <c r="V142" s="10">
        <f>IF(G142="","",SUMIFS(回款核销!$H:$H,回款核销!$C:$C,G142)+SUMIFS(回款核销!$H:$H,回款核销!$B:$B,D142,回款核销!$C:$C,""))</f>
        <v/>
      </c>
      <c r="W142" s="10">
        <f>IF(Q142="","",MAX(0,Q142-V142))</f>
        <v/>
      </c>
      <c r="X142" s="9" t="n"/>
      <c r="Y142" s="10">
        <f>IF(OR(N142="",X142=""),"",N142*X142)</f>
        <v/>
      </c>
      <c r="Z142" s="10">
        <f>IF(OR(Q142="",Y142=""),"",Q142-Y142)</f>
        <v/>
      </c>
      <c r="AA142" s="9" t="n"/>
      <c r="AB142" s="9" t="n"/>
    </row>
    <row r="143" ht="22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10">
        <f>IF(OR(N143="",P143=""),"",N143*P143)</f>
        <v/>
      </c>
      <c r="R143" s="9" t="n"/>
      <c r="S143" s="9" t="n"/>
      <c r="T143" s="9" t="n"/>
      <c r="U143" s="9">
        <f>IF(Q143="","",IF(W143=0,"已付款PAID",IF(V143&gt;0,"部分核销","未付款N/P")))</f>
        <v/>
      </c>
      <c r="V143" s="10">
        <f>IF(G143="","",SUMIFS(回款核销!$H:$H,回款核销!$C:$C,G143)+SUMIFS(回款核销!$H:$H,回款核销!$B:$B,D143,回款核销!$C:$C,""))</f>
        <v/>
      </c>
      <c r="W143" s="10">
        <f>IF(Q143="","",MAX(0,Q143-V143))</f>
        <v/>
      </c>
      <c r="X143" s="9" t="n"/>
      <c r="Y143" s="10">
        <f>IF(OR(N143="",X143=""),"",N143*X143)</f>
        <v/>
      </c>
      <c r="Z143" s="10">
        <f>IF(OR(Q143="",Y143=""),"",Q143-Y143)</f>
        <v/>
      </c>
      <c r="AA143" s="9" t="n"/>
      <c r="AB143" s="9" t="n"/>
    </row>
    <row r="144" ht="22" customHeight="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10">
        <f>IF(OR(N144="",P144=""),"",N144*P144)</f>
        <v/>
      </c>
      <c r="R144" s="9" t="n"/>
      <c r="S144" s="9" t="n"/>
      <c r="T144" s="9" t="n"/>
      <c r="U144" s="9">
        <f>IF(Q144="","",IF(W144=0,"已付款PAID",IF(V144&gt;0,"部分核销","未付款N/P")))</f>
        <v/>
      </c>
      <c r="V144" s="10">
        <f>IF(G144="","",SUMIFS(回款核销!$H:$H,回款核销!$C:$C,G144)+SUMIFS(回款核销!$H:$H,回款核销!$B:$B,D144,回款核销!$C:$C,""))</f>
        <v/>
      </c>
      <c r="W144" s="10">
        <f>IF(Q144="","",MAX(0,Q144-V144))</f>
        <v/>
      </c>
      <c r="X144" s="9" t="n"/>
      <c r="Y144" s="10">
        <f>IF(OR(N144="",X144=""),"",N144*X144)</f>
        <v/>
      </c>
      <c r="Z144" s="10">
        <f>IF(OR(Q144="",Y144=""),"",Q144-Y144)</f>
        <v/>
      </c>
      <c r="AA144" s="9" t="n"/>
      <c r="AB144" s="9" t="n"/>
    </row>
    <row r="145" ht="22" customHeight="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10">
        <f>IF(OR(N145="",P145=""),"",N145*P145)</f>
        <v/>
      </c>
      <c r="R145" s="9" t="n"/>
      <c r="S145" s="9" t="n"/>
      <c r="T145" s="9" t="n"/>
      <c r="U145" s="9">
        <f>IF(Q145="","",IF(W145=0,"已付款PAID",IF(V145&gt;0,"部分核销","未付款N/P")))</f>
        <v/>
      </c>
      <c r="V145" s="10">
        <f>IF(G145="","",SUMIFS(回款核销!$H:$H,回款核销!$C:$C,G145)+SUMIFS(回款核销!$H:$H,回款核销!$B:$B,D145,回款核销!$C:$C,""))</f>
        <v/>
      </c>
      <c r="W145" s="10">
        <f>IF(Q145="","",MAX(0,Q145-V145))</f>
        <v/>
      </c>
      <c r="X145" s="9" t="n"/>
      <c r="Y145" s="10">
        <f>IF(OR(N145="",X145=""),"",N145*X145)</f>
        <v/>
      </c>
      <c r="Z145" s="10">
        <f>IF(OR(Q145="",Y145=""),"",Q145-Y145)</f>
        <v/>
      </c>
      <c r="AA145" s="9" t="n"/>
      <c r="AB145" s="9" t="n"/>
    </row>
    <row r="146" ht="22" customHeight="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10">
        <f>IF(OR(N146="",P146=""),"",N146*P146)</f>
        <v/>
      </c>
      <c r="R146" s="9" t="n"/>
      <c r="S146" s="9" t="n"/>
      <c r="T146" s="9" t="n"/>
      <c r="U146" s="9">
        <f>IF(Q146="","",IF(W146=0,"已付款PAID",IF(V146&gt;0,"部分核销","未付款N/P")))</f>
        <v/>
      </c>
      <c r="V146" s="10">
        <f>IF(G146="","",SUMIFS(回款核销!$H:$H,回款核销!$C:$C,G146)+SUMIFS(回款核销!$H:$H,回款核销!$B:$B,D146,回款核销!$C:$C,""))</f>
        <v/>
      </c>
      <c r="W146" s="10">
        <f>IF(Q146="","",MAX(0,Q146-V146))</f>
        <v/>
      </c>
      <c r="X146" s="9" t="n"/>
      <c r="Y146" s="10">
        <f>IF(OR(N146="",X146=""),"",N146*X146)</f>
        <v/>
      </c>
      <c r="Z146" s="10">
        <f>IF(OR(Q146="",Y146=""),"",Q146-Y146)</f>
        <v/>
      </c>
      <c r="AA146" s="9" t="n"/>
      <c r="AB146" s="9" t="n"/>
    </row>
    <row r="147" ht="22" customHeight="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10">
        <f>IF(OR(N147="",P147=""),"",N147*P147)</f>
        <v/>
      </c>
      <c r="R147" s="9" t="n"/>
      <c r="S147" s="9" t="n"/>
      <c r="T147" s="9" t="n"/>
      <c r="U147" s="9">
        <f>IF(Q147="","",IF(W147=0,"已付款PAID",IF(V147&gt;0,"部分核销","未付款N/P")))</f>
        <v/>
      </c>
      <c r="V147" s="10">
        <f>IF(G147="","",SUMIFS(回款核销!$H:$H,回款核销!$C:$C,G147)+SUMIFS(回款核销!$H:$H,回款核销!$B:$B,D147,回款核销!$C:$C,""))</f>
        <v/>
      </c>
      <c r="W147" s="10">
        <f>IF(Q147="","",MAX(0,Q147-V147))</f>
        <v/>
      </c>
      <c r="X147" s="9" t="n"/>
      <c r="Y147" s="10">
        <f>IF(OR(N147="",X147=""),"",N147*X147)</f>
        <v/>
      </c>
      <c r="Z147" s="10">
        <f>IF(OR(Q147="",Y147=""),"",Q147-Y147)</f>
        <v/>
      </c>
      <c r="AA147" s="9" t="n"/>
      <c r="AB147" s="9" t="n"/>
    </row>
    <row r="148" ht="22" customHeight="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10">
        <f>IF(OR(N148="",P148=""),"",N148*P148)</f>
        <v/>
      </c>
      <c r="R148" s="9" t="n"/>
      <c r="S148" s="9" t="n"/>
      <c r="T148" s="9" t="n"/>
      <c r="U148" s="9">
        <f>IF(Q148="","",IF(W148=0,"已付款PAID",IF(V148&gt;0,"部分核销","未付款N/P")))</f>
        <v/>
      </c>
      <c r="V148" s="10">
        <f>IF(G148="","",SUMIFS(回款核销!$H:$H,回款核销!$C:$C,G148)+SUMIFS(回款核销!$H:$H,回款核销!$B:$B,D148,回款核销!$C:$C,""))</f>
        <v/>
      </c>
      <c r="W148" s="10">
        <f>IF(Q148="","",MAX(0,Q148-V148))</f>
        <v/>
      </c>
      <c r="X148" s="9" t="n"/>
      <c r="Y148" s="10">
        <f>IF(OR(N148="",X148=""),"",N148*X148)</f>
        <v/>
      </c>
      <c r="Z148" s="10">
        <f>IF(OR(Q148="",Y148=""),"",Q148-Y148)</f>
        <v/>
      </c>
      <c r="AA148" s="9" t="n"/>
      <c r="AB148" s="9" t="n"/>
    </row>
    <row r="149" ht="22" customHeight="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10">
        <f>IF(OR(N149="",P149=""),"",N149*P149)</f>
        <v/>
      </c>
      <c r="R149" s="9" t="n"/>
      <c r="S149" s="9" t="n"/>
      <c r="T149" s="9" t="n"/>
      <c r="U149" s="9">
        <f>IF(Q149="","",IF(W149=0,"已付款PAID",IF(V149&gt;0,"部分核销","未付款N/P")))</f>
        <v/>
      </c>
      <c r="V149" s="10">
        <f>IF(G149="","",SUMIFS(回款核销!$H:$H,回款核销!$C:$C,G149)+SUMIFS(回款核销!$H:$H,回款核销!$B:$B,D149,回款核销!$C:$C,""))</f>
        <v/>
      </c>
      <c r="W149" s="10">
        <f>IF(Q149="","",MAX(0,Q149-V149))</f>
        <v/>
      </c>
      <c r="X149" s="9" t="n"/>
      <c r="Y149" s="10">
        <f>IF(OR(N149="",X149=""),"",N149*X149)</f>
        <v/>
      </c>
      <c r="Z149" s="10">
        <f>IF(OR(Q149="",Y149=""),"",Q149-Y149)</f>
        <v/>
      </c>
      <c r="AA149" s="9" t="n"/>
      <c r="AB149" s="9" t="n"/>
    </row>
    <row r="150" ht="22" customHeight="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10">
        <f>IF(OR(N150="",P150=""),"",N150*P150)</f>
        <v/>
      </c>
      <c r="R150" s="9" t="n"/>
      <c r="S150" s="9" t="n"/>
      <c r="T150" s="9" t="n"/>
      <c r="U150" s="9">
        <f>IF(Q150="","",IF(W150=0,"已付款PAID",IF(V150&gt;0,"部分核销","未付款N/P")))</f>
        <v/>
      </c>
      <c r="V150" s="10">
        <f>IF(G150="","",SUMIFS(回款核销!$H:$H,回款核销!$C:$C,G150)+SUMIFS(回款核销!$H:$H,回款核销!$B:$B,D150,回款核销!$C:$C,""))</f>
        <v/>
      </c>
      <c r="W150" s="10">
        <f>IF(Q150="","",MAX(0,Q150-V150))</f>
        <v/>
      </c>
      <c r="X150" s="9" t="n"/>
      <c r="Y150" s="10">
        <f>IF(OR(N150="",X150=""),"",N150*X150)</f>
        <v/>
      </c>
      <c r="Z150" s="10">
        <f>IF(OR(Q150="",Y150=""),"",Q150-Y150)</f>
        <v/>
      </c>
      <c r="AA150" s="9" t="n"/>
      <c r="AB150" s="9" t="n"/>
    </row>
    <row r="151" ht="22" customHeight="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10">
        <f>IF(OR(N151="",P151=""),"",N151*P151)</f>
        <v/>
      </c>
      <c r="R151" s="9" t="n"/>
      <c r="S151" s="9" t="n"/>
      <c r="T151" s="9" t="n"/>
      <c r="U151" s="9">
        <f>IF(Q151="","",IF(W151=0,"已付款PAID",IF(V151&gt;0,"部分核销","未付款N/P")))</f>
        <v/>
      </c>
      <c r="V151" s="10">
        <f>IF(G151="","",SUMIFS(回款核销!$H:$H,回款核销!$C:$C,G151)+SUMIFS(回款核销!$H:$H,回款核销!$B:$B,D151,回款核销!$C:$C,""))</f>
        <v/>
      </c>
      <c r="W151" s="10">
        <f>IF(Q151="","",MAX(0,Q151-V151))</f>
        <v/>
      </c>
      <c r="X151" s="9" t="n"/>
      <c r="Y151" s="10">
        <f>IF(OR(N151="",X151=""),"",N151*X151)</f>
        <v/>
      </c>
      <c r="Z151" s="10">
        <f>IF(OR(Q151="",Y151=""),"",Q151-Y151)</f>
        <v/>
      </c>
      <c r="AA151" s="9" t="n"/>
      <c r="AB151" s="9" t="n"/>
    </row>
    <row r="152" ht="22" customHeight="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10">
        <f>IF(OR(N152="",P152=""),"",N152*P152)</f>
        <v/>
      </c>
      <c r="R152" s="9" t="n"/>
      <c r="S152" s="9" t="n"/>
      <c r="T152" s="9" t="n"/>
      <c r="U152" s="9">
        <f>IF(Q152="","",IF(W152=0,"已付款PAID",IF(V152&gt;0,"部分核销","未付款N/P")))</f>
        <v/>
      </c>
      <c r="V152" s="10">
        <f>IF(G152="","",SUMIFS(回款核销!$H:$H,回款核销!$C:$C,G152)+SUMIFS(回款核销!$H:$H,回款核销!$B:$B,D152,回款核销!$C:$C,""))</f>
        <v/>
      </c>
      <c r="W152" s="10">
        <f>IF(Q152="","",MAX(0,Q152-V152))</f>
        <v/>
      </c>
      <c r="X152" s="9" t="n"/>
      <c r="Y152" s="10">
        <f>IF(OR(N152="",X152=""),"",N152*X152)</f>
        <v/>
      </c>
      <c r="Z152" s="10">
        <f>IF(OR(Q152="",Y152=""),"",Q152-Y152)</f>
        <v/>
      </c>
      <c r="AA152" s="9" t="n"/>
      <c r="AB152" s="9" t="n"/>
    </row>
    <row r="153" ht="22" customHeight="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10">
        <f>IF(OR(N153="",P153=""),"",N153*P153)</f>
        <v/>
      </c>
      <c r="R153" s="9" t="n"/>
      <c r="S153" s="9" t="n"/>
      <c r="T153" s="9" t="n"/>
      <c r="U153" s="9">
        <f>IF(Q153="","",IF(W153=0,"已付款PAID",IF(V153&gt;0,"部分核销","未付款N/P")))</f>
        <v/>
      </c>
      <c r="V153" s="10">
        <f>IF(G153="","",SUMIFS(回款核销!$H:$H,回款核销!$C:$C,G153)+SUMIFS(回款核销!$H:$H,回款核销!$B:$B,D153,回款核销!$C:$C,""))</f>
        <v/>
      </c>
      <c r="W153" s="10">
        <f>IF(Q153="","",MAX(0,Q153-V153))</f>
        <v/>
      </c>
      <c r="X153" s="9" t="n"/>
      <c r="Y153" s="10">
        <f>IF(OR(N153="",X153=""),"",N153*X153)</f>
        <v/>
      </c>
      <c r="Z153" s="10">
        <f>IF(OR(Q153="",Y153=""),"",Q153-Y153)</f>
        <v/>
      </c>
      <c r="AA153" s="9" t="n"/>
      <c r="AB153" s="9" t="n"/>
    </row>
    <row r="154" ht="22" customHeight="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10">
        <f>IF(OR(N154="",P154=""),"",N154*P154)</f>
        <v/>
      </c>
      <c r="R154" s="9" t="n"/>
      <c r="S154" s="9" t="n"/>
      <c r="T154" s="9" t="n"/>
      <c r="U154" s="9">
        <f>IF(Q154="","",IF(W154=0,"已付款PAID",IF(V154&gt;0,"部分核销","未付款N/P")))</f>
        <v/>
      </c>
      <c r="V154" s="10">
        <f>IF(G154="","",SUMIFS(回款核销!$H:$H,回款核销!$C:$C,G154)+SUMIFS(回款核销!$H:$H,回款核销!$B:$B,D154,回款核销!$C:$C,""))</f>
        <v/>
      </c>
      <c r="W154" s="10">
        <f>IF(Q154="","",MAX(0,Q154-V154))</f>
        <v/>
      </c>
      <c r="X154" s="9" t="n"/>
      <c r="Y154" s="10">
        <f>IF(OR(N154="",X154=""),"",N154*X154)</f>
        <v/>
      </c>
      <c r="Z154" s="10">
        <f>IF(OR(Q154="",Y154=""),"",Q154-Y154)</f>
        <v/>
      </c>
      <c r="AA154" s="9" t="n"/>
      <c r="AB154" s="9" t="n"/>
    </row>
    <row r="155" ht="22" customHeight="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10">
        <f>IF(OR(N155="",P155=""),"",N155*P155)</f>
        <v/>
      </c>
      <c r="R155" s="9" t="n"/>
      <c r="S155" s="9" t="n"/>
      <c r="T155" s="9" t="n"/>
      <c r="U155" s="9">
        <f>IF(Q155="","",IF(W155=0,"已付款PAID",IF(V155&gt;0,"部分核销","未付款N/P")))</f>
        <v/>
      </c>
      <c r="V155" s="10">
        <f>IF(G155="","",SUMIFS(回款核销!$H:$H,回款核销!$C:$C,G155)+SUMIFS(回款核销!$H:$H,回款核销!$B:$B,D155,回款核销!$C:$C,""))</f>
        <v/>
      </c>
      <c r="W155" s="10">
        <f>IF(Q155="","",MAX(0,Q155-V155))</f>
        <v/>
      </c>
      <c r="X155" s="9" t="n"/>
      <c r="Y155" s="10">
        <f>IF(OR(N155="",X155=""),"",N155*X155)</f>
        <v/>
      </c>
      <c r="Z155" s="10">
        <f>IF(OR(Q155="",Y155=""),"",Q155-Y155)</f>
        <v/>
      </c>
      <c r="AA155" s="9" t="n"/>
      <c r="AB155" s="9" t="n"/>
    </row>
    <row r="156" ht="22" customHeight="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10">
        <f>IF(OR(N156="",P156=""),"",N156*P156)</f>
        <v/>
      </c>
      <c r="R156" s="9" t="n"/>
      <c r="S156" s="9" t="n"/>
      <c r="T156" s="9" t="n"/>
      <c r="U156" s="9">
        <f>IF(Q156="","",IF(W156=0,"已付款PAID",IF(V156&gt;0,"部分核销","未付款N/P")))</f>
        <v/>
      </c>
      <c r="V156" s="10">
        <f>IF(G156="","",SUMIFS(回款核销!$H:$H,回款核销!$C:$C,G156)+SUMIFS(回款核销!$H:$H,回款核销!$B:$B,D156,回款核销!$C:$C,""))</f>
        <v/>
      </c>
      <c r="W156" s="10">
        <f>IF(Q156="","",MAX(0,Q156-V156))</f>
        <v/>
      </c>
      <c r="X156" s="9" t="n"/>
      <c r="Y156" s="10">
        <f>IF(OR(N156="",X156=""),"",N156*X156)</f>
        <v/>
      </c>
      <c r="Z156" s="10">
        <f>IF(OR(Q156="",Y156=""),"",Q156-Y156)</f>
        <v/>
      </c>
      <c r="AA156" s="9" t="n"/>
      <c r="AB156" s="9" t="n"/>
    </row>
    <row r="157" ht="22" customHeight="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10">
        <f>IF(OR(N157="",P157=""),"",N157*P157)</f>
        <v/>
      </c>
      <c r="R157" s="9" t="n"/>
      <c r="S157" s="9" t="n"/>
      <c r="T157" s="9" t="n"/>
      <c r="U157" s="9">
        <f>IF(Q157="","",IF(W157=0,"已付款PAID",IF(V157&gt;0,"部分核销","未付款N/P")))</f>
        <v/>
      </c>
      <c r="V157" s="10">
        <f>IF(G157="","",SUMIFS(回款核销!$H:$H,回款核销!$C:$C,G157)+SUMIFS(回款核销!$H:$H,回款核销!$B:$B,D157,回款核销!$C:$C,""))</f>
        <v/>
      </c>
      <c r="W157" s="10">
        <f>IF(Q157="","",MAX(0,Q157-V157))</f>
        <v/>
      </c>
      <c r="X157" s="9" t="n"/>
      <c r="Y157" s="10">
        <f>IF(OR(N157="",X157=""),"",N157*X157)</f>
        <v/>
      </c>
      <c r="Z157" s="10">
        <f>IF(OR(Q157="",Y157=""),"",Q157-Y157)</f>
        <v/>
      </c>
      <c r="AA157" s="9" t="n"/>
      <c r="AB157" s="9" t="n"/>
    </row>
    <row r="158" ht="22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10">
        <f>IF(OR(N158="",P158=""),"",N158*P158)</f>
        <v/>
      </c>
      <c r="R158" s="9" t="n"/>
      <c r="S158" s="9" t="n"/>
      <c r="T158" s="9" t="n"/>
      <c r="U158" s="9">
        <f>IF(Q158="","",IF(W158=0,"已付款PAID",IF(V158&gt;0,"部分核销","未付款N/P")))</f>
        <v/>
      </c>
      <c r="V158" s="10">
        <f>IF(G158="","",SUMIFS(回款核销!$H:$H,回款核销!$C:$C,G158)+SUMIFS(回款核销!$H:$H,回款核销!$B:$B,D158,回款核销!$C:$C,""))</f>
        <v/>
      </c>
      <c r="W158" s="10">
        <f>IF(Q158="","",MAX(0,Q158-V158))</f>
        <v/>
      </c>
      <c r="X158" s="9" t="n"/>
      <c r="Y158" s="10">
        <f>IF(OR(N158="",X158=""),"",N158*X158)</f>
        <v/>
      </c>
      <c r="Z158" s="10">
        <f>IF(OR(Q158="",Y158=""),"",Q158-Y158)</f>
        <v/>
      </c>
      <c r="AA158" s="9" t="n"/>
      <c r="AB158" s="9" t="n"/>
    </row>
    <row r="159" ht="22" customHeight="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10">
        <f>IF(OR(N159="",P159=""),"",N159*P159)</f>
        <v/>
      </c>
      <c r="R159" s="9" t="n"/>
      <c r="S159" s="9" t="n"/>
      <c r="T159" s="9" t="n"/>
      <c r="U159" s="9">
        <f>IF(Q159="","",IF(W159=0,"已付款PAID",IF(V159&gt;0,"部分核销","未付款N/P")))</f>
        <v/>
      </c>
      <c r="V159" s="10">
        <f>IF(G159="","",SUMIFS(回款核销!$H:$H,回款核销!$C:$C,G159)+SUMIFS(回款核销!$H:$H,回款核销!$B:$B,D159,回款核销!$C:$C,""))</f>
        <v/>
      </c>
      <c r="W159" s="10">
        <f>IF(Q159="","",MAX(0,Q159-V159))</f>
        <v/>
      </c>
      <c r="X159" s="9" t="n"/>
      <c r="Y159" s="10">
        <f>IF(OR(N159="",X159=""),"",N159*X159)</f>
        <v/>
      </c>
      <c r="Z159" s="10">
        <f>IF(OR(Q159="",Y159=""),"",Q159-Y159)</f>
        <v/>
      </c>
      <c r="AA159" s="9" t="n"/>
      <c r="AB159" s="9" t="n"/>
    </row>
    <row r="160" ht="22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10">
        <f>IF(OR(N160="",P160=""),"",N160*P160)</f>
        <v/>
      </c>
      <c r="R160" s="9" t="n"/>
      <c r="S160" s="9" t="n"/>
      <c r="T160" s="9" t="n"/>
      <c r="U160" s="9">
        <f>IF(Q160="","",IF(W160=0,"已付款PAID",IF(V160&gt;0,"部分核销","未付款N/P")))</f>
        <v/>
      </c>
      <c r="V160" s="10">
        <f>IF(G160="","",SUMIFS(回款核销!$H:$H,回款核销!$C:$C,G160)+SUMIFS(回款核销!$H:$H,回款核销!$B:$B,D160,回款核销!$C:$C,""))</f>
        <v/>
      </c>
      <c r="W160" s="10">
        <f>IF(Q160="","",MAX(0,Q160-V160))</f>
        <v/>
      </c>
      <c r="X160" s="9" t="n"/>
      <c r="Y160" s="10">
        <f>IF(OR(N160="",X160=""),"",N160*X160)</f>
        <v/>
      </c>
      <c r="Z160" s="10">
        <f>IF(OR(Q160="",Y160=""),"",Q160-Y160)</f>
        <v/>
      </c>
      <c r="AA160" s="9" t="n"/>
      <c r="AB160" s="9" t="n"/>
    </row>
    <row r="161" ht="22" customHeight="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10">
        <f>IF(OR(N161="",P161=""),"",N161*P161)</f>
        <v/>
      </c>
      <c r="R161" s="9" t="n"/>
      <c r="S161" s="9" t="n"/>
      <c r="T161" s="9" t="n"/>
      <c r="U161" s="9">
        <f>IF(Q161="","",IF(W161=0,"已付款PAID",IF(V161&gt;0,"部分核销","未付款N/P")))</f>
        <v/>
      </c>
      <c r="V161" s="10">
        <f>IF(G161="","",SUMIFS(回款核销!$H:$H,回款核销!$C:$C,G161)+SUMIFS(回款核销!$H:$H,回款核销!$B:$B,D161,回款核销!$C:$C,""))</f>
        <v/>
      </c>
      <c r="W161" s="10">
        <f>IF(Q161="","",MAX(0,Q161-V161))</f>
        <v/>
      </c>
      <c r="X161" s="9" t="n"/>
      <c r="Y161" s="10">
        <f>IF(OR(N161="",X161=""),"",N161*X161)</f>
        <v/>
      </c>
      <c r="Z161" s="10">
        <f>IF(OR(Q161="",Y161=""),"",Q161-Y161)</f>
        <v/>
      </c>
      <c r="AA161" s="9" t="n"/>
      <c r="AB161" s="9" t="n"/>
    </row>
    <row r="162" ht="22" customHeight="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10">
        <f>IF(OR(N162="",P162=""),"",N162*P162)</f>
        <v/>
      </c>
      <c r="R162" s="9" t="n"/>
      <c r="S162" s="9" t="n"/>
      <c r="T162" s="9" t="n"/>
      <c r="U162" s="9">
        <f>IF(Q162="","",IF(W162=0,"已付款PAID",IF(V162&gt;0,"部分核销","未付款N/P")))</f>
        <v/>
      </c>
      <c r="V162" s="10">
        <f>IF(G162="","",SUMIFS(回款核销!$H:$H,回款核销!$C:$C,G162)+SUMIFS(回款核销!$H:$H,回款核销!$B:$B,D162,回款核销!$C:$C,""))</f>
        <v/>
      </c>
      <c r="W162" s="10">
        <f>IF(Q162="","",MAX(0,Q162-V162))</f>
        <v/>
      </c>
      <c r="X162" s="9" t="n"/>
      <c r="Y162" s="10">
        <f>IF(OR(N162="",X162=""),"",N162*X162)</f>
        <v/>
      </c>
      <c r="Z162" s="10">
        <f>IF(OR(Q162="",Y162=""),"",Q162-Y162)</f>
        <v/>
      </c>
      <c r="AA162" s="9" t="n"/>
      <c r="AB162" s="9" t="n"/>
    </row>
    <row r="163" ht="22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10">
        <f>IF(OR(N163="",P163=""),"",N163*P163)</f>
        <v/>
      </c>
      <c r="R163" s="9" t="n"/>
      <c r="S163" s="9" t="n"/>
      <c r="T163" s="9" t="n"/>
      <c r="U163" s="9">
        <f>IF(Q163="","",IF(W163=0,"已付款PAID",IF(V163&gt;0,"部分核销","未付款N/P")))</f>
        <v/>
      </c>
      <c r="V163" s="10">
        <f>IF(G163="","",SUMIFS(回款核销!$H:$H,回款核销!$C:$C,G163)+SUMIFS(回款核销!$H:$H,回款核销!$B:$B,D163,回款核销!$C:$C,""))</f>
        <v/>
      </c>
      <c r="W163" s="10">
        <f>IF(Q163="","",MAX(0,Q163-V163))</f>
        <v/>
      </c>
      <c r="X163" s="9" t="n"/>
      <c r="Y163" s="10">
        <f>IF(OR(N163="",X163=""),"",N163*X163)</f>
        <v/>
      </c>
      <c r="Z163" s="10">
        <f>IF(OR(Q163="",Y163=""),"",Q163-Y163)</f>
        <v/>
      </c>
      <c r="AA163" s="9" t="n"/>
      <c r="AB163" s="9" t="n"/>
    </row>
    <row r="164" ht="22" customHeight="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10">
        <f>IF(OR(N164="",P164=""),"",N164*P164)</f>
        <v/>
      </c>
      <c r="R164" s="9" t="n"/>
      <c r="S164" s="9" t="n"/>
      <c r="T164" s="9" t="n"/>
      <c r="U164" s="9">
        <f>IF(Q164="","",IF(W164=0,"已付款PAID",IF(V164&gt;0,"部分核销","未付款N/P")))</f>
        <v/>
      </c>
      <c r="V164" s="10">
        <f>IF(G164="","",SUMIFS(回款核销!$H:$H,回款核销!$C:$C,G164)+SUMIFS(回款核销!$H:$H,回款核销!$B:$B,D164,回款核销!$C:$C,""))</f>
        <v/>
      </c>
      <c r="W164" s="10">
        <f>IF(Q164="","",MAX(0,Q164-V164))</f>
        <v/>
      </c>
      <c r="X164" s="9" t="n"/>
      <c r="Y164" s="10">
        <f>IF(OR(N164="",X164=""),"",N164*X164)</f>
        <v/>
      </c>
      <c r="Z164" s="10">
        <f>IF(OR(Q164="",Y164=""),"",Q164-Y164)</f>
        <v/>
      </c>
      <c r="AA164" s="9" t="n"/>
      <c r="AB164" s="9" t="n"/>
    </row>
    <row r="165" ht="22" customHeight="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10">
        <f>IF(OR(N165="",P165=""),"",N165*P165)</f>
        <v/>
      </c>
      <c r="R165" s="9" t="n"/>
      <c r="S165" s="9" t="n"/>
      <c r="T165" s="9" t="n"/>
      <c r="U165" s="9">
        <f>IF(Q165="","",IF(W165=0,"已付款PAID",IF(V165&gt;0,"部分核销","未付款N/P")))</f>
        <v/>
      </c>
      <c r="V165" s="10">
        <f>IF(G165="","",SUMIFS(回款核销!$H:$H,回款核销!$C:$C,G165)+SUMIFS(回款核销!$H:$H,回款核销!$B:$B,D165,回款核销!$C:$C,""))</f>
        <v/>
      </c>
      <c r="W165" s="10">
        <f>IF(Q165="","",MAX(0,Q165-V165))</f>
        <v/>
      </c>
      <c r="X165" s="9" t="n"/>
      <c r="Y165" s="10">
        <f>IF(OR(N165="",X165=""),"",N165*X165)</f>
        <v/>
      </c>
      <c r="Z165" s="10">
        <f>IF(OR(Q165="",Y165=""),"",Q165-Y165)</f>
        <v/>
      </c>
      <c r="AA165" s="9" t="n"/>
      <c r="AB165" s="9" t="n"/>
    </row>
    <row r="166" ht="22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10">
        <f>IF(OR(N166="",P166=""),"",N166*P166)</f>
        <v/>
      </c>
      <c r="R166" s="9" t="n"/>
      <c r="S166" s="9" t="n"/>
      <c r="T166" s="9" t="n"/>
      <c r="U166" s="9">
        <f>IF(Q166="","",IF(W166=0,"已付款PAID",IF(V166&gt;0,"部分核销","未付款N/P")))</f>
        <v/>
      </c>
      <c r="V166" s="10">
        <f>IF(G166="","",SUMIFS(回款核销!$H:$H,回款核销!$C:$C,G166)+SUMIFS(回款核销!$H:$H,回款核销!$B:$B,D166,回款核销!$C:$C,""))</f>
        <v/>
      </c>
      <c r="W166" s="10">
        <f>IF(Q166="","",MAX(0,Q166-V166))</f>
        <v/>
      </c>
      <c r="X166" s="9" t="n"/>
      <c r="Y166" s="10">
        <f>IF(OR(N166="",X166=""),"",N166*X166)</f>
        <v/>
      </c>
      <c r="Z166" s="10">
        <f>IF(OR(Q166="",Y166=""),"",Q166-Y166)</f>
        <v/>
      </c>
      <c r="AA166" s="9" t="n"/>
      <c r="AB166" s="9" t="n"/>
    </row>
    <row r="167" ht="22" customHeight="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10">
        <f>IF(OR(N167="",P167=""),"",N167*P167)</f>
        <v/>
      </c>
      <c r="R167" s="9" t="n"/>
      <c r="S167" s="9" t="n"/>
      <c r="T167" s="9" t="n"/>
      <c r="U167" s="9">
        <f>IF(Q167="","",IF(W167=0,"已付款PAID",IF(V167&gt;0,"部分核销","未付款N/P")))</f>
        <v/>
      </c>
      <c r="V167" s="10">
        <f>IF(G167="","",SUMIFS(回款核销!$H:$H,回款核销!$C:$C,G167)+SUMIFS(回款核销!$H:$H,回款核销!$B:$B,D167,回款核销!$C:$C,""))</f>
        <v/>
      </c>
      <c r="W167" s="10">
        <f>IF(Q167="","",MAX(0,Q167-V167))</f>
        <v/>
      </c>
      <c r="X167" s="9" t="n"/>
      <c r="Y167" s="10">
        <f>IF(OR(N167="",X167=""),"",N167*X167)</f>
        <v/>
      </c>
      <c r="Z167" s="10">
        <f>IF(OR(Q167="",Y167=""),"",Q167-Y167)</f>
        <v/>
      </c>
      <c r="AA167" s="9" t="n"/>
      <c r="AB167" s="9" t="n"/>
    </row>
    <row r="168" ht="22" customHeight="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10">
        <f>IF(OR(N168="",P168=""),"",N168*P168)</f>
        <v/>
      </c>
      <c r="R168" s="9" t="n"/>
      <c r="S168" s="9" t="n"/>
      <c r="T168" s="9" t="n"/>
      <c r="U168" s="9">
        <f>IF(Q168="","",IF(W168=0,"已付款PAID",IF(V168&gt;0,"部分核销","未付款N/P")))</f>
        <v/>
      </c>
      <c r="V168" s="10">
        <f>IF(G168="","",SUMIFS(回款核销!$H:$H,回款核销!$C:$C,G168)+SUMIFS(回款核销!$H:$H,回款核销!$B:$B,D168,回款核销!$C:$C,""))</f>
        <v/>
      </c>
      <c r="W168" s="10">
        <f>IF(Q168="","",MAX(0,Q168-V168))</f>
        <v/>
      </c>
      <c r="X168" s="9" t="n"/>
      <c r="Y168" s="10">
        <f>IF(OR(N168="",X168=""),"",N168*X168)</f>
        <v/>
      </c>
      <c r="Z168" s="10">
        <f>IF(OR(Q168="",Y168=""),"",Q168-Y168)</f>
        <v/>
      </c>
      <c r="AA168" s="9" t="n"/>
      <c r="AB168" s="9" t="n"/>
    </row>
    <row r="169" ht="22" customHeight="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10">
        <f>IF(OR(N169="",P169=""),"",N169*P169)</f>
        <v/>
      </c>
      <c r="R169" s="9" t="n"/>
      <c r="S169" s="9" t="n"/>
      <c r="T169" s="9" t="n"/>
      <c r="U169" s="9">
        <f>IF(Q169="","",IF(W169=0,"已付款PAID",IF(V169&gt;0,"部分核销","未付款N/P")))</f>
        <v/>
      </c>
      <c r="V169" s="10">
        <f>IF(G169="","",SUMIFS(回款核销!$H:$H,回款核销!$C:$C,G169)+SUMIFS(回款核销!$H:$H,回款核销!$B:$B,D169,回款核销!$C:$C,""))</f>
        <v/>
      </c>
      <c r="W169" s="10">
        <f>IF(Q169="","",MAX(0,Q169-V169))</f>
        <v/>
      </c>
      <c r="X169" s="9" t="n"/>
      <c r="Y169" s="10">
        <f>IF(OR(N169="",X169=""),"",N169*X169)</f>
        <v/>
      </c>
      <c r="Z169" s="10">
        <f>IF(OR(Q169="",Y169=""),"",Q169-Y169)</f>
        <v/>
      </c>
      <c r="AA169" s="9" t="n"/>
      <c r="AB169" s="9" t="n"/>
    </row>
    <row r="170" ht="22" customHeight="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10">
        <f>IF(OR(N170="",P170=""),"",N170*P170)</f>
        <v/>
      </c>
      <c r="R170" s="9" t="n"/>
      <c r="S170" s="9" t="n"/>
      <c r="T170" s="9" t="n"/>
      <c r="U170" s="9">
        <f>IF(Q170="","",IF(W170=0,"已付款PAID",IF(V170&gt;0,"部分核销","未付款N/P")))</f>
        <v/>
      </c>
      <c r="V170" s="10">
        <f>IF(G170="","",SUMIFS(回款核销!$H:$H,回款核销!$C:$C,G170)+SUMIFS(回款核销!$H:$H,回款核销!$B:$B,D170,回款核销!$C:$C,""))</f>
        <v/>
      </c>
      <c r="W170" s="10">
        <f>IF(Q170="","",MAX(0,Q170-V170))</f>
        <v/>
      </c>
      <c r="X170" s="9" t="n"/>
      <c r="Y170" s="10">
        <f>IF(OR(N170="",X170=""),"",N170*X170)</f>
        <v/>
      </c>
      <c r="Z170" s="10">
        <f>IF(OR(Q170="",Y170=""),"",Q170-Y170)</f>
        <v/>
      </c>
      <c r="AA170" s="9" t="n"/>
      <c r="AB170" s="9" t="n"/>
    </row>
    <row r="171" ht="22" customHeight="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10">
        <f>IF(OR(N171="",P171=""),"",N171*P171)</f>
        <v/>
      </c>
      <c r="R171" s="9" t="n"/>
      <c r="S171" s="9" t="n"/>
      <c r="T171" s="9" t="n"/>
      <c r="U171" s="9">
        <f>IF(Q171="","",IF(W171=0,"已付款PAID",IF(V171&gt;0,"部分核销","未付款N/P")))</f>
        <v/>
      </c>
      <c r="V171" s="10">
        <f>IF(G171="","",SUMIFS(回款核销!$H:$H,回款核销!$C:$C,G171)+SUMIFS(回款核销!$H:$H,回款核销!$B:$B,D171,回款核销!$C:$C,""))</f>
        <v/>
      </c>
      <c r="W171" s="10">
        <f>IF(Q171="","",MAX(0,Q171-V171))</f>
        <v/>
      </c>
      <c r="X171" s="9" t="n"/>
      <c r="Y171" s="10">
        <f>IF(OR(N171="",X171=""),"",N171*X171)</f>
        <v/>
      </c>
      <c r="Z171" s="10">
        <f>IF(OR(Q171="",Y171=""),"",Q171-Y171)</f>
        <v/>
      </c>
      <c r="AA171" s="9" t="n"/>
      <c r="AB171" s="9" t="n"/>
    </row>
    <row r="172" ht="22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10">
        <f>IF(OR(N172="",P172=""),"",N172*P172)</f>
        <v/>
      </c>
      <c r="R172" s="9" t="n"/>
      <c r="S172" s="9" t="n"/>
      <c r="T172" s="9" t="n"/>
      <c r="U172" s="9">
        <f>IF(Q172="","",IF(W172=0,"已付款PAID",IF(V172&gt;0,"部分核销","未付款N/P")))</f>
        <v/>
      </c>
      <c r="V172" s="10">
        <f>IF(G172="","",SUMIFS(回款核销!$H:$H,回款核销!$C:$C,G172)+SUMIFS(回款核销!$H:$H,回款核销!$B:$B,D172,回款核销!$C:$C,""))</f>
        <v/>
      </c>
      <c r="W172" s="10">
        <f>IF(Q172="","",MAX(0,Q172-V172))</f>
        <v/>
      </c>
      <c r="X172" s="9" t="n"/>
      <c r="Y172" s="10">
        <f>IF(OR(N172="",X172=""),"",N172*X172)</f>
        <v/>
      </c>
      <c r="Z172" s="10">
        <f>IF(OR(Q172="",Y172=""),"",Q172-Y172)</f>
        <v/>
      </c>
      <c r="AA172" s="9" t="n"/>
      <c r="AB172" s="9" t="n"/>
    </row>
    <row r="173" ht="22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10">
        <f>IF(OR(N173="",P173=""),"",N173*P173)</f>
        <v/>
      </c>
      <c r="R173" s="9" t="n"/>
      <c r="S173" s="9" t="n"/>
      <c r="T173" s="9" t="n"/>
      <c r="U173" s="9">
        <f>IF(Q173="","",IF(W173=0,"已付款PAID",IF(V173&gt;0,"部分核销","未付款N/P")))</f>
        <v/>
      </c>
      <c r="V173" s="10">
        <f>IF(G173="","",SUMIFS(回款核销!$H:$H,回款核销!$C:$C,G173)+SUMIFS(回款核销!$H:$H,回款核销!$B:$B,D173,回款核销!$C:$C,""))</f>
        <v/>
      </c>
      <c r="W173" s="10">
        <f>IF(Q173="","",MAX(0,Q173-V173))</f>
        <v/>
      </c>
      <c r="X173" s="9" t="n"/>
      <c r="Y173" s="10">
        <f>IF(OR(N173="",X173=""),"",N173*X173)</f>
        <v/>
      </c>
      <c r="Z173" s="10">
        <f>IF(OR(Q173="",Y173=""),"",Q173-Y173)</f>
        <v/>
      </c>
      <c r="AA173" s="9" t="n"/>
      <c r="AB173" s="9" t="n"/>
    </row>
    <row r="174" ht="22" customHeight="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10">
        <f>IF(OR(N174="",P174=""),"",N174*P174)</f>
        <v/>
      </c>
      <c r="R174" s="9" t="n"/>
      <c r="S174" s="9" t="n"/>
      <c r="T174" s="9" t="n"/>
      <c r="U174" s="9">
        <f>IF(Q174="","",IF(W174=0,"已付款PAID",IF(V174&gt;0,"部分核销","未付款N/P")))</f>
        <v/>
      </c>
      <c r="V174" s="10">
        <f>IF(G174="","",SUMIFS(回款核销!$H:$H,回款核销!$C:$C,G174)+SUMIFS(回款核销!$H:$H,回款核销!$B:$B,D174,回款核销!$C:$C,""))</f>
        <v/>
      </c>
      <c r="W174" s="10">
        <f>IF(Q174="","",MAX(0,Q174-V174))</f>
        <v/>
      </c>
      <c r="X174" s="9" t="n"/>
      <c r="Y174" s="10">
        <f>IF(OR(N174="",X174=""),"",N174*X174)</f>
        <v/>
      </c>
      <c r="Z174" s="10">
        <f>IF(OR(Q174="",Y174=""),"",Q174-Y174)</f>
        <v/>
      </c>
      <c r="AA174" s="9" t="n"/>
      <c r="AB174" s="9" t="n"/>
    </row>
    <row r="175" ht="22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10">
        <f>IF(OR(N175="",P175=""),"",N175*P175)</f>
        <v/>
      </c>
      <c r="R175" s="9" t="n"/>
      <c r="S175" s="9" t="n"/>
      <c r="T175" s="9" t="n"/>
      <c r="U175" s="9">
        <f>IF(Q175="","",IF(W175=0,"已付款PAID",IF(V175&gt;0,"部分核销","未付款N/P")))</f>
        <v/>
      </c>
      <c r="V175" s="10">
        <f>IF(G175="","",SUMIFS(回款核销!$H:$H,回款核销!$C:$C,G175)+SUMIFS(回款核销!$H:$H,回款核销!$B:$B,D175,回款核销!$C:$C,""))</f>
        <v/>
      </c>
      <c r="W175" s="10">
        <f>IF(Q175="","",MAX(0,Q175-V175))</f>
        <v/>
      </c>
      <c r="X175" s="9" t="n"/>
      <c r="Y175" s="10">
        <f>IF(OR(N175="",X175=""),"",N175*X175)</f>
        <v/>
      </c>
      <c r="Z175" s="10">
        <f>IF(OR(Q175="",Y175=""),"",Q175-Y175)</f>
        <v/>
      </c>
      <c r="AA175" s="9" t="n"/>
      <c r="AB175" s="9" t="n"/>
    </row>
    <row r="176" ht="22" customHeight="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10">
        <f>IF(OR(N176="",P176=""),"",N176*P176)</f>
        <v/>
      </c>
      <c r="R176" s="9" t="n"/>
      <c r="S176" s="9" t="n"/>
      <c r="T176" s="9" t="n"/>
      <c r="U176" s="9">
        <f>IF(Q176="","",IF(W176=0,"已付款PAID",IF(V176&gt;0,"部分核销","未付款N/P")))</f>
        <v/>
      </c>
      <c r="V176" s="10">
        <f>IF(G176="","",SUMIFS(回款核销!$H:$H,回款核销!$C:$C,G176)+SUMIFS(回款核销!$H:$H,回款核销!$B:$B,D176,回款核销!$C:$C,""))</f>
        <v/>
      </c>
      <c r="W176" s="10">
        <f>IF(Q176="","",MAX(0,Q176-V176))</f>
        <v/>
      </c>
      <c r="X176" s="9" t="n"/>
      <c r="Y176" s="10">
        <f>IF(OR(N176="",X176=""),"",N176*X176)</f>
        <v/>
      </c>
      <c r="Z176" s="10">
        <f>IF(OR(Q176="",Y176=""),"",Q176-Y176)</f>
        <v/>
      </c>
      <c r="AA176" s="9" t="n"/>
      <c r="AB176" s="9" t="n"/>
    </row>
    <row r="177" ht="22" customHeight="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10">
        <f>IF(OR(N177="",P177=""),"",N177*P177)</f>
        <v/>
      </c>
      <c r="R177" s="9" t="n"/>
      <c r="S177" s="9" t="n"/>
      <c r="T177" s="9" t="n"/>
      <c r="U177" s="9">
        <f>IF(Q177="","",IF(W177=0,"已付款PAID",IF(V177&gt;0,"部分核销","未付款N/P")))</f>
        <v/>
      </c>
      <c r="V177" s="10">
        <f>IF(G177="","",SUMIFS(回款核销!$H:$H,回款核销!$C:$C,G177)+SUMIFS(回款核销!$H:$H,回款核销!$B:$B,D177,回款核销!$C:$C,""))</f>
        <v/>
      </c>
      <c r="W177" s="10">
        <f>IF(Q177="","",MAX(0,Q177-V177))</f>
        <v/>
      </c>
      <c r="X177" s="9" t="n"/>
      <c r="Y177" s="10">
        <f>IF(OR(N177="",X177=""),"",N177*X177)</f>
        <v/>
      </c>
      <c r="Z177" s="10">
        <f>IF(OR(Q177="",Y177=""),"",Q177-Y177)</f>
        <v/>
      </c>
      <c r="AA177" s="9" t="n"/>
      <c r="AB177" s="9" t="n"/>
    </row>
    <row r="178" ht="22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10">
        <f>IF(OR(N178="",P178=""),"",N178*P178)</f>
        <v/>
      </c>
      <c r="R178" s="9" t="n"/>
      <c r="S178" s="9" t="n"/>
      <c r="T178" s="9" t="n"/>
      <c r="U178" s="9">
        <f>IF(Q178="","",IF(W178=0,"已付款PAID",IF(V178&gt;0,"部分核销","未付款N/P")))</f>
        <v/>
      </c>
      <c r="V178" s="10">
        <f>IF(G178="","",SUMIFS(回款核销!$H:$H,回款核销!$C:$C,G178)+SUMIFS(回款核销!$H:$H,回款核销!$B:$B,D178,回款核销!$C:$C,""))</f>
        <v/>
      </c>
      <c r="W178" s="10">
        <f>IF(Q178="","",MAX(0,Q178-V178))</f>
        <v/>
      </c>
      <c r="X178" s="9" t="n"/>
      <c r="Y178" s="10">
        <f>IF(OR(N178="",X178=""),"",N178*X178)</f>
        <v/>
      </c>
      <c r="Z178" s="10">
        <f>IF(OR(Q178="",Y178=""),"",Q178-Y178)</f>
        <v/>
      </c>
      <c r="AA178" s="9" t="n"/>
      <c r="AB178" s="9" t="n"/>
    </row>
    <row r="179" ht="22" customHeight="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10">
        <f>IF(OR(N179="",P179=""),"",N179*P179)</f>
        <v/>
      </c>
      <c r="R179" s="9" t="n"/>
      <c r="S179" s="9" t="n"/>
      <c r="T179" s="9" t="n"/>
      <c r="U179" s="9">
        <f>IF(Q179="","",IF(W179=0,"已付款PAID",IF(V179&gt;0,"部分核销","未付款N/P")))</f>
        <v/>
      </c>
      <c r="V179" s="10">
        <f>IF(G179="","",SUMIFS(回款核销!$H:$H,回款核销!$C:$C,G179)+SUMIFS(回款核销!$H:$H,回款核销!$B:$B,D179,回款核销!$C:$C,""))</f>
        <v/>
      </c>
      <c r="W179" s="10">
        <f>IF(Q179="","",MAX(0,Q179-V179))</f>
        <v/>
      </c>
      <c r="X179" s="9" t="n"/>
      <c r="Y179" s="10">
        <f>IF(OR(N179="",X179=""),"",N179*X179)</f>
        <v/>
      </c>
      <c r="Z179" s="10">
        <f>IF(OR(Q179="",Y179=""),"",Q179-Y179)</f>
        <v/>
      </c>
      <c r="AA179" s="9" t="n"/>
      <c r="AB179" s="9" t="n"/>
    </row>
    <row r="180" ht="22" customHeight="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10">
        <f>IF(OR(N180="",P180=""),"",N180*P180)</f>
        <v/>
      </c>
      <c r="R180" s="9" t="n"/>
      <c r="S180" s="9" t="n"/>
      <c r="T180" s="9" t="n"/>
      <c r="U180" s="9">
        <f>IF(Q180="","",IF(W180=0,"已付款PAID",IF(V180&gt;0,"部分核销","未付款N/P")))</f>
        <v/>
      </c>
      <c r="V180" s="10">
        <f>IF(G180="","",SUMIFS(回款核销!$H:$H,回款核销!$C:$C,G180)+SUMIFS(回款核销!$H:$H,回款核销!$B:$B,D180,回款核销!$C:$C,""))</f>
        <v/>
      </c>
      <c r="W180" s="10">
        <f>IF(Q180="","",MAX(0,Q180-V180))</f>
        <v/>
      </c>
      <c r="X180" s="9" t="n"/>
      <c r="Y180" s="10">
        <f>IF(OR(N180="",X180=""),"",N180*X180)</f>
        <v/>
      </c>
      <c r="Z180" s="10">
        <f>IF(OR(Q180="",Y180=""),"",Q180-Y180)</f>
        <v/>
      </c>
      <c r="AA180" s="9" t="n"/>
      <c r="AB180" s="9" t="n"/>
    </row>
    <row r="181" ht="22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10">
        <f>IF(OR(N181="",P181=""),"",N181*P181)</f>
        <v/>
      </c>
      <c r="R181" s="9" t="n"/>
      <c r="S181" s="9" t="n"/>
      <c r="T181" s="9" t="n"/>
      <c r="U181" s="9">
        <f>IF(Q181="","",IF(W181=0,"已付款PAID",IF(V181&gt;0,"部分核销","未付款N/P")))</f>
        <v/>
      </c>
      <c r="V181" s="10">
        <f>IF(G181="","",SUMIFS(回款核销!$H:$H,回款核销!$C:$C,G181)+SUMIFS(回款核销!$H:$H,回款核销!$B:$B,D181,回款核销!$C:$C,""))</f>
        <v/>
      </c>
      <c r="W181" s="10">
        <f>IF(Q181="","",MAX(0,Q181-V181))</f>
        <v/>
      </c>
      <c r="X181" s="9" t="n"/>
      <c r="Y181" s="10">
        <f>IF(OR(N181="",X181=""),"",N181*X181)</f>
        <v/>
      </c>
      <c r="Z181" s="10">
        <f>IF(OR(Q181="",Y181=""),"",Q181-Y181)</f>
        <v/>
      </c>
      <c r="AA181" s="9" t="n"/>
      <c r="AB181" s="9" t="n"/>
    </row>
    <row r="182" ht="22" customHeight="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10">
        <f>IF(OR(N182="",P182=""),"",N182*P182)</f>
        <v/>
      </c>
      <c r="R182" s="9" t="n"/>
      <c r="S182" s="9" t="n"/>
      <c r="T182" s="9" t="n"/>
      <c r="U182" s="9">
        <f>IF(Q182="","",IF(W182=0,"已付款PAID",IF(V182&gt;0,"部分核销","未付款N/P")))</f>
        <v/>
      </c>
      <c r="V182" s="10">
        <f>IF(G182="","",SUMIFS(回款核销!$H:$H,回款核销!$C:$C,G182)+SUMIFS(回款核销!$H:$H,回款核销!$B:$B,D182,回款核销!$C:$C,""))</f>
        <v/>
      </c>
      <c r="W182" s="10">
        <f>IF(Q182="","",MAX(0,Q182-V182))</f>
        <v/>
      </c>
      <c r="X182" s="9" t="n"/>
      <c r="Y182" s="10">
        <f>IF(OR(N182="",X182=""),"",N182*X182)</f>
        <v/>
      </c>
      <c r="Z182" s="10">
        <f>IF(OR(Q182="",Y182=""),"",Q182-Y182)</f>
        <v/>
      </c>
      <c r="AA182" s="9" t="n"/>
      <c r="AB182" s="9" t="n"/>
    </row>
    <row r="183" ht="22" customHeight="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10">
        <f>IF(OR(N183="",P183=""),"",N183*P183)</f>
        <v/>
      </c>
      <c r="R183" s="9" t="n"/>
      <c r="S183" s="9" t="n"/>
      <c r="T183" s="9" t="n"/>
      <c r="U183" s="9">
        <f>IF(Q183="","",IF(W183=0,"已付款PAID",IF(V183&gt;0,"部分核销","未付款N/P")))</f>
        <v/>
      </c>
      <c r="V183" s="10">
        <f>IF(G183="","",SUMIFS(回款核销!$H:$H,回款核销!$C:$C,G183)+SUMIFS(回款核销!$H:$H,回款核销!$B:$B,D183,回款核销!$C:$C,""))</f>
        <v/>
      </c>
      <c r="W183" s="10">
        <f>IF(Q183="","",MAX(0,Q183-V183))</f>
        <v/>
      </c>
      <c r="X183" s="9" t="n"/>
      <c r="Y183" s="10">
        <f>IF(OR(N183="",X183=""),"",N183*X183)</f>
        <v/>
      </c>
      <c r="Z183" s="10">
        <f>IF(OR(Q183="",Y183=""),"",Q183-Y183)</f>
        <v/>
      </c>
      <c r="AA183" s="9" t="n"/>
      <c r="AB183" s="9" t="n"/>
    </row>
    <row r="184" ht="22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10">
        <f>IF(OR(N184="",P184=""),"",N184*P184)</f>
        <v/>
      </c>
      <c r="R184" s="9" t="n"/>
      <c r="S184" s="9" t="n"/>
      <c r="T184" s="9" t="n"/>
      <c r="U184" s="9">
        <f>IF(Q184="","",IF(W184=0,"已付款PAID",IF(V184&gt;0,"部分核销","未付款N/P")))</f>
        <v/>
      </c>
      <c r="V184" s="10">
        <f>IF(G184="","",SUMIFS(回款核销!$H:$H,回款核销!$C:$C,G184)+SUMIFS(回款核销!$H:$H,回款核销!$B:$B,D184,回款核销!$C:$C,""))</f>
        <v/>
      </c>
      <c r="W184" s="10">
        <f>IF(Q184="","",MAX(0,Q184-V184))</f>
        <v/>
      </c>
      <c r="X184" s="9" t="n"/>
      <c r="Y184" s="10">
        <f>IF(OR(N184="",X184=""),"",N184*X184)</f>
        <v/>
      </c>
      <c r="Z184" s="10">
        <f>IF(OR(Q184="",Y184=""),"",Q184-Y184)</f>
        <v/>
      </c>
      <c r="AA184" s="9" t="n"/>
      <c r="AB184" s="9" t="n"/>
    </row>
    <row r="185" ht="22" customHeight="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10">
        <f>IF(OR(N185="",P185=""),"",N185*P185)</f>
        <v/>
      </c>
      <c r="R185" s="9" t="n"/>
      <c r="S185" s="9" t="n"/>
      <c r="T185" s="9" t="n"/>
      <c r="U185" s="9">
        <f>IF(Q185="","",IF(W185=0,"已付款PAID",IF(V185&gt;0,"部分核销","未付款N/P")))</f>
        <v/>
      </c>
      <c r="V185" s="10">
        <f>IF(G185="","",SUMIFS(回款核销!$H:$H,回款核销!$C:$C,G185)+SUMIFS(回款核销!$H:$H,回款核销!$B:$B,D185,回款核销!$C:$C,""))</f>
        <v/>
      </c>
      <c r="W185" s="10">
        <f>IF(Q185="","",MAX(0,Q185-V185))</f>
        <v/>
      </c>
      <c r="X185" s="9" t="n"/>
      <c r="Y185" s="10">
        <f>IF(OR(N185="",X185=""),"",N185*X185)</f>
        <v/>
      </c>
      <c r="Z185" s="10">
        <f>IF(OR(Q185="",Y185=""),"",Q185-Y185)</f>
        <v/>
      </c>
      <c r="AA185" s="9" t="n"/>
      <c r="AB185" s="9" t="n"/>
    </row>
    <row r="186" ht="22" customHeight="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10">
        <f>IF(OR(N186="",P186=""),"",N186*P186)</f>
        <v/>
      </c>
      <c r="R186" s="9" t="n"/>
      <c r="S186" s="9" t="n"/>
      <c r="T186" s="9" t="n"/>
      <c r="U186" s="9">
        <f>IF(Q186="","",IF(W186=0,"已付款PAID",IF(V186&gt;0,"部分核销","未付款N/P")))</f>
        <v/>
      </c>
      <c r="V186" s="10">
        <f>IF(G186="","",SUMIFS(回款核销!$H:$H,回款核销!$C:$C,G186)+SUMIFS(回款核销!$H:$H,回款核销!$B:$B,D186,回款核销!$C:$C,""))</f>
        <v/>
      </c>
      <c r="W186" s="10">
        <f>IF(Q186="","",MAX(0,Q186-V186))</f>
        <v/>
      </c>
      <c r="X186" s="9" t="n"/>
      <c r="Y186" s="10">
        <f>IF(OR(N186="",X186=""),"",N186*X186)</f>
        <v/>
      </c>
      <c r="Z186" s="10">
        <f>IF(OR(Q186="",Y186=""),"",Q186-Y186)</f>
        <v/>
      </c>
      <c r="AA186" s="9" t="n"/>
      <c r="AB186" s="9" t="n"/>
    </row>
    <row r="187" ht="22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10">
        <f>IF(OR(N187="",P187=""),"",N187*P187)</f>
        <v/>
      </c>
      <c r="R187" s="9" t="n"/>
      <c r="S187" s="9" t="n"/>
      <c r="T187" s="9" t="n"/>
      <c r="U187" s="9">
        <f>IF(Q187="","",IF(W187=0,"已付款PAID",IF(V187&gt;0,"部分核销","未付款N/P")))</f>
        <v/>
      </c>
      <c r="V187" s="10">
        <f>IF(G187="","",SUMIFS(回款核销!$H:$H,回款核销!$C:$C,G187)+SUMIFS(回款核销!$H:$H,回款核销!$B:$B,D187,回款核销!$C:$C,""))</f>
        <v/>
      </c>
      <c r="W187" s="10">
        <f>IF(Q187="","",MAX(0,Q187-V187))</f>
        <v/>
      </c>
      <c r="X187" s="9" t="n"/>
      <c r="Y187" s="10">
        <f>IF(OR(N187="",X187=""),"",N187*X187)</f>
        <v/>
      </c>
      <c r="Z187" s="10">
        <f>IF(OR(Q187="",Y187=""),"",Q187-Y187)</f>
        <v/>
      </c>
      <c r="AA187" s="9" t="n"/>
      <c r="AB187" s="9" t="n"/>
    </row>
    <row r="188" ht="22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10">
        <f>IF(OR(N188="",P188=""),"",N188*P188)</f>
        <v/>
      </c>
      <c r="R188" s="9" t="n"/>
      <c r="S188" s="9" t="n"/>
      <c r="T188" s="9" t="n"/>
      <c r="U188" s="9">
        <f>IF(Q188="","",IF(W188=0,"已付款PAID",IF(V188&gt;0,"部分核销","未付款N/P")))</f>
        <v/>
      </c>
      <c r="V188" s="10">
        <f>IF(G188="","",SUMIFS(回款核销!$H:$H,回款核销!$C:$C,G188)+SUMIFS(回款核销!$H:$H,回款核销!$B:$B,D188,回款核销!$C:$C,""))</f>
        <v/>
      </c>
      <c r="W188" s="10">
        <f>IF(Q188="","",MAX(0,Q188-V188))</f>
        <v/>
      </c>
      <c r="X188" s="9" t="n"/>
      <c r="Y188" s="10">
        <f>IF(OR(N188="",X188=""),"",N188*X188)</f>
        <v/>
      </c>
      <c r="Z188" s="10">
        <f>IF(OR(Q188="",Y188=""),"",Q188-Y188)</f>
        <v/>
      </c>
      <c r="AA188" s="9" t="n"/>
      <c r="AB188" s="9" t="n"/>
    </row>
    <row r="189" ht="22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10">
        <f>IF(OR(N189="",P189=""),"",N189*P189)</f>
        <v/>
      </c>
      <c r="R189" s="9" t="n"/>
      <c r="S189" s="9" t="n"/>
      <c r="T189" s="9" t="n"/>
      <c r="U189" s="9">
        <f>IF(Q189="","",IF(W189=0,"已付款PAID",IF(V189&gt;0,"部分核销","未付款N/P")))</f>
        <v/>
      </c>
      <c r="V189" s="10">
        <f>IF(G189="","",SUMIFS(回款核销!$H:$H,回款核销!$C:$C,G189)+SUMIFS(回款核销!$H:$H,回款核销!$B:$B,D189,回款核销!$C:$C,""))</f>
        <v/>
      </c>
      <c r="W189" s="10">
        <f>IF(Q189="","",MAX(0,Q189-V189))</f>
        <v/>
      </c>
      <c r="X189" s="9" t="n"/>
      <c r="Y189" s="10">
        <f>IF(OR(N189="",X189=""),"",N189*X189)</f>
        <v/>
      </c>
      <c r="Z189" s="10">
        <f>IF(OR(Q189="",Y189=""),"",Q189-Y189)</f>
        <v/>
      </c>
      <c r="AA189" s="9" t="n"/>
      <c r="AB189" s="9" t="n"/>
    </row>
    <row r="190" ht="22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10">
        <f>IF(OR(N190="",P190=""),"",N190*P190)</f>
        <v/>
      </c>
      <c r="R190" s="9" t="n"/>
      <c r="S190" s="9" t="n"/>
      <c r="T190" s="9" t="n"/>
      <c r="U190" s="9">
        <f>IF(Q190="","",IF(W190=0,"已付款PAID",IF(V190&gt;0,"部分核销","未付款N/P")))</f>
        <v/>
      </c>
      <c r="V190" s="10">
        <f>IF(G190="","",SUMIFS(回款核销!$H:$H,回款核销!$C:$C,G190)+SUMIFS(回款核销!$H:$H,回款核销!$B:$B,D190,回款核销!$C:$C,""))</f>
        <v/>
      </c>
      <c r="W190" s="10">
        <f>IF(Q190="","",MAX(0,Q190-V190))</f>
        <v/>
      </c>
      <c r="X190" s="9" t="n"/>
      <c r="Y190" s="10">
        <f>IF(OR(N190="",X190=""),"",N190*X190)</f>
        <v/>
      </c>
      <c r="Z190" s="10">
        <f>IF(OR(Q190="",Y190=""),"",Q190-Y190)</f>
        <v/>
      </c>
      <c r="AA190" s="9" t="n"/>
      <c r="AB190" s="9" t="n"/>
    </row>
    <row r="191" ht="22" customHeight="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10">
        <f>IF(OR(N191="",P191=""),"",N191*P191)</f>
        <v/>
      </c>
      <c r="R191" s="9" t="n"/>
      <c r="S191" s="9" t="n"/>
      <c r="T191" s="9" t="n"/>
      <c r="U191" s="9">
        <f>IF(Q191="","",IF(W191=0,"已付款PAID",IF(V191&gt;0,"部分核销","未付款N/P")))</f>
        <v/>
      </c>
      <c r="V191" s="10">
        <f>IF(G191="","",SUMIFS(回款核销!$H:$H,回款核销!$C:$C,G191)+SUMIFS(回款核销!$H:$H,回款核销!$B:$B,D191,回款核销!$C:$C,""))</f>
        <v/>
      </c>
      <c r="W191" s="10">
        <f>IF(Q191="","",MAX(0,Q191-V191))</f>
        <v/>
      </c>
      <c r="X191" s="9" t="n"/>
      <c r="Y191" s="10">
        <f>IF(OR(N191="",X191=""),"",N191*X191)</f>
        <v/>
      </c>
      <c r="Z191" s="10">
        <f>IF(OR(Q191="",Y191=""),"",Q191-Y191)</f>
        <v/>
      </c>
      <c r="AA191" s="9" t="n"/>
      <c r="AB191" s="9" t="n"/>
    </row>
    <row r="192" ht="22" customHeight="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10">
        <f>IF(OR(N192="",P192=""),"",N192*P192)</f>
        <v/>
      </c>
      <c r="R192" s="9" t="n"/>
      <c r="S192" s="9" t="n"/>
      <c r="T192" s="9" t="n"/>
      <c r="U192" s="9">
        <f>IF(Q192="","",IF(W192=0,"已付款PAID",IF(V192&gt;0,"部分核销","未付款N/P")))</f>
        <v/>
      </c>
      <c r="V192" s="10">
        <f>IF(G192="","",SUMIFS(回款核销!$H:$H,回款核销!$C:$C,G192)+SUMIFS(回款核销!$H:$H,回款核销!$B:$B,D192,回款核销!$C:$C,""))</f>
        <v/>
      </c>
      <c r="W192" s="10">
        <f>IF(Q192="","",MAX(0,Q192-V192))</f>
        <v/>
      </c>
      <c r="X192" s="9" t="n"/>
      <c r="Y192" s="10">
        <f>IF(OR(N192="",X192=""),"",N192*X192)</f>
        <v/>
      </c>
      <c r="Z192" s="10">
        <f>IF(OR(Q192="",Y192=""),"",Q192-Y192)</f>
        <v/>
      </c>
      <c r="AA192" s="9" t="n"/>
      <c r="AB192" s="9" t="n"/>
    </row>
    <row r="193" ht="22" customHeight="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10">
        <f>IF(OR(N193="",P193=""),"",N193*P193)</f>
        <v/>
      </c>
      <c r="R193" s="9" t="n"/>
      <c r="S193" s="9" t="n"/>
      <c r="T193" s="9" t="n"/>
      <c r="U193" s="9">
        <f>IF(Q193="","",IF(W193=0,"已付款PAID",IF(V193&gt;0,"部分核销","未付款N/P")))</f>
        <v/>
      </c>
      <c r="V193" s="10">
        <f>IF(G193="","",SUMIFS(回款核销!$H:$H,回款核销!$C:$C,G193)+SUMIFS(回款核销!$H:$H,回款核销!$B:$B,D193,回款核销!$C:$C,""))</f>
        <v/>
      </c>
      <c r="W193" s="10">
        <f>IF(Q193="","",MAX(0,Q193-V193))</f>
        <v/>
      </c>
      <c r="X193" s="9" t="n"/>
      <c r="Y193" s="10">
        <f>IF(OR(N193="",X193=""),"",N193*X193)</f>
        <v/>
      </c>
      <c r="Z193" s="10">
        <f>IF(OR(Q193="",Y193=""),"",Q193-Y193)</f>
        <v/>
      </c>
      <c r="AA193" s="9" t="n"/>
      <c r="AB193" s="9" t="n"/>
    </row>
    <row r="194" ht="22" customHeight="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10">
        <f>IF(OR(N194="",P194=""),"",N194*P194)</f>
        <v/>
      </c>
      <c r="R194" s="9" t="n"/>
      <c r="S194" s="9" t="n"/>
      <c r="T194" s="9" t="n"/>
      <c r="U194" s="9">
        <f>IF(Q194="","",IF(W194=0,"已付款PAID",IF(V194&gt;0,"部分核销","未付款N/P")))</f>
        <v/>
      </c>
      <c r="V194" s="10">
        <f>IF(G194="","",SUMIFS(回款核销!$H:$H,回款核销!$C:$C,G194)+SUMIFS(回款核销!$H:$H,回款核销!$B:$B,D194,回款核销!$C:$C,""))</f>
        <v/>
      </c>
      <c r="W194" s="10">
        <f>IF(Q194="","",MAX(0,Q194-V194))</f>
        <v/>
      </c>
      <c r="X194" s="9" t="n"/>
      <c r="Y194" s="10">
        <f>IF(OR(N194="",X194=""),"",N194*X194)</f>
        <v/>
      </c>
      <c r="Z194" s="10">
        <f>IF(OR(Q194="",Y194=""),"",Q194-Y194)</f>
        <v/>
      </c>
      <c r="AA194" s="9" t="n"/>
      <c r="AB194" s="9" t="n"/>
    </row>
    <row r="195" ht="22" customHeight="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10">
        <f>IF(OR(N195="",P195=""),"",N195*P195)</f>
        <v/>
      </c>
      <c r="R195" s="9" t="n"/>
      <c r="S195" s="9" t="n"/>
      <c r="T195" s="9" t="n"/>
      <c r="U195" s="9">
        <f>IF(Q195="","",IF(W195=0,"已付款PAID",IF(V195&gt;0,"部分核销","未付款N/P")))</f>
        <v/>
      </c>
      <c r="V195" s="10">
        <f>IF(G195="","",SUMIFS(回款核销!$H:$H,回款核销!$C:$C,G195)+SUMIFS(回款核销!$H:$H,回款核销!$B:$B,D195,回款核销!$C:$C,""))</f>
        <v/>
      </c>
      <c r="W195" s="10">
        <f>IF(Q195="","",MAX(0,Q195-V195))</f>
        <v/>
      </c>
      <c r="X195" s="9" t="n"/>
      <c r="Y195" s="10">
        <f>IF(OR(N195="",X195=""),"",N195*X195)</f>
        <v/>
      </c>
      <c r="Z195" s="10">
        <f>IF(OR(Q195="",Y195=""),"",Q195-Y195)</f>
        <v/>
      </c>
      <c r="AA195" s="9" t="n"/>
      <c r="AB195" s="9" t="n"/>
    </row>
    <row r="196" ht="22" customHeight="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10">
        <f>IF(OR(N196="",P196=""),"",N196*P196)</f>
        <v/>
      </c>
      <c r="R196" s="9" t="n"/>
      <c r="S196" s="9" t="n"/>
      <c r="T196" s="9" t="n"/>
      <c r="U196" s="9">
        <f>IF(Q196="","",IF(W196=0,"已付款PAID",IF(V196&gt;0,"部分核销","未付款N/P")))</f>
        <v/>
      </c>
      <c r="V196" s="10">
        <f>IF(G196="","",SUMIFS(回款核销!$H:$H,回款核销!$C:$C,G196)+SUMIFS(回款核销!$H:$H,回款核销!$B:$B,D196,回款核销!$C:$C,""))</f>
        <v/>
      </c>
      <c r="W196" s="10">
        <f>IF(Q196="","",MAX(0,Q196-V196))</f>
        <v/>
      </c>
      <c r="X196" s="9" t="n"/>
      <c r="Y196" s="10">
        <f>IF(OR(N196="",X196=""),"",N196*X196)</f>
        <v/>
      </c>
      <c r="Z196" s="10">
        <f>IF(OR(Q196="",Y196=""),"",Q196-Y196)</f>
        <v/>
      </c>
      <c r="AA196" s="9" t="n"/>
      <c r="AB196" s="9" t="n"/>
    </row>
    <row r="197" ht="22" customHeight="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10">
        <f>IF(OR(N197="",P197=""),"",N197*P197)</f>
        <v/>
      </c>
      <c r="R197" s="9" t="n"/>
      <c r="S197" s="9" t="n"/>
      <c r="T197" s="9" t="n"/>
      <c r="U197" s="9">
        <f>IF(Q197="","",IF(W197=0,"已付款PAID",IF(V197&gt;0,"部分核销","未付款N/P")))</f>
        <v/>
      </c>
      <c r="V197" s="10">
        <f>IF(G197="","",SUMIFS(回款核销!$H:$H,回款核销!$C:$C,G197)+SUMIFS(回款核销!$H:$H,回款核销!$B:$B,D197,回款核销!$C:$C,""))</f>
        <v/>
      </c>
      <c r="W197" s="10">
        <f>IF(Q197="","",MAX(0,Q197-V197))</f>
        <v/>
      </c>
      <c r="X197" s="9" t="n"/>
      <c r="Y197" s="10">
        <f>IF(OR(N197="",X197=""),"",N197*X197)</f>
        <v/>
      </c>
      <c r="Z197" s="10">
        <f>IF(OR(Q197="",Y197=""),"",Q197-Y197)</f>
        <v/>
      </c>
      <c r="AA197" s="9" t="n"/>
      <c r="AB197" s="9" t="n"/>
    </row>
    <row r="198" ht="22" customHeight="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10">
        <f>IF(OR(N198="",P198=""),"",N198*P198)</f>
        <v/>
      </c>
      <c r="R198" s="9" t="n"/>
      <c r="S198" s="9" t="n"/>
      <c r="T198" s="9" t="n"/>
      <c r="U198" s="9">
        <f>IF(Q198="","",IF(W198=0,"已付款PAID",IF(V198&gt;0,"部分核销","未付款N/P")))</f>
        <v/>
      </c>
      <c r="V198" s="10">
        <f>IF(G198="","",SUMIFS(回款核销!$H:$H,回款核销!$C:$C,G198)+SUMIFS(回款核销!$H:$H,回款核销!$B:$B,D198,回款核销!$C:$C,""))</f>
        <v/>
      </c>
      <c r="W198" s="10">
        <f>IF(Q198="","",MAX(0,Q198-V198))</f>
        <v/>
      </c>
      <c r="X198" s="9" t="n"/>
      <c r="Y198" s="10">
        <f>IF(OR(N198="",X198=""),"",N198*X198)</f>
        <v/>
      </c>
      <c r="Z198" s="10">
        <f>IF(OR(Q198="",Y198=""),"",Q198-Y198)</f>
        <v/>
      </c>
      <c r="AA198" s="9" t="n"/>
      <c r="AB198" s="9" t="n"/>
    </row>
    <row r="199" ht="22" customHeight="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10">
        <f>IF(OR(N199="",P199=""),"",N199*P199)</f>
        <v/>
      </c>
      <c r="R199" s="9" t="n"/>
      <c r="S199" s="9" t="n"/>
      <c r="T199" s="9" t="n"/>
      <c r="U199" s="9">
        <f>IF(Q199="","",IF(W199=0,"已付款PAID",IF(V199&gt;0,"部分核销","未付款N/P")))</f>
        <v/>
      </c>
      <c r="V199" s="10">
        <f>IF(G199="","",SUMIFS(回款核销!$H:$H,回款核销!$C:$C,G199)+SUMIFS(回款核销!$H:$H,回款核销!$B:$B,D199,回款核销!$C:$C,""))</f>
        <v/>
      </c>
      <c r="W199" s="10">
        <f>IF(Q199="","",MAX(0,Q199-V199))</f>
        <v/>
      </c>
      <c r="X199" s="9" t="n"/>
      <c r="Y199" s="10">
        <f>IF(OR(N199="",X199=""),"",N199*X199)</f>
        <v/>
      </c>
      <c r="Z199" s="10">
        <f>IF(OR(Q199="",Y199=""),"",Q199-Y199)</f>
        <v/>
      </c>
      <c r="AA199" s="9" t="n"/>
      <c r="AB199" s="9" t="n"/>
    </row>
    <row r="200" ht="22" customHeight="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10">
        <f>IF(OR(N200="",P200=""),"",N200*P200)</f>
        <v/>
      </c>
      <c r="R200" s="9" t="n"/>
      <c r="S200" s="9" t="n"/>
      <c r="T200" s="9" t="n"/>
      <c r="U200" s="9">
        <f>IF(Q200="","",IF(W200=0,"已付款PAID",IF(V200&gt;0,"部分核销","未付款N/P")))</f>
        <v/>
      </c>
      <c r="V200" s="10">
        <f>IF(G200="","",SUMIFS(回款核销!$H:$H,回款核销!$C:$C,G200)+SUMIFS(回款核销!$H:$H,回款核销!$B:$B,D200,回款核销!$C:$C,""))</f>
        <v/>
      </c>
      <c r="W200" s="10">
        <f>IF(Q200="","",MAX(0,Q200-V200))</f>
        <v/>
      </c>
      <c r="X200" s="9" t="n"/>
      <c r="Y200" s="10">
        <f>IF(OR(N200="",X200=""),"",N200*X200)</f>
        <v/>
      </c>
      <c r="Z200" s="10">
        <f>IF(OR(Q200="",Y200=""),"",Q200-Y200)</f>
        <v/>
      </c>
      <c r="AA200" s="9" t="n"/>
      <c r="AB200" s="9" t="n"/>
    </row>
    <row r="201" ht="22" customHeight="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10">
        <f>IF(OR(N201="",P201=""),"",N201*P201)</f>
        <v/>
      </c>
      <c r="R201" s="9" t="n"/>
      <c r="S201" s="9" t="n"/>
      <c r="T201" s="9" t="n"/>
      <c r="U201" s="9">
        <f>IF(Q201="","",IF(W201=0,"已付款PAID",IF(V201&gt;0,"部分核销","未付款N/P")))</f>
        <v/>
      </c>
      <c r="V201" s="10">
        <f>IF(G201="","",SUMIFS(回款核销!$H:$H,回款核销!$C:$C,G201)+SUMIFS(回款核销!$H:$H,回款核销!$B:$B,D201,回款核销!$C:$C,""))</f>
        <v/>
      </c>
      <c r="W201" s="10">
        <f>IF(Q201="","",MAX(0,Q201-V201))</f>
        <v/>
      </c>
      <c r="X201" s="9" t="n"/>
      <c r="Y201" s="10">
        <f>IF(OR(N201="",X201=""),"",N201*X201)</f>
        <v/>
      </c>
      <c r="Z201" s="10">
        <f>IF(OR(Q201="",Y201=""),"",Q201-Y201)</f>
        <v/>
      </c>
      <c r="AA201" s="9" t="n"/>
      <c r="AB201" s="9" t="n"/>
    </row>
    <row r="202" ht="22" customHeight="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10">
        <f>IF(OR(N202="",P202=""),"",N202*P202)</f>
        <v/>
      </c>
      <c r="R202" s="9" t="n"/>
      <c r="S202" s="9" t="n"/>
      <c r="T202" s="9" t="n"/>
      <c r="U202" s="9">
        <f>IF(Q202="","",IF(W202=0,"已付款PAID",IF(V202&gt;0,"部分核销","未付款N/P")))</f>
        <v/>
      </c>
      <c r="V202" s="10">
        <f>IF(G202="","",SUMIFS(回款核销!$H:$H,回款核销!$C:$C,G202)+SUMIFS(回款核销!$H:$H,回款核销!$B:$B,D202,回款核销!$C:$C,""))</f>
        <v/>
      </c>
      <c r="W202" s="10">
        <f>IF(Q202="","",MAX(0,Q202-V202))</f>
        <v/>
      </c>
      <c r="X202" s="9" t="n"/>
      <c r="Y202" s="10">
        <f>IF(OR(N202="",X202=""),"",N202*X202)</f>
        <v/>
      </c>
      <c r="Z202" s="10">
        <f>IF(OR(Q202="",Y202=""),"",Q202-Y202)</f>
        <v/>
      </c>
      <c r="AA202" s="9" t="n"/>
      <c r="AB202" s="9" t="n"/>
    </row>
    <row r="203" ht="22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10">
        <f>IF(OR(N203="",P203=""),"",N203*P203)</f>
        <v/>
      </c>
      <c r="R203" s="9" t="n"/>
      <c r="S203" s="9" t="n"/>
      <c r="T203" s="9" t="n"/>
      <c r="U203" s="9">
        <f>IF(Q203="","",IF(W203=0,"已付款PAID",IF(V203&gt;0,"部分核销","未付款N/P")))</f>
        <v/>
      </c>
      <c r="V203" s="10">
        <f>IF(G203="","",SUMIFS(回款核销!$H:$H,回款核销!$C:$C,G203)+SUMIFS(回款核销!$H:$H,回款核销!$B:$B,D203,回款核销!$C:$C,""))</f>
        <v/>
      </c>
      <c r="W203" s="10">
        <f>IF(Q203="","",MAX(0,Q203-V203))</f>
        <v/>
      </c>
      <c r="X203" s="9" t="n"/>
      <c r="Y203" s="10">
        <f>IF(OR(N203="",X203=""),"",N203*X203)</f>
        <v/>
      </c>
      <c r="Z203" s="10">
        <f>IF(OR(Q203="",Y203=""),"",Q203-Y203)</f>
        <v/>
      </c>
      <c r="AA203" s="9" t="n"/>
      <c r="AB203" s="9" t="n"/>
    </row>
    <row r="204" ht="22" customHeight="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10">
        <f>IF(OR(N204="",P204=""),"",N204*P204)</f>
        <v/>
      </c>
      <c r="R204" s="9" t="n"/>
      <c r="S204" s="9" t="n"/>
      <c r="T204" s="9" t="n"/>
      <c r="U204" s="9">
        <f>IF(Q204="","",IF(W204=0,"已付款PAID",IF(V204&gt;0,"部分核销","未付款N/P")))</f>
        <v/>
      </c>
      <c r="V204" s="10">
        <f>IF(G204="","",SUMIFS(回款核销!$H:$H,回款核销!$C:$C,G204)+SUMIFS(回款核销!$H:$H,回款核销!$B:$B,D204,回款核销!$C:$C,""))</f>
        <v/>
      </c>
      <c r="W204" s="10">
        <f>IF(Q204="","",MAX(0,Q204-V204))</f>
        <v/>
      </c>
      <c r="X204" s="9" t="n"/>
      <c r="Y204" s="10">
        <f>IF(OR(N204="",X204=""),"",N204*X204)</f>
        <v/>
      </c>
      <c r="Z204" s="10">
        <f>IF(OR(Q204="",Y204=""),"",Q204-Y204)</f>
        <v/>
      </c>
      <c r="AA204" s="9" t="n"/>
      <c r="AB204" s="9" t="n"/>
    </row>
    <row r="205" ht="22" customHeight="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10">
        <f>IF(OR(N205="",P205=""),"",N205*P205)</f>
        <v/>
      </c>
      <c r="R205" s="9" t="n"/>
      <c r="S205" s="9" t="n"/>
      <c r="T205" s="9" t="n"/>
      <c r="U205" s="9">
        <f>IF(Q205="","",IF(W205=0,"已付款PAID",IF(V205&gt;0,"部分核销","未付款N/P")))</f>
        <v/>
      </c>
      <c r="V205" s="10">
        <f>IF(G205="","",SUMIFS(回款核销!$H:$H,回款核销!$C:$C,G205)+SUMIFS(回款核销!$H:$H,回款核销!$B:$B,D205,回款核销!$C:$C,""))</f>
        <v/>
      </c>
      <c r="W205" s="10">
        <f>IF(Q205="","",MAX(0,Q205-V205))</f>
        <v/>
      </c>
      <c r="X205" s="9" t="n"/>
      <c r="Y205" s="10">
        <f>IF(OR(N205="",X205=""),"",N205*X205)</f>
        <v/>
      </c>
      <c r="Z205" s="10">
        <f>IF(OR(Q205="",Y205=""),"",Q205-Y205)</f>
        <v/>
      </c>
      <c r="AA205" s="9" t="n"/>
      <c r="AB205" s="9" t="n"/>
    </row>
    <row r="206" ht="22" customHeight="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10">
        <f>IF(OR(N206="",P206=""),"",N206*P206)</f>
        <v/>
      </c>
      <c r="R206" s="9" t="n"/>
      <c r="S206" s="9" t="n"/>
      <c r="T206" s="9" t="n"/>
      <c r="U206" s="9">
        <f>IF(Q206="","",IF(W206=0,"已付款PAID",IF(V206&gt;0,"部分核销","未付款N/P")))</f>
        <v/>
      </c>
      <c r="V206" s="10">
        <f>IF(G206="","",SUMIFS(回款核销!$H:$H,回款核销!$C:$C,G206)+SUMIFS(回款核销!$H:$H,回款核销!$B:$B,D206,回款核销!$C:$C,""))</f>
        <v/>
      </c>
      <c r="W206" s="10">
        <f>IF(Q206="","",MAX(0,Q206-V206))</f>
        <v/>
      </c>
      <c r="X206" s="9" t="n"/>
      <c r="Y206" s="10">
        <f>IF(OR(N206="",X206=""),"",N206*X206)</f>
        <v/>
      </c>
      <c r="Z206" s="10">
        <f>IF(OR(Q206="",Y206=""),"",Q206-Y206)</f>
        <v/>
      </c>
      <c r="AA206" s="9" t="n"/>
      <c r="AB206" s="9" t="n"/>
    </row>
    <row r="207" ht="22" customHeight="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10">
        <f>IF(OR(N207="",P207=""),"",N207*P207)</f>
        <v/>
      </c>
      <c r="R207" s="9" t="n"/>
      <c r="S207" s="9" t="n"/>
      <c r="T207" s="9" t="n"/>
      <c r="U207" s="9">
        <f>IF(Q207="","",IF(W207=0,"已付款PAID",IF(V207&gt;0,"部分核销","未付款N/P")))</f>
        <v/>
      </c>
      <c r="V207" s="10">
        <f>IF(G207="","",SUMIFS(回款核销!$H:$H,回款核销!$C:$C,G207)+SUMIFS(回款核销!$H:$H,回款核销!$B:$B,D207,回款核销!$C:$C,""))</f>
        <v/>
      </c>
      <c r="W207" s="10">
        <f>IF(Q207="","",MAX(0,Q207-V207))</f>
        <v/>
      </c>
      <c r="X207" s="9" t="n"/>
      <c r="Y207" s="10">
        <f>IF(OR(N207="",X207=""),"",N207*X207)</f>
        <v/>
      </c>
      <c r="Z207" s="10">
        <f>IF(OR(Q207="",Y207=""),"",Q207-Y207)</f>
        <v/>
      </c>
      <c r="AA207" s="9" t="n"/>
      <c r="AB207" s="9" t="n"/>
    </row>
    <row r="208" ht="22" customHeight="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10">
        <f>IF(OR(N208="",P208=""),"",N208*P208)</f>
        <v/>
      </c>
      <c r="R208" s="9" t="n"/>
      <c r="S208" s="9" t="n"/>
      <c r="T208" s="9" t="n"/>
      <c r="U208" s="9">
        <f>IF(Q208="","",IF(W208=0,"已付款PAID",IF(V208&gt;0,"部分核销","未付款N/P")))</f>
        <v/>
      </c>
      <c r="V208" s="10">
        <f>IF(G208="","",SUMIFS(回款核销!$H:$H,回款核销!$C:$C,G208)+SUMIFS(回款核销!$H:$H,回款核销!$B:$B,D208,回款核销!$C:$C,""))</f>
        <v/>
      </c>
      <c r="W208" s="10">
        <f>IF(Q208="","",MAX(0,Q208-V208))</f>
        <v/>
      </c>
      <c r="X208" s="9" t="n"/>
      <c r="Y208" s="10">
        <f>IF(OR(N208="",X208=""),"",N208*X208)</f>
        <v/>
      </c>
      <c r="Z208" s="10">
        <f>IF(OR(Q208="",Y208=""),"",Q208-Y208)</f>
        <v/>
      </c>
      <c r="AA208" s="9" t="n"/>
      <c r="AB208" s="9" t="n"/>
    </row>
    <row r="209" ht="22" customHeight="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10">
        <f>IF(OR(N209="",P209=""),"",N209*P209)</f>
        <v/>
      </c>
      <c r="R209" s="9" t="n"/>
      <c r="S209" s="9" t="n"/>
      <c r="T209" s="9" t="n"/>
      <c r="U209" s="9">
        <f>IF(Q209="","",IF(W209=0,"已付款PAID",IF(V209&gt;0,"部分核销","未付款N/P")))</f>
        <v/>
      </c>
      <c r="V209" s="10">
        <f>IF(G209="","",SUMIFS(回款核销!$H:$H,回款核销!$C:$C,G209)+SUMIFS(回款核销!$H:$H,回款核销!$B:$B,D209,回款核销!$C:$C,""))</f>
        <v/>
      </c>
      <c r="W209" s="10">
        <f>IF(Q209="","",MAX(0,Q209-V209))</f>
        <v/>
      </c>
      <c r="X209" s="9" t="n"/>
      <c r="Y209" s="10">
        <f>IF(OR(N209="",X209=""),"",N209*X209)</f>
        <v/>
      </c>
      <c r="Z209" s="10">
        <f>IF(OR(Q209="",Y209=""),"",Q209-Y209)</f>
        <v/>
      </c>
      <c r="AA209" s="9" t="n"/>
      <c r="AB209" s="9" t="n"/>
    </row>
    <row r="210" ht="22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10">
        <f>IF(OR(N210="",P210=""),"",N210*P210)</f>
        <v/>
      </c>
      <c r="R210" s="9" t="n"/>
      <c r="S210" s="9" t="n"/>
      <c r="T210" s="9" t="n"/>
      <c r="U210" s="9">
        <f>IF(Q210="","",IF(W210=0,"已付款PAID",IF(V210&gt;0,"部分核销","未付款N/P")))</f>
        <v/>
      </c>
      <c r="V210" s="10">
        <f>IF(G210="","",SUMIFS(回款核销!$H:$H,回款核销!$C:$C,G210)+SUMIFS(回款核销!$H:$H,回款核销!$B:$B,D210,回款核销!$C:$C,""))</f>
        <v/>
      </c>
      <c r="W210" s="10">
        <f>IF(Q210="","",MAX(0,Q210-V210))</f>
        <v/>
      </c>
      <c r="X210" s="9" t="n"/>
      <c r="Y210" s="10">
        <f>IF(OR(N210="",X210=""),"",N210*X210)</f>
        <v/>
      </c>
      <c r="Z210" s="10">
        <f>IF(OR(Q210="",Y210=""),"",Q210-Y210)</f>
        <v/>
      </c>
      <c r="AA210" s="9" t="n"/>
      <c r="AB210" s="9" t="n"/>
    </row>
    <row r="211" ht="22" customHeight="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10">
        <f>IF(OR(N211="",P211=""),"",N211*P211)</f>
        <v/>
      </c>
      <c r="R211" s="9" t="n"/>
      <c r="S211" s="9" t="n"/>
      <c r="T211" s="9" t="n"/>
      <c r="U211" s="9">
        <f>IF(Q211="","",IF(W211=0,"已付款PAID",IF(V211&gt;0,"部分核销","未付款N/P")))</f>
        <v/>
      </c>
      <c r="V211" s="10">
        <f>IF(G211="","",SUMIFS(回款核销!$H:$H,回款核销!$C:$C,G211)+SUMIFS(回款核销!$H:$H,回款核销!$B:$B,D211,回款核销!$C:$C,""))</f>
        <v/>
      </c>
      <c r="W211" s="10">
        <f>IF(Q211="","",MAX(0,Q211-V211))</f>
        <v/>
      </c>
      <c r="X211" s="9" t="n"/>
      <c r="Y211" s="10">
        <f>IF(OR(N211="",X211=""),"",N211*X211)</f>
        <v/>
      </c>
      <c r="Z211" s="10">
        <f>IF(OR(Q211="",Y211=""),"",Q211-Y211)</f>
        <v/>
      </c>
      <c r="AA211" s="9" t="n"/>
      <c r="AB211" s="9" t="n"/>
    </row>
    <row r="212" ht="22" customHeight="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10">
        <f>IF(OR(N212="",P212=""),"",N212*P212)</f>
        <v/>
      </c>
      <c r="R212" s="9" t="n"/>
      <c r="S212" s="9" t="n"/>
      <c r="T212" s="9" t="n"/>
      <c r="U212" s="9">
        <f>IF(Q212="","",IF(W212=0,"已付款PAID",IF(V212&gt;0,"部分核销","未付款N/P")))</f>
        <v/>
      </c>
      <c r="V212" s="10">
        <f>IF(G212="","",SUMIFS(回款核销!$H:$H,回款核销!$C:$C,G212)+SUMIFS(回款核销!$H:$H,回款核销!$B:$B,D212,回款核销!$C:$C,""))</f>
        <v/>
      </c>
      <c r="W212" s="10">
        <f>IF(Q212="","",MAX(0,Q212-V212))</f>
        <v/>
      </c>
      <c r="X212" s="9" t="n"/>
      <c r="Y212" s="10">
        <f>IF(OR(N212="",X212=""),"",N212*X212)</f>
        <v/>
      </c>
      <c r="Z212" s="10">
        <f>IF(OR(Q212="",Y212=""),"",Q212-Y212)</f>
        <v/>
      </c>
      <c r="AA212" s="9" t="n"/>
      <c r="AB212" s="9" t="n"/>
    </row>
    <row r="213" ht="22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10">
        <f>IF(OR(N213="",P213=""),"",N213*P213)</f>
        <v/>
      </c>
      <c r="R213" s="9" t="n"/>
      <c r="S213" s="9" t="n"/>
      <c r="T213" s="9" t="n"/>
      <c r="U213" s="9">
        <f>IF(Q213="","",IF(W213=0,"已付款PAID",IF(V213&gt;0,"部分核销","未付款N/P")))</f>
        <v/>
      </c>
      <c r="V213" s="10">
        <f>IF(G213="","",SUMIFS(回款核销!$H:$H,回款核销!$C:$C,G213)+SUMIFS(回款核销!$H:$H,回款核销!$B:$B,D213,回款核销!$C:$C,""))</f>
        <v/>
      </c>
      <c r="W213" s="10">
        <f>IF(Q213="","",MAX(0,Q213-V213))</f>
        <v/>
      </c>
      <c r="X213" s="9" t="n"/>
      <c r="Y213" s="10">
        <f>IF(OR(N213="",X213=""),"",N213*X213)</f>
        <v/>
      </c>
      <c r="Z213" s="10">
        <f>IF(OR(Q213="",Y213=""),"",Q213-Y213)</f>
        <v/>
      </c>
      <c r="AA213" s="9" t="n"/>
      <c r="AB213" s="9" t="n"/>
    </row>
    <row r="214" ht="22" customHeight="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10">
        <f>IF(OR(N214="",P214=""),"",N214*P214)</f>
        <v/>
      </c>
      <c r="R214" s="9" t="n"/>
      <c r="S214" s="9" t="n"/>
      <c r="T214" s="9" t="n"/>
      <c r="U214" s="9">
        <f>IF(Q214="","",IF(W214=0,"已付款PAID",IF(V214&gt;0,"部分核销","未付款N/P")))</f>
        <v/>
      </c>
      <c r="V214" s="10">
        <f>IF(G214="","",SUMIFS(回款核销!$H:$H,回款核销!$C:$C,G214)+SUMIFS(回款核销!$H:$H,回款核销!$B:$B,D214,回款核销!$C:$C,""))</f>
        <v/>
      </c>
      <c r="W214" s="10">
        <f>IF(Q214="","",MAX(0,Q214-V214))</f>
        <v/>
      </c>
      <c r="X214" s="9" t="n"/>
      <c r="Y214" s="10">
        <f>IF(OR(N214="",X214=""),"",N214*X214)</f>
        <v/>
      </c>
      <c r="Z214" s="10">
        <f>IF(OR(Q214="",Y214=""),"",Q214-Y214)</f>
        <v/>
      </c>
      <c r="AA214" s="9" t="n"/>
      <c r="AB214" s="9" t="n"/>
    </row>
    <row r="215" ht="22" customHeight="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10">
        <f>IF(OR(N215="",P215=""),"",N215*P215)</f>
        <v/>
      </c>
      <c r="R215" s="9" t="n"/>
      <c r="S215" s="9" t="n"/>
      <c r="T215" s="9" t="n"/>
      <c r="U215" s="9">
        <f>IF(Q215="","",IF(W215=0,"已付款PAID",IF(V215&gt;0,"部分核销","未付款N/P")))</f>
        <v/>
      </c>
      <c r="V215" s="10">
        <f>IF(G215="","",SUMIFS(回款核销!$H:$H,回款核销!$C:$C,G215)+SUMIFS(回款核销!$H:$H,回款核销!$B:$B,D215,回款核销!$C:$C,""))</f>
        <v/>
      </c>
      <c r="W215" s="10">
        <f>IF(Q215="","",MAX(0,Q215-V215))</f>
        <v/>
      </c>
      <c r="X215" s="9" t="n"/>
      <c r="Y215" s="10">
        <f>IF(OR(N215="",X215=""),"",N215*X215)</f>
        <v/>
      </c>
      <c r="Z215" s="10">
        <f>IF(OR(Q215="",Y215=""),"",Q215-Y215)</f>
        <v/>
      </c>
      <c r="AA215" s="9" t="n"/>
      <c r="AB215" s="9" t="n"/>
    </row>
    <row r="216" ht="22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10">
        <f>IF(OR(N216="",P216=""),"",N216*P216)</f>
        <v/>
      </c>
      <c r="R216" s="9" t="n"/>
      <c r="S216" s="9" t="n"/>
      <c r="T216" s="9" t="n"/>
      <c r="U216" s="9">
        <f>IF(Q216="","",IF(W216=0,"已付款PAID",IF(V216&gt;0,"部分核销","未付款N/P")))</f>
        <v/>
      </c>
      <c r="V216" s="10">
        <f>IF(G216="","",SUMIFS(回款核销!$H:$H,回款核销!$C:$C,G216)+SUMIFS(回款核销!$H:$H,回款核销!$B:$B,D216,回款核销!$C:$C,""))</f>
        <v/>
      </c>
      <c r="W216" s="10">
        <f>IF(Q216="","",MAX(0,Q216-V216))</f>
        <v/>
      </c>
      <c r="X216" s="9" t="n"/>
      <c r="Y216" s="10">
        <f>IF(OR(N216="",X216=""),"",N216*X216)</f>
        <v/>
      </c>
      <c r="Z216" s="10">
        <f>IF(OR(Q216="",Y216=""),"",Q216-Y216)</f>
        <v/>
      </c>
      <c r="AA216" s="9" t="n"/>
      <c r="AB216" s="9" t="n"/>
    </row>
    <row r="217" ht="22" customHeight="1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10">
        <f>IF(OR(N217="",P217=""),"",N217*P217)</f>
        <v/>
      </c>
      <c r="R217" s="9" t="n"/>
      <c r="S217" s="9" t="n"/>
      <c r="T217" s="9" t="n"/>
      <c r="U217" s="9">
        <f>IF(Q217="","",IF(W217=0,"已付款PAID",IF(V217&gt;0,"部分核销","未付款N/P")))</f>
        <v/>
      </c>
      <c r="V217" s="10">
        <f>IF(G217="","",SUMIFS(回款核销!$H:$H,回款核销!$C:$C,G217)+SUMIFS(回款核销!$H:$H,回款核销!$B:$B,D217,回款核销!$C:$C,""))</f>
        <v/>
      </c>
      <c r="W217" s="10">
        <f>IF(Q217="","",MAX(0,Q217-V217))</f>
        <v/>
      </c>
      <c r="X217" s="9" t="n"/>
      <c r="Y217" s="10">
        <f>IF(OR(N217="",X217=""),"",N217*X217)</f>
        <v/>
      </c>
      <c r="Z217" s="10">
        <f>IF(OR(Q217="",Y217=""),"",Q217-Y217)</f>
        <v/>
      </c>
      <c r="AA217" s="9" t="n"/>
      <c r="AB217" s="9" t="n"/>
    </row>
    <row r="218" ht="22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10">
        <f>IF(OR(N218="",P218=""),"",N218*P218)</f>
        <v/>
      </c>
      <c r="R218" s="9" t="n"/>
      <c r="S218" s="9" t="n"/>
      <c r="T218" s="9" t="n"/>
      <c r="U218" s="9">
        <f>IF(Q218="","",IF(W218=0,"已付款PAID",IF(V218&gt;0,"部分核销","未付款N/P")))</f>
        <v/>
      </c>
      <c r="V218" s="10">
        <f>IF(G218="","",SUMIFS(回款核销!$H:$H,回款核销!$C:$C,G218)+SUMIFS(回款核销!$H:$H,回款核销!$B:$B,D218,回款核销!$C:$C,""))</f>
        <v/>
      </c>
      <c r="W218" s="10">
        <f>IF(Q218="","",MAX(0,Q218-V218))</f>
        <v/>
      </c>
      <c r="X218" s="9" t="n"/>
      <c r="Y218" s="10">
        <f>IF(OR(N218="",X218=""),"",N218*X218)</f>
        <v/>
      </c>
      <c r="Z218" s="10">
        <f>IF(OR(Q218="",Y218=""),"",Q218-Y218)</f>
        <v/>
      </c>
      <c r="AA218" s="9" t="n"/>
      <c r="AB218" s="9" t="n"/>
    </row>
    <row r="219" ht="22" customHeight="1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10">
        <f>IF(OR(N219="",P219=""),"",N219*P219)</f>
        <v/>
      </c>
      <c r="R219" s="9" t="n"/>
      <c r="S219" s="9" t="n"/>
      <c r="T219" s="9" t="n"/>
      <c r="U219" s="9">
        <f>IF(Q219="","",IF(W219=0,"已付款PAID",IF(V219&gt;0,"部分核销","未付款N/P")))</f>
        <v/>
      </c>
      <c r="V219" s="10">
        <f>IF(G219="","",SUMIFS(回款核销!$H:$H,回款核销!$C:$C,G219)+SUMIFS(回款核销!$H:$H,回款核销!$B:$B,D219,回款核销!$C:$C,""))</f>
        <v/>
      </c>
      <c r="W219" s="10">
        <f>IF(Q219="","",MAX(0,Q219-V219))</f>
        <v/>
      </c>
      <c r="X219" s="9" t="n"/>
      <c r="Y219" s="10">
        <f>IF(OR(N219="",X219=""),"",N219*X219)</f>
        <v/>
      </c>
      <c r="Z219" s="10">
        <f>IF(OR(Q219="",Y219=""),"",Q219-Y219)</f>
        <v/>
      </c>
      <c r="AA219" s="9" t="n"/>
      <c r="AB219" s="9" t="n"/>
    </row>
    <row r="220" ht="22" customHeight="1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10">
        <f>IF(OR(N220="",P220=""),"",N220*P220)</f>
        <v/>
      </c>
      <c r="R220" s="9" t="n"/>
      <c r="S220" s="9" t="n"/>
      <c r="T220" s="9" t="n"/>
      <c r="U220" s="9">
        <f>IF(Q220="","",IF(W220=0,"已付款PAID",IF(V220&gt;0,"部分核销","未付款N/P")))</f>
        <v/>
      </c>
      <c r="V220" s="10">
        <f>IF(G220="","",SUMIFS(回款核销!$H:$H,回款核销!$C:$C,G220)+SUMIFS(回款核销!$H:$H,回款核销!$B:$B,D220,回款核销!$C:$C,""))</f>
        <v/>
      </c>
      <c r="W220" s="10">
        <f>IF(Q220="","",MAX(0,Q220-V220))</f>
        <v/>
      </c>
      <c r="X220" s="9" t="n"/>
      <c r="Y220" s="10">
        <f>IF(OR(N220="",X220=""),"",N220*X220)</f>
        <v/>
      </c>
      <c r="Z220" s="10">
        <f>IF(OR(Q220="",Y220=""),"",Q220-Y220)</f>
        <v/>
      </c>
      <c r="AA220" s="9" t="n"/>
      <c r="AB220" s="9" t="n"/>
    </row>
    <row r="221" ht="22" customHeight="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10">
        <f>IF(OR(N221="",P221=""),"",N221*P221)</f>
        <v/>
      </c>
      <c r="R221" s="9" t="n"/>
      <c r="S221" s="9" t="n"/>
      <c r="T221" s="9" t="n"/>
      <c r="U221" s="9">
        <f>IF(Q221="","",IF(W221=0,"已付款PAID",IF(V221&gt;0,"部分核销","未付款N/P")))</f>
        <v/>
      </c>
      <c r="V221" s="10">
        <f>IF(G221="","",SUMIFS(回款核销!$H:$H,回款核销!$C:$C,G221)+SUMIFS(回款核销!$H:$H,回款核销!$B:$B,D221,回款核销!$C:$C,""))</f>
        <v/>
      </c>
      <c r="W221" s="10">
        <f>IF(Q221="","",MAX(0,Q221-V221))</f>
        <v/>
      </c>
      <c r="X221" s="9" t="n"/>
      <c r="Y221" s="10">
        <f>IF(OR(N221="",X221=""),"",N221*X221)</f>
        <v/>
      </c>
      <c r="Z221" s="10">
        <f>IF(OR(Q221="",Y221=""),"",Q221-Y221)</f>
        <v/>
      </c>
      <c r="AA221" s="9" t="n"/>
      <c r="AB221" s="9" t="n"/>
    </row>
    <row r="222" ht="22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10">
        <f>IF(OR(N222="",P222=""),"",N222*P222)</f>
        <v/>
      </c>
      <c r="R222" s="9" t="n"/>
      <c r="S222" s="9" t="n"/>
      <c r="T222" s="9" t="n"/>
      <c r="U222" s="9">
        <f>IF(Q222="","",IF(W222=0,"已付款PAID",IF(V222&gt;0,"部分核销","未付款N/P")))</f>
        <v/>
      </c>
      <c r="V222" s="10">
        <f>IF(G222="","",SUMIFS(回款核销!$H:$H,回款核销!$C:$C,G222)+SUMIFS(回款核销!$H:$H,回款核销!$B:$B,D222,回款核销!$C:$C,""))</f>
        <v/>
      </c>
      <c r="W222" s="10">
        <f>IF(Q222="","",MAX(0,Q222-V222))</f>
        <v/>
      </c>
      <c r="X222" s="9" t="n"/>
      <c r="Y222" s="10">
        <f>IF(OR(N222="",X222=""),"",N222*X222)</f>
        <v/>
      </c>
      <c r="Z222" s="10">
        <f>IF(OR(Q222="",Y222=""),"",Q222-Y222)</f>
        <v/>
      </c>
      <c r="AA222" s="9" t="n"/>
      <c r="AB222" s="9" t="n"/>
    </row>
    <row r="223" ht="22" customHeight="1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10">
        <f>IF(OR(N223="",P223=""),"",N223*P223)</f>
        <v/>
      </c>
      <c r="R223" s="9" t="n"/>
      <c r="S223" s="9" t="n"/>
      <c r="T223" s="9" t="n"/>
      <c r="U223" s="9">
        <f>IF(Q223="","",IF(W223=0,"已付款PAID",IF(V223&gt;0,"部分核销","未付款N/P")))</f>
        <v/>
      </c>
      <c r="V223" s="10">
        <f>IF(G223="","",SUMIFS(回款核销!$H:$H,回款核销!$C:$C,G223)+SUMIFS(回款核销!$H:$H,回款核销!$B:$B,D223,回款核销!$C:$C,""))</f>
        <v/>
      </c>
      <c r="W223" s="10">
        <f>IF(Q223="","",MAX(0,Q223-V223))</f>
        <v/>
      </c>
      <c r="X223" s="9" t="n"/>
      <c r="Y223" s="10">
        <f>IF(OR(N223="",X223=""),"",N223*X223)</f>
        <v/>
      </c>
      <c r="Z223" s="10">
        <f>IF(OR(Q223="",Y223=""),"",Q223-Y223)</f>
        <v/>
      </c>
      <c r="AA223" s="9" t="n"/>
      <c r="AB223" s="9" t="n"/>
    </row>
    <row r="224" ht="22" customHeight="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10">
        <f>IF(OR(N224="",P224=""),"",N224*P224)</f>
        <v/>
      </c>
      <c r="R224" s="9" t="n"/>
      <c r="S224" s="9" t="n"/>
      <c r="T224" s="9" t="n"/>
      <c r="U224" s="9">
        <f>IF(Q224="","",IF(W224=0,"已付款PAID",IF(V224&gt;0,"部分核销","未付款N/P")))</f>
        <v/>
      </c>
      <c r="V224" s="10">
        <f>IF(G224="","",SUMIFS(回款核销!$H:$H,回款核销!$C:$C,G224)+SUMIFS(回款核销!$H:$H,回款核销!$B:$B,D224,回款核销!$C:$C,""))</f>
        <v/>
      </c>
      <c r="W224" s="10">
        <f>IF(Q224="","",MAX(0,Q224-V224))</f>
        <v/>
      </c>
      <c r="X224" s="9" t="n"/>
      <c r="Y224" s="10">
        <f>IF(OR(N224="",X224=""),"",N224*X224)</f>
        <v/>
      </c>
      <c r="Z224" s="10">
        <f>IF(OR(Q224="",Y224=""),"",Q224-Y224)</f>
        <v/>
      </c>
      <c r="AA224" s="9" t="n"/>
      <c r="AB224" s="9" t="n"/>
    </row>
    <row r="225" ht="22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10">
        <f>IF(OR(N225="",P225=""),"",N225*P225)</f>
        <v/>
      </c>
      <c r="R225" s="9" t="n"/>
      <c r="S225" s="9" t="n"/>
      <c r="T225" s="9" t="n"/>
      <c r="U225" s="9">
        <f>IF(Q225="","",IF(W225=0,"已付款PAID",IF(V225&gt;0,"部分核销","未付款N/P")))</f>
        <v/>
      </c>
      <c r="V225" s="10">
        <f>IF(G225="","",SUMIFS(回款核销!$H:$H,回款核销!$C:$C,G225)+SUMIFS(回款核销!$H:$H,回款核销!$B:$B,D225,回款核销!$C:$C,""))</f>
        <v/>
      </c>
      <c r="W225" s="10">
        <f>IF(Q225="","",MAX(0,Q225-V225))</f>
        <v/>
      </c>
      <c r="X225" s="9" t="n"/>
      <c r="Y225" s="10">
        <f>IF(OR(N225="",X225=""),"",N225*X225)</f>
        <v/>
      </c>
      <c r="Z225" s="10">
        <f>IF(OR(Q225="",Y225=""),"",Q225-Y225)</f>
        <v/>
      </c>
      <c r="AA225" s="9" t="n"/>
      <c r="AB225" s="9" t="n"/>
    </row>
    <row r="226" ht="22" customHeight="1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10">
        <f>IF(OR(N226="",P226=""),"",N226*P226)</f>
        <v/>
      </c>
      <c r="R226" s="9" t="n"/>
      <c r="S226" s="9" t="n"/>
      <c r="T226" s="9" t="n"/>
      <c r="U226" s="9">
        <f>IF(Q226="","",IF(W226=0,"已付款PAID",IF(V226&gt;0,"部分核销","未付款N/P")))</f>
        <v/>
      </c>
      <c r="V226" s="10">
        <f>IF(G226="","",SUMIFS(回款核销!$H:$H,回款核销!$C:$C,G226)+SUMIFS(回款核销!$H:$H,回款核销!$B:$B,D226,回款核销!$C:$C,""))</f>
        <v/>
      </c>
      <c r="W226" s="10">
        <f>IF(Q226="","",MAX(0,Q226-V226))</f>
        <v/>
      </c>
      <c r="X226" s="9" t="n"/>
      <c r="Y226" s="10">
        <f>IF(OR(N226="",X226=""),"",N226*X226)</f>
        <v/>
      </c>
      <c r="Z226" s="10">
        <f>IF(OR(Q226="",Y226=""),"",Q226-Y226)</f>
        <v/>
      </c>
      <c r="AA226" s="9" t="n"/>
      <c r="AB226" s="9" t="n"/>
    </row>
    <row r="227" ht="22" customHeight="1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10">
        <f>IF(OR(N227="",P227=""),"",N227*P227)</f>
        <v/>
      </c>
      <c r="R227" s="9" t="n"/>
      <c r="S227" s="9" t="n"/>
      <c r="T227" s="9" t="n"/>
      <c r="U227" s="9">
        <f>IF(Q227="","",IF(W227=0,"已付款PAID",IF(V227&gt;0,"部分核销","未付款N/P")))</f>
        <v/>
      </c>
      <c r="V227" s="10">
        <f>IF(G227="","",SUMIFS(回款核销!$H:$H,回款核销!$C:$C,G227)+SUMIFS(回款核销!$H:$H,回款核销!$B:$B,D227,回款核销!$C:$C,""))</f>
        <v/>
      </c>
      <c r="W227" s="10">
        <f>IF(Q227="","",MAX(0,Q227-V227))</f>
        <v/>
      </c>
      <c r="X227" s="9" t="n"/>
      <c r="Y227" s="10">
        <f>IF(OR(N227="",X227=""),"",N227*X227)</f>
        <v/>
      </c>
      <c r="Z227" s="10">
        <f>IF(OR(Q227="",Y227=""),"",Q227-Y227)</f>
        <v/>
      </c>
      <c r="AA227" s="9" t="n"/>
      <c r="AB227" s="9" t="n"/>
    </row>
    <row r="228" ht="22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10">
        <f>IF(OR(N228="",P228=""),"",N228*P228)</f>
        <v/>
      </c>
      <c r="R228" s="9" t="n"/>
      <c r="S228" s="9" t="n"/>
      <c r="T228" s="9" t="n"/>
      <c r="U228" s="9">
        <f>IF(Q228="","",IF(W228=0,"已付款PAID",IF(V228&gt;0,"部分核销","未付款N/P")))</f>
        <v/>
      </c>
      <c r="V228" s="10">
        <f>IF(G228="","",SUMIFS(回款核销!$H:$H,回款核销!$C:$C,G228)+SUMIFS(回款核销!$H:$H,回款核销!$B:$B,D228,回款核销!$C:$C,""))</f>
        <v/>
      </c>
      <c r="W228" s="10">
        <f>IF(Q228="","",MAX(0,Q228-V228))</f>
        <v/>
      </c>
      <c r="X228" s="9" t="n"/>
      <c r="Y228" s="10">
        <f>IF(OR(N228="",X228=""),"",N228*X228)</f>
        <v/>
      </c>
      <c r="Z228" s="10">
        <f>IF(OR(Q228="",Y228=""),"",Q228-Y228)</f>
        <v/>
      </c>
      <c r="AA228" s="9" t="n"/>
      <c r="AB228" s="9" t="n"/>
    </row>
    <row r="229" ht="22" customHeight="1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10">
        <f>IF(OR(N229="",P229=""),"",N229*P229)</f>
        <v/>
      </c>
      <c r="R229" s="9" t="n"/>
      <c r="S229" s="9" t="n"/>
      <c r="T229" s="9" t="n"/>
      <c r="U229" s="9">
        <f>IF(Q229="","",IF(W229=0,"已付款PAID",IF(V229&gt;0,"部分核销","未付款N/P")))</f>
        <v/>
      </c>
      <c r="V229" s="10">
        <f>IF(G229="","",SUMIFS(回款核销!$H:$H,回款核销!$C:$C,G229)+SUMIFS(回款核销!$H:$H,回款核销!$B:$B,D229,回款核销!$C:$C,""))</f>
        <v/>
      </c>
      <c r="W229" s="10">
        <f>IF(Q229="","",MAX(0,Q229-V229))</f>
        <v/>
      </c>
      <c r="X229" s="9" t="n"/>
      <c r="Y229" s="10">
        <f>IF(OR(N229="",X229=""),"",N229*X229)</f>
        <v/>
      </c>
      <c r="Z229" s="10">
        <f>IF(OR(Q229="",Y229=""),"",Q229-Y229)</f>
        <v/>
      </c>
      <c r="AA229" s="9" t="n"/>
      <c r="AB229" s="9" t="n"/>
    </row>
    <row r="230" ht="22" customHeight="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10">
        <f>IF(OR(N230="",P230=""),"",N230*P230)</f>
        <v/>
      </c>
      <c r="R230" s="9" t="n"/>
      <c r="S230" s="9" t="n"/>
      <c r="T230" s="9" t="n"/>
      <c r="U230" s="9">
        <f>IF(Q230="","",IF(W230=0,"已付款PAID",IF(V230&gt;0,"部分核销","未付款N/P")))</f>
        <v/>
      </c>
      <c r="V230" s="10">
        <f>IF(G230="","",SUMIFS(回款核销!$H:$H,回款核销!$C:$C,G230)+SUMIFS(回款核销!$H:$H,回款核销!$B:$B,D230,回款核销!$C:$C,""))</f>
        <v/>
      </c>
      <c r="W230" s="10">
        <f>IF(Q230="","",MAX(0,Q230-V230))</f>
        <v/>
      </c>
      <c r="X230" s="9" t="n"/>
      <c r="Y230" s="10">
        <f>IF(OR(N230="",X230=""),"",N230*X230)</f>
        <v/>
      </c>
      <c r="Z230" s="10">
        <f>IF(OR(Q230="",Y230=""),"",Q230-Y230)</f>
        <v/>
      </c>
      <c r="AA230" s="9" t="n"/>
      <c r="AB230" s="9" t="n"/>
    </row>
    <row r="231" ht="22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10">
        <f>IF(OR(N231="",P231=""),"",N231*P231)</f>
        <v/>
      </c>
      <c r="R231" s="9" t="n"/>
      <c r="S231" s="9" t="n"/>
      <c r="T231" s="9" t="n"/>
      <c r="U231" s="9">
        <f>IF(Q231="","",IF(W231=0,"已付款PAID",IF(V231&gt;0,"部分核销","未付款N/P")))</f>
        <v/>
      </c>
      <c r="V231" s="10">
        <f>IF(G231="","",SUMIFS(回款核销!$H:$H,回款核销!$C:$C,G231)+SUMIFS(回款核销!$H:$H,回款核销!$B:$B,D231,回款核销!$C:$C,""))</f>
        <v/>
      </c>
      <c r="W231" s="10">
        <f>IF(Q231="","",MAX(0,Q231-V231))</f>
        <v/>
      </c>
      <c r="X231" s="9" t="n"/>
      <c r="Y231" s="10">
        <f>IF(OR(N231="",X231=""),"",N231*X231)</f>
        <v/>
      </c>
      <c r="Z231" s="10">
        <f>IF(OR(Q231="",Y231=""),"",Q231-Y231)</f>
        <v/>
      </c>
      <c r="AA231" s="9" t="n"/>
      <c r="AB231" s="9" t="n"/>
    </row>
    <row r="232" ht="22" customHeight="1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10">
        <f>IF(OR(N232="",P232=""),"",N232*P232)</f>
        <v/>
      </c>
      <c r="R232" s="9" t="n"/>
      <c r="S232" s="9" t="n"/>
      <c r="T232" s="9" t="n"/>
      <c r="U232" s="9">
        <f>IF(Q232="","",IF(W232=0,"已付款PAID",IF(V232&gt;0,"部分核销","未付款N/P")))</f>
        <v/>
      </c>
      <c r="V232" s="10">
        <f>IF(G232="","",SUMIFS(回款核销!$H:$H,回款核销!$C:$C,G232)+SUMIFS(回款核销!$H:$H,回款核销!$B:$B,D232,回款核销!$C:$C,""))</f>
        <v/>
      </c>
      <c r="W232" s="10">
        <f>IF(Q232="","",MAX(0,Q232-V232))</f>
        <v/>
      </c>
      <c r="X232" s="9" t="n"/>
      <c r="Y232" s="10">
        <f>IF(OR(N232="",X232=""),"",N232*X232)</f>
        <v/>
      </c>
      <c r="Z232" s="10">
        <f>IF(OR(Q232="",Y232=""),"",Q232-Y232)</f>
        <v/>
      </c>
      <c r="AA232" s="9" t="n"/>
      <c r="AB232" s="9" t="n"/>
    </row>
    <row r="233" ht="22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10">
        <f>IF(OR(N233="",P233=""),"",N233*P233)</f>
        <v/>
      </c>
      <c r="R233" s="9" t="n"/>
      <c r="S233" s="9" t="n"/>
      <c r="T233" s="9" t="n"/>
      <c r="U233" s="9">
        <f>IF(Q233="","",IF(W233=0,"已付款PAID",IF(V233&gt;0,"部分核销","未付款N/P")))</f>
        <v/>
      </c>
      <c r="V233" s="10">
        <f>IF(G233="","",SUMIFS(回款核销!$H:$H,回款核销!$C:$C,G233)+SUMIFS(回款核销!$H:$H,回款核销!$B:$B,D233,回款核销!$C:$C,""))</f>
        <v/>
      </c>
      <c r="W233" s="10">
        <f>IF(Q233="","",MAX(0,Q233-V233))</f>
        <v/>
      </c>
      <c r="X233" s="9" t="n"/>
      <c r="Y233" s="10">
        <f>IF(OR(N233="",X233=""),"",N233*X233)</f>
        <v/>
      </c>
      <c r="Z233" s="10">
        <f>IF(OR(Q233="",Y233=""),"",Q233-Y233)</f>
        <v/>
      </c>
      <c r="AA233" s="9" t="n"/>
      <c r="AB233" s="9" t="n"/>
    </row>
    <row r="234" ht="22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10">
        <f>IF(OR(N234="",P234=""),"",N234*P234)</f>
        <v/>
      </c>
      <c r="R234" s="9" t="n"/>
      <c r="S234" s="9" t="n"/>
      <c r="T234" s="9" t="n"/>
      <c r="U234" s="9">
        <f>IF(Q234="","",IF(W234=0,"已付款PAID",IF(V234&gt;0,"部分核销","未付款N/P")))</f>
        <v/>
      </c>
      <c r="V234" s="10">
        <f>IF(G234="","",SUMIFS(回款核销!$H:$H,回款核销!$C:$C,G234)+SUMIFS(回款核销!$H:$H,回款核销!$B:$B,D234,回款核销!$C:$C,""))</f>
        <v/>
      </c>
      <c r="W234" s="10">
        <f>IF(Q234="","",MAX(0,Q234-V234))</f>
        <v/>
      </c>
      <c r="X234" s="9" t="n"/>
      <c r="Y234" s="10">
        <f>IF(OR(N234="",X234=""),"",N234*X234)</f>
        <v/>
      </c>
      <c r="Z234" s="10">
        <f>IF(OR(Q234="",Y234=""),"",Q234-Y234)</f>
        <v/>
      </c>
      <c r="AA234" s="9" t="n"/>
      <c r="AB234" s="9" t="n"/>
    </row>
    <row r="235" ht="22" customHeight="1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10">
        <f>IF(OR(N235="",P235=""),"",N235*P235)</f>
        <v/>
      </c>
      <c r="R235" s="9" t="n"/>
      <c r="S235" s="9" t="n"/>
      <c r="T235" s="9" t="n"/>
      <c r="U235" s="9">
        <f>IF(Q235="","",IF(W235=0,"已付款PAID",IF(V235&gt;0,"部分核销","未付款N/P")))</f>
        <v/>
      </c>
      <c r="V235" s="10">
        <f>IF(G235="","",SUMIFS(回款核销!$H:$H,回款核销!$C:$C,G235)+SUMIFS(回款核销!$H:$H,回款核销!$B:$B,D235,回款核销!$C:$C,""))</f>
        <v/>
      </c>
      <c r="W235" s="10">
        <f>IF(Q235="","",MAX(0,Q235-V235))</f>
        <v/>
      </c>
      <c r="X235" s="9" t="n"/>
      <c r="Y235" s="10">
        <f>IF(OR(N235="",X235=""),"",N235*X235)</f>
        <v/>
      </c>
      <c r="Z235" s="10">
        <f>IF(OR(Q235="",Y235=""),"",Q235-Y235)</f>
        <v/>
      </c>
      <c r="AA235" s="9" t="n"/>
      <c r="AB235" s="9" t="n"/>
    </row>
    <row r="236" ht="22" customHeight="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10">
        <f>IF(OR(N236="",P236=""),"",N236*P236)</f>
        <v/>
      </c>
      <c r="R236" s="9" t="n"/>
      <c r="S236" s="9" t="n"/>
      <c r="T236" s="9" t="n"/>
      <c r="U236" s="9">
        <f>IF(Q236="","",IF(W236=0,"已付款PAID",IF(V236&gt;0,"部分核销","未付款N/P")))</f>
        <v/>
      </c>
      <c r="V236" s="10">
        <f>IF(G236="","",SUMIFS(回款核销!$H:$H,回款核销!$C:$C,G236)+SUMIFS(回款核销!$H:$H,回款核销!$B:$B,D236,回款核销!$C:$C,""))</f>
        <v/>
      </c>
      <c r="W236" s="10">
        <f>IF(Q236="","",MAX(0,Q236-V236))</f>
        <v/>
      </c>
      <c r="X236" s="9" t="n"/>
      <c r="Y236" s="10">
        <f>IF(OR(N236="",X236=""),"",N236*X236)</f>
        <v/>
      </c>
      <c r="Z236" s="10">
        <f>IF(OR(Q236="",Y236=""),"",Q236-Y236)</f>
        <v/>
      </c>
      <c r="AA236" s="9" t="n"/>
      <c r="AB236" s="9" t="n"/>
    </row>
    <row r="237" ht="22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10">
        <f>IF(OR(N237="",P237=""),"",N237*P237)</f>
        <v/>
      </c>
      <c r="R237" s="9" t="n"/>
      <c r="S237" s="9" t="n"/>
      <c r="T237" s="9" t="n"/>
      <c r="U237" s="9">
        <f>IF(Q237="","",IF(W237=0,"已付款PAID",IF(V237&gt;0,"部分核销","未付款N/P")))</f>
        <v/>
      </c>
      <c r="V237" s="10">
        <f>IF(G237="","",SUMIFS(回款核销!$H:$H,回款核销!$C:$C,G237)+SUMIFS(回款核销!$H:$H,回款核销!$B:$B,D237,回款核销!$C:$C,""))</f>
        <v/>
      </c>
      <c r="W237" s="10">
        <f>IF(Q237="","",MAX(0,Q237-V237))</f>
        <v/>
      </c>
      <c r="X237" s="9" t="n"/>
      <c r="Y237" s="10">
        <f>IF(OR(N237="",X237=""),"",N237*X237)</f>
        <v/>
      </c>
      <c r="Z237" s="10">
        <f>IF(OR(Q237="",Y237=""),"",Q237-Y237)</f>
        <v/>
      </c>
      <c r="AA237" s="9" t="n"/>
      <c r="AB237" s="9" t="n"/>
    </row>
    <row r="238" ht="22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10">
        <f>IF(OR(N238="",P238=""),"",N238*P238)</f>
        <v/>
      </c>
      <c r="R238" s="9" t="n"/>
      <c r="S238" s="9" t="n"/>
      <c r="T238" s="9" t="n"/>
      <c r="U238" s="9">
        <f>IF(Q238="","",IF(W238=0,"已付款PAID",IF(V238&gt;0,"部分核销","未付款N/P")))</f>
        <v/>
      </c>
      <c r="V238" s="10">
        <f>IF(G238="","",SUMIFS(回款核销!$H:$H,回款核销!$C:$C,G238)+SUMIFS(回款核销!$H:$H,回款核销!$B:$B,D238,回款核销!$C:$C,""))</f>
        <v/>
      </c>
      <c r="W238" s="10">
        <f>IF(Q238="","",MAX(0,Q238-V238))</f>
        <v/>
      </c>
      <c r="X238" s="9" t="n"/>
      <c r="Y238" s="10">
        <f>IF(OR(N238="",X238=""),"",N238*X238)</f>
        <v/>
      </c>
      <c r="Z238" s="10">
        <f>IF(OR(Q238="",Y238=""),"",Q238-Y238)</f>
        <v/>
      </c>
      <c r="AA238" s="9" t="n"/>
      <c r="AB238" s="9" t="n"/>
    </row>
    <row r="239" ht="22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10">
        <f>IF(OR(N239="",P239=""),"",N239*P239)</f>
        <v/>
      </c>
      <c r="R239" s="9" t="n"/>
      <c r="S239" s="9" t="n"/>
      <c r="T239" s="9" t="n"/>
      <c r="U239" s="9">
        <f>IF(Q239="","",IF(W239=0,"已付款PAID",IF(V239&gt;0,"部分核销","未付款N/P")))</f>
        <v/>
      </c>
      <c r="V239" s="10">
        <f>IF(G239="","",SUMIFS(回款核销!$H:$H,回款核销!$C:$C,G239)+SUMIFS(回款核销!$H:$H,回款核销!$B:$B,D239,回款核销!$C:$C,""))</f>
        <v/>
      </c>
      <c r="W239" s="10">
        <f>IF(Q239="","",MAX(0,Q239-V239))</f>
        <v/>
      </c>
      <c r="X239" s="9" t="n"/>
      <c r="Y239" s="10">
        <f>IF(OR(N239="",X239=""),"",N239*X239)</f>
        <v/>
      </c>
      <c r="Z239" s="10">
        <f>IF(OR(Q239="",Y239=""),"",Q239-Y239)</f>
        <v/>
      </c>
      <c r="AA239" s="9" t="n"/>
      <c r="AB239" s="9" t="n"/>
    </row>
    <row r="240" ht="22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10">
        <f>IF(OR(N240="",P240=""),"",N240*P240)</f>
        <v/>
      </c>
      <c r="R240" s="9" t="n"/>
      <c r="S240" s="9" t="n"/>
      <c r="T240" s="9" t="n"/>
      <c r="U240" s="9">
        <f>IF(Q240="","",IF(W240=0,"已付款PAID",IF(V240&gt;0,"部分核销","未付款N/P")))</f>
        <v/>
      </c>
      <c r="V240" s="10">
        <f>IF(G240="","",SUMIFS(回款核销!$H:$H,回款核销!$C:$C,G240)+SUMIFS(回款核销!$H:$H,回款核销!$B:$B,D240,回款核销!$C:$C,""))</f>
        <v/>
      </c>
      <c r="W240" s="10">
        <f>IF(Q240="","",MAX(0,Q240-V240))</f>
        <v/>
      </c>
      <c r="X240" s="9" t="n"/>
      <c r="Y240" s="10">
        <f>IF(OR(N240="",X240=""),"",N240*X240)</f>
        <v/>
      </c>
      <c r="Z240" s="10">
        <f>IF(OR(Q240="",Y240=""),"",Q240-Y240)</f>
        <v/>
      </c>
      <c r="AA240" s="9" t="n"/>
      <c r="AB240" s="9" t="n"/>
    </row>
    <row r="241" ht="22" customHeight="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10">
        <f>IF(OR(N241="",P241=""),"",N241*P241)</f>
        <v/>
      </c>
      <c r="R241" s="9" t="n"/>
      <c r="S241" s="9" t="n"/>
      <c r="T241" s="9" t="n"/>
      <c r="U241" s="9">
        <f>IF(Q241="","",IF(W241=0,"已付款PAID",IF(V241&gt;0,"部分核销","未付款N/P")))</f>
        <v/>
      </c>
      <c r="V241" s="10">
        <f>IF(G241="","",SUMIFS(回款核销!$H:$H,回款核销!$C:$C,G241)+SUMIFS(回款核销!$H:$H,回款核销!$B:$B,D241,回款核销!$C:$C,""))</f>
        <v/>
      </c>
      <c r="W241" s="10">
        <f>IF(Q241="","",MAX(0,Q241-V241))</f>
        <v/>
      </c>
      <c r="X241" s="9" t="n"/>
      <c r="Y241" s="10">
        <f>IF(OR(N241="",X241=""),"",N241*X241)</f>
        <v/>
      </c>
      <c r="Z241" s="10">
        <f>IF(OR(Q241="",Y241=""),"",Q241-Y241)</f>
        <v/>
      </c>
      <c r="AA241" s="9" t="n"/>
      <c r="AB241" s="9" t="n"/>
    </row>
    <row r="242" ht="22" customHeight="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10">
        <f>IF(OR(N242="",P242=""),"",N242*P242)</f>
        <v/>
      </c>
      <c r="R242" s="9" t="n"/>
      <c r="S242" s="9" t="n"/>
      <c r="T242" s="9" t="n"/>
      <c r="U242" s="9">
        <f>IF(Q242="","",IF(W242=0,"已付款PAID",IF(V242&gt;0,"部分核销","未付款N/P")))</f>
        <v/>
      </c>
      <c r="V242" s="10">
        <f>IF(G242="","",SUMIFS(回款核销!$H:$H,回款核销!$C:$C,G242)+SUMIFS(回款核销!$H:$H,回款核销!$B:$B,D242,回款核销!$C:$C,""))</f>
        <v/>
      </c>
      <c r="W242" s="10">
        <f>IF(Q242="","",MAX(0,Q242-V242))</f>
        <v/>
      </c>
      <c r="X242" s="9" t="n"/>
      <c r="Y242" s="10">
        <f>IF(OR(N242="",X242=""),"",N242*X242)</f>
        <v/>
      </c>
      <c r="Z242" s="10">
        <f>IF(OR(Q242="",Y242=""),"",Q242-Y242)</f>
        <v/>
      </c>
      <c r="AA242" s="9" t="n"/>
      <c r="AB242" s="9" t="n"/>
    </row>
    <row r="243" ht="22" customHeight="1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10">
        <f>IF(OR(N243="",P243=""),"",N243*P243)</f>
        <v/>
      </c>
      <c r="R243" s="9" t="n"/>
      <c r="S243" s="9" t="n"/>
      <c r="T243" s="9" t="n"/>
      <c r="U243" s="9">
        <f>IF(Q243="","",IF(W243=0,"已付款PAID",IF(V243&gt;0,"部分核销","未付款N/P")))</f>
        <v/>
      </c>
      <c r="V243" s="10">
        <f>IF(G243="","",SUMIFS(回款核销!$H:$H,回款核销!$C:$C,G243)+SUMIFS(回款核销!$H:$H,回款核销!$B:$B,D243,回款核销!$C:$C,""))</f>
        <v/>
      </c>
      <c r="W243" s="10">
        <f>IF(Q243="","",MAX(0,Q243-V243))</f>
        <v/>
      </c>
      <c r="X243" s="9" t="n"/>
      <c r="Y243" s="10">
        <f>IF(OR(N243="",X243=""),"",N243*X243)</f>
        <v/>
      </c>
      <c r="Z243" s="10">
        <f>IF(OR(Q243="",Y243=""),"",Q243-Y243)</f>
        <v/>
      </c>
      <c r="AA243" s="9" t="n"/>
      <c r="AB243" s="9" t="n"/>
    </row>
    <row r="244" ht="22" customHeight="1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10">
        <f>IF(OR(N244="",P244=""),"",N244*P244)</f>
        <v/>
      </c>
      <c r="R244" s="9" t="n"/>
      <c r="S244" s="9" t="n"/>
      <c r="T244" s="9" t="n"/>
      <c r="U244" s="9">
        <f>IF(Q244="","",IF(W244=0,"已付款PAID",IF(V244&gt;0,"部分核销","未付款N/P")))</f>
        <v/>
      </c>
      <c r="V244" s="10">
        <f>IF(G244="","",SUMIFS(回款核销!$H:$H,回款核销!$C:$C,G244)+SUMIFS(回款核销!$H:$H,回款核销!$B:$B,D244,回款核销!$C:$C,""))</f>
        <v/>
      </c>
      <c r="W244" s="10">
        <f>IF(Q244="","",MAX(0,Q244-V244))</f>
        <v/>
      </c>
      <c r="X244" s="9" t="n"/>
      <c r="Y244" s="10">
        <f>IF(OR(N244="",X244=""),"",N244*X244)</f>
        <v/>
      </c>
      <c r="Z244" s="10">
        <f>IF(OR(Q244="",Y244=""),"",Q244-Y244)</f>
        <v/>
      </c>
      <c r="AA244" s="9" t="n"/>
      <c r="AB244" s="9" t="n"/>
    </row>
    <row r="245" ht="22" customHeight="1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10">
        <f>IF(OR(N245="",P245=""),"",N245*P245)</f>
        <v/>
      </c>
      <c r="R245" s="9" t="n"/>
      <c r="S245" s="9" t="n"/>
      <c r="T245" s="9" t="n"/>
      <c r="U245" s="9">
        <f>IF(Q245="","",IF(W245=0,"已付款PAID",IF(V245&gt;0,"部分核销","未付款N/P")))</f>
        <v/>
      </c>
      <c r="V245" s="10">
        <f>IF(G245="","",SUMIFS(回款核销!$H:$H,回款核销!$C:$C,G245)+SUMIFS(回款核销!$H:$H,回款核销!$B:$B,D245,回款核销!$C:$C,""))</f>
        <v/>
      </c>
      <c r="W245" s="10">
        <f>IF(Q245="","",MAX(0,Q245-V245))</f>
        <v/>
      </c>
      <c r="X245" s="9" t="n"/>
      <c r="Y245" s="10">
        <f>IF(OR(N245="",X245=""),"",N245*X245)</f>
        <v/>
      </c>
      <c r="Z245" s="10">
        <f>IF(OR(Q245="",Y245=""),"",Q245-Y245)</f>
        <v/>
      </c>
      <c r="AA245" s="9" t="n"/>
      <c r="AB245" s="9" t="n"/>
    </row>
    <row r="246" ht="22" customHeight="1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10">
        <f>IF(OR(N246="",P246=""),"",N246*P246)</f>
        <v/>
      </c>
      <c r="R246" s="9" t="n"/>
      <c r="S246" s="9" t="n"/>
      <c r="T246" s="9" t="n"/>
      <c r="U246" s="9">
        <f>IF(Q246="","",IF(W246=0,"已付款PAID",IF(V246&gt;0,"部分核销","未付款N/P")))</f>
        <v/>
      </c>
      <c r="V246" s="10">
        <f>IF(G246="","",SUMIFS(回款核销!$H:$H,回款核销!$C:$C,G246)+SUMIFS(回款核销!$H:$H,回款核销!$B:$B,D246,回款核销!$C:$C,""))</f>
        <v/>
      </c>
      <c r="W246" s="10">
        <f>IF(Q246="","",MAX(0,Q246-V246))</f>
        <v/>
      </c>
      <c r="X246" s="9" t="n"/>
      <c r="Y246" s="10">
        <f>IF(OR(N246="",X246=""),"",N246*X246)</f>
        <v/>
      </c>
      <c r="Z246" s="10">
        <f>IF(OR(Q246="",Y246=""),"",Q246-Y246)</f>
        <v/>
      </c>
      <c r="AA246" s="9" t="n"/>
      <c r="AB246" s="9" t="n"/>
    </row>
    <row r="247" ht="22" customHeight="1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10">
        <f>IF(OR(N247="",P247=""),"",N247*P247)</f>
        <v/>
      </c>
      <c r="R247" s="9" t="n"/>
      <c r="S247" s="9" t="n"/>
      <c r="T247" s="9" t="n"/>
      <c r="U247" s="9">
        <f>IF(Q247="","",IF(W247=0,"已付款PAID",IF(V247&gt;0,"部分核销","未付款N/P")))</f>
        <v/>
      </c>
      <c r="V247" s="10">
        <f>IF(G247="","",SUMIFS(回款核销!$H:$H,回款核销!$C:$C,G247)+SUMIFS(回款核销!$H:$H,回款核销!$B:$B,D247,回款核销!$C:$C,""))</f>
        <v/>
      </c>
      <c r="W247" s="10">
        <f>IF(Q247="","",MAX(0,Q247-V247))</f>
        <v/>
      </c>
      <c r="X247" s="9" t="n"/>
      <c r="Y247" s="10">
        <f>IF(OR(N247="",X247=""),"",N247*X247)</f>
        <v/>
      </c>
      <c r="Z247" s="10">
        <f>IF(OR(Q247="",Y247=""),"",Q247-Y247)</f>
        <v/>
      </c>
      <c r="AA247" s="9" t="n"/>
      <c r="AB247" s="9" t="n"/>
    </row>
    <row r="248" ht="22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10">
        <f>IF(OR(N248="",P248=""),"",N248*P248)</f>
        <v/>
      </c>
      <c r="R248" s="9" t="n"/>
      <c r="S248" s="9" t="n"/>
      <c r="T248" s="9" t="n"/>
      <c r="U248" s="9">
        <f>IF(Q248="","",IF(W248=0,"已付款PAID",IF(V248&gt;0,"部分核销","未付款N/P")))</f>
        <v/>
      </c>
      <c r="V248" s="10">
        <f>IF(G248="","",SUMIFS(回款核销!$H:$H,回款核销!$C:$C,G248)+SUMIFS(回款核销!$H:$H,回款核销!$B:$B,D248,回款核销!$C:$C,""))</f>
        <v/>
      </c>
      <c r="W248" s="10">
        <f>IF(Q248="","",MAX(0,Q248-V248))</f>
        <v/>
      </c>
      <c r="X248" s="9" t="n"/>
      <c r="Y248" s="10">
        <f>IF(OR(N248="",X248=""),"",N248*X248)</f>
        <v/>
      </c>
      <c r="Z248" s="10">
        <f>IF(OR(Q248="",Y248=""),"",Q248-Y248)</f>
        <v/>
      </c>
      <c r="AA248" s="9" t="n"/>
      <c r="AB248" s="9" t="n"/>
    </row>
    <row r="249" ht="22" customHeight="1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10">
        <f>IF(OR(N249="",P249=""),"",N249*P249)</f>
        <v/>
      </c>
      <c r="R249" s="9" t="n"/>
      <c r="S249" s="9" t="n"/>
      <c r="T249" s="9" t="n"/>
      <c r="U249" s="9">
        <f>IF(Q249="","",IF(W249=0,"已付款PAID",IF(V249&gt;0,"部分核销","未付款N/P")))</f>
        <v/>
      </c>
      <c r="V249" s="10">
        <f>IF(G249="","",SUMIFS(回款核销!$H:$H,回款核销!$C:$C,G249)+SUMIFS(回款核销!$H:$H,回款核销!$B:$B,D249,回款核销!$C:$C,""))</f>
        <v/>
      </c>
      <c r="W249" s="10">
        <f>IF(Q249="","",MAX(0,Q249-V249))</f>
        <v/>
      </c>
      <c r="X249" s="9" t="n"/>
      <c r="Y249" s="10">
        <f>IF(OR(N249="",X249=""),"",N249*X249)</f>
        <v/>
      </c>
      <c r="Z249" s="10">
        <f>IF(OR(Q249="",Y249=""),"",Q249-Y249)</f>
        <v/>
      </c>
      <c r="AA249" s="9" t="n"/>
      <c r="AB249" s="9" t="n"/>
    </row>
    <row r="250" ht="22" customHeight="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10">
        <f>IF(OR(N250="",P250=""),"",N250*P250)</f>
        <v/>
      </c>
      <c r="R250" s="9" t="n"/>
      <c r="S250" s="9" t="n"/>
      <c r="T250" s="9" t="n"/>
      <c r="U250" s="9">
        <f>IF(Q250="","",IF(W250=0,"已付款PAID",IF(V250&gt;0,"部分核销","未付款N/P")))</f>
        <v/>
      </c>
      <c r="V250" s="10">
        <f>IF(G250="","",SUMIFS(回款核销!$H:$H,回款核销!$C:$C,G250)+SUMIFS(回款核销!$H:$H,回款核销!$B:$B,D250,回款核销!$C:$C,""))</f>
        <v/>
      </c>
      <c r="W250" s="10">
        <f>IF(Q250="","",MAX(0,Q250-V250))</f>
        <v/>
      </c>
      <c r="X250" s="9" t="n"/>
      <c r="Y250" s="10">
        <f>IF(OR(N250="",X250=""),"",N250*X250)</f>
        <v/>
      </c>
      <c r="Z250" s="10">
        <f>IF(OR(Q250="",Y250=""),"",Q250-Y250)</f>
        <v/>
      </c>
      <c r="AA250" s="9" t="n"/>
      <c r="AB250" s="9" t="n"/>
    </row>
    <row r="251" ht="22" customHeight="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10">
        <f>IF(OR(N251="",P251=""),"",N251*P251)</f>
        <v/>
      </c>
      <c r="R251" s="9" t="n"/>
      <c r="S251" s="9" t="n"/>
      <c r="T251" s="9" t="n"/>
      <c r="U251" s="9">
        <f>IF(Q251="","",IF(W251=0,"已付款PAID",IF(V251&gt;0,"部分核销","未付款N/P")))</f>
        <v/>
      </c>
      <c r="V251" s="10">
        <f>IF(G251="","",SUMIFS(回款核销!$H:$H,回款核销!$C:$C,G251)+SUMIFS(回款核销!$H:$H,回款核销!$B:$B,D251,回款核销!$C:$C,""))</f>
        <v/>
      </c>
      <c r="W251" s="10">
        <f>IF(Q251="","",MAX(0,Q251-V251))</f>
        <v/>
      </c>
      <c r="X251" s="9" t="n"/>
      <c r="Y251" s="10">
        <f>IF(OR(N251="",X251=""),"",N251*X251)</f>
        <v/>
      </c>
      <c r="Z251" s="10">
        <f>IF(OR(Q251="",Y251=""),"",Q251-Y251)</f>
        <v/>
      </c>
      <c r="AA251" s="9" t="n"/>
      <c r="AB251" s="9" t="n"/>
    </row>
    <row r="252" ht="22" customHeight="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10">
        <f>IF(OR(N252="",P252=""),"",N252*P252)</f>
        <v/>
      </c>
      <c r="R252" s="9" t="n"/>
      <c r="S252" s="9" t="n"/>
      <c r="T252" s="9" t="n"/>
      <c r="U252" s="9">
        <f>IF(Q252="","",IF(W252=0,"已付款PAID",IF(V252&gt;0,"部分核销","未付款N/P")))</f>
        <v/>
      </c>
      <c r="V252" s="10">
        <f>IF(G252="","",SUMIFS(回款核销!$H:$H,回款核销!$C:$C,G252)+SUMIFS(回款核销!$H:$H,回款核销!$B:$B,D252,回款核销!$C:$C,""))</f>
        <v/>
      </c>
      <c r="W252" s="10">
        <f>IF(Q252="","",MAX(0,Q252-V252))</f>
        <v/>
      </c>
      <c r="X252" s="9" t="n"/>
      <c r="Y252" s="10">
        <f>IF(OR(N252="",X252=""),"",N252*X252)</f>
        <v/>
      </c>
      <c r="Z252" s="10">
        <f>IF(OR(Q252="",Y252=""),"",Q252-Y252)</f>
        <v/>
      </c>
      <c r="AA252" s="9" t="n"/>
      <c r="AB252" s="9" t="n"/>
    </row>
    <row r="253" ht="22" customHeight="1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10">
        <f>IF(OR(N253="",P253=""),"",N253*P253)</f>
        <v/>
      </c>
      <c r="R253" s="9" t="n"/>
      <c r="S253" s="9" t="n"/>
      <c r="T253" s="9" t="n"/>
      <c r="U253" s="9">
        <f>IF(Q253="","",IF(W253=0,"已付款PAID",IF(V253&gt;0,"部分核销","未付款N/P")))</f>
        <v/>
      </c>
      <c r="V253" s="10">
        <f>IF(G253="","",SUMIFS(回款核销!$H:$H,回款核销!$C:$C,G253)+SUMIFS(回款核销!$H:$H,回款核销!$B:$B,D253,回款核销!$C:$C,""))</f>
        <v/>
      </c>
      <c r="W253" s="10">
        <f>IF(Q253="","",MAX(0,Q253-V253))</f>
        <v/>
      </c>
      <c r="X253" s="9" t="n"/>
      <c r="Y253" s="10">
        <f>IF(OR(N253="",X253=""),"",N253*X253)</f>
        <v/>
      </c>
      <c r="Z253" s="10">
        <f>IF(OR(Q253="",Y253=""),"",Q253-Y253)</f>
        <v/>
      </c>
      <c r="AA253" s="9" t="n"/>
      <c r="AB253" s="9" t="n"/>
    </row>
    <row r="254" ht="22" customHeight="1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10">
        <f>IF(OR(N254="",P254=""),"",N254*P254)</f>
        <v/>
      </c>
      <c r="R254" s="9" t="n"/>
      <c r="S254" s="9" t="n"/>
      <c r="T254" s="9" t="n"/>
      <c r="U254" s="9">
        <f>IF(Q254="","",IF(W254=0,"已付款PAID",IF(V254&gt;0,"部分核销","未付款N/P")))</f>
        <v/>
      </c>
      <c r="V254" s="10">
        <f>IF(G254="","",SUMIFS(回款核销!$H:$H,回款核销!$C:$C,G254)+SUMIFS(回款核销!$H:$H,回款核销!$B:$B,D254,回款核销!$C:$C,""))</f>
        <v/>
      </c>
      <c r="W254" s="10">
        <f>IF(Q254="","",MAX(0,Q254-V254))</f>
        <v/>
      </c>
      <c r="X254" s="9" t="n"/>
      <c r="Y254" s="10">
        <f>IF(OR(N254="",X254=""),"",N254*X254)</f>
        <v/>
      </c>
      <c r="Z254" s="10">
        <f>IF(OR(Q254="",Y254=""),"",Q254-Y254)</f>
        <v/>
      </c>
      <c r="AA254" s="9" t="n"/>
      <c r="AB254" s="9" t="n"/>
    </row>
    <row r="255" ht="22" customHeight="1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10">
        <f>IF(OR(N255="",P255=""),"",N255*P255)</f>
        <v/>
      </c>
      <c r="R255" s="9" t="n"/>
      <c r="S255" s="9" t="n"/>
      <c r="T255" s="9" t="n"/>
      <c r="U255" s="9">
        <f>IF(Q255="","",IF(W255=0,"已付款PAID",IF(V255&gt;0,"部分核销","未付款N/P")))</f>
        <v/>
      </c>
      <c r="V255" s="10">
        <f>IF(G255="","",SUMIFS(回款核销!$H:$H,回款核销!$C:$C,G255)+SUMIFS(回款核销!$H:$H,回款核销!$B:$B,D255,回款核销!$C:$C,""))</f>
        <v/>
      </c>
      <c r="W255" s="10">
        <f>IF(Q255="","",MAX(0,Q255-V255))</f>
        <v/>
      </c>
      <c r="X255" s="9" t="n"/>
      <c r="Y255" s="10">
        <f>IF(OR(N255="",X255=""),"",N255*X255)</f>
        <v/>
      </c>
      <c r="Z255" s="10">
        <f>IF(OR(Q255="",Y255=""),"",Q255-Y255)</f>
        <v/>
      </c>
      <c r="AA255" s="9" t="n"/>
      <c r="AB255" s="9" t="n"/>
    </row>
    <row r="256" ht="22" customHeight="1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10">
        <f>IF(OR(N256="",P256=""),"",N256*P256)</f>
        <v/>
      </c>
      <c r="R256" s="9" t="n"/>
      <c r="S256" s="9" t="n"/>
      <c r="T256" s="9" t="n"/>
      <c r="U256" s="9">
        <f>IF(Q256="","",IF(W256=0,"已付款PAID",IF(V256&gt;0,"部分核销","未付款N/P")))</f>
        <v/>
      </c>
      <c r="V256" s="10">
        <f>IF(G256="","",SUMIFS(回款核销!$H:$H,回款核销!$C:$C,G256)+SUMIFS(回款核销!$H:$H,回款核销!$B:$B,D256,回款核销!$C:$C,""))</f>
        <v/>
      </c>
      <c r="W256" s="10">
        <f>IF(Q256="","",MAX(0,Q256-V256))</f>
        <v/>
      </c>
      <c r="X256" s="9" t="n"/>
      <c r="Y256" s="10">
        <f>IF(OR(N256="",X256=""),"",N256*X256)</f>
        <v/>
      </c>
      <c r="Z256" s="10">
        <f>IF(OR(Q256="",Y256=""),"",Q256-Y256)</f>
        <v/>
      </c>
      <c r="AA256" s="9" t="n"/>
      <c r="AB256" s="9" t="n"/>
    </row>
    <row r="257" ht="22" customHeight="1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10">
        <f>IF(OR(N257="",P257=""),"",N257*P257)</f>
        <v/>
      </c>
      <c r="R257" s="9" t="n"/>
      <c r="S257" s="9" t="n"/>
      <c r="T257" s="9" t="n"/>
      <c r="U257" s="9">
        <f>IF(Q257="","",IF(W257=0,"已付款PAID",IF(V257&gt;0,"部分核销","未付款N/P")))</f>
        <v/>
      </c>
      <c r="V257" s="10">
        <f>IF(G257="","",SUMIFS(回款核销!$H:$H,回款核销!$C:$C,G257)+SUMIFS(回款核销!$H:$H,回款核销!$B:$B,D257,回款核销!$C:$C,""))</f>
        <v/>
      </c>
      <c r="W257" s="10">
        <f>IF(Q257="","",MAX(0,Q257-V257))</f>
        <v/>
      </c>
      <c r="X257" s="9" t="n"/>
      <c r="Y257" s="10">
        <f>IF(OR(N257="",X257=""),"",N257*X257)</f>
        <v/>
      </c>
      <c r="Z257" s="10">
        <f>IF(OR(Q257="",Y257=""),"",Q257-Y257)</f>
        <v/>
      </c>
      <c r="AA257" s="9" t="n"/>
      <c r="AB257" s="9" t="n"/>
    </row>
    <row r="258" ht="22" customHeight="1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10">
        <f>IF(OR(N258="",P258=""),"",N258*P258)</f>
        <v/>
      </c>
      <c r="R258" s="9" t="n"/>
      <c r="S258" s="9" t="n"/>
      <c r="T258" s="9" t="n"/>
      <c r="U258" s="9">
        <f>IF(Q258="","",IF(W258=0,"已付款PAID",IF(V258&gt;0,"部分核销","未付款N/P")))</f>
        <v/>
      </c>
      <c r="V258" s="10">
        <f>IF(G258="","",SUMIFS(回款核销!$H:$H,回款核销!$C:$C,G258)+SUMIFS(回款核销!$H:$H,回款核销!$B:$B,D258,回款核销!$C:$C,""))</f>
        <v/>
      </c>
      <c r="W258" s="10">
        <f>IF(Q258="","",MAX(0,Q258-V258))</f>
        <v/>
      </c>
      <c r="X258" s="9" t="n"/>
      <c r="Y258" s="10">
        <f>IF(OR(N258="",X258=""),"",N258*X258)</f>
        <v/>
      </c>
      <c r="Z258" s="10">
        <f>IF(OR(Q258="",Y258=""),"",Q258-Y258)</f>
        <v/>
      </c>
      <c r="AA258" s="9" t="n"/>
      <c r="AB258" s="9" t="n"/>
    </row>
    <row r="259" ht="22" customHeight="1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10">
        <f>IF(OR(N259="",P259=""),"",N259*P259)</f>
        <v/>
      </c>
      <c r="R259" s="9" t="n"/>
      <c r="S259" s="9" t="n"/>
      <c r="T259" s="9" t="n"/>
      <c r="U259" s="9">
        <f>IF(Q259="","",IF(W259=0,"已付款PAID",IF(V259&gt;0,"部分核销","未付款N/P")))</f>
        <v/>
      </c>
      <c r="V259" s="10">
        <f>IF(G259="","",SUMIFS(回款核销!$H:$H,回款核销!$C:$C,G259)+SUMIFS(回款核销!$H:$H,回款核销!$B:$B,D259,回款核销!$C:$C,""))</f>
        <v/>
      </c>
      <c r="W259" s="10">
        <f>IF(Q259="","",MAX(0,Q259-V259))</f>
        <v/>
      </c>
      <c r="X259" s="9" t="n"/>
      <c r="Y259" s="10">
        <f>IF(OR(N259="",X259=""),"",N259*X259)</f>
        <v/>
      </c>
      <c r="Z259" s="10">
        <f>IF(OR(Q259="",Y259=""),"",Q259-Y259)</f>
        <v/>
      </c>
      <c r="AA259" s="9" t="n"/>
      <c r="AB259" s="9" t="n"/>
    </row>
    <row r="260" ht="22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10">
        <f>IF(OR(N260="",P260=""),"",N260*P260)</f>
        <v/>
      </c>
      <c r="R260" s="9" t="n"/>
      <c r="S260" s="9" t="n"/>
      <c r="T260" s="9" t="n"/>
      <c r="U260" s="9">
        <f>IF(Q260="","",IF(W260=0,"已付款PAID",IF(V260&gt;0,"部分核销","未付款N/P")))</f>
        <v/>
      </c>
      <c r="V260" s="10">
        <f>IF(G260="","",SUMIFS(回款核销!$H:$H,回款核销!$C:$C,G260)+SUMIFS(回款核销!$H:$H,回款核销!$B:$B,D260,回款核销!$C:$C,""))</f>
        <v/>
      </c>
      <c r="W260" s="10">
        <f>IF(Q260="","",MAX(0,Q260-V260))</f>
        <v/>
      </c>
      <c r="X260" s="9" t="n"/>
      <c r="Y260" s="10">
        <f>IF(OR(N260="",X260=""),"",N260*X260)</f>
        <v/>
      </c>
      <c r="Z260" s="10">
        <f>IF(OR(Q260="",Y260=""),"",Q260-Y260)</f>
        <v/>
      </c>
      <c r="AA260" s="9" t="n"/>
      <c r="AB260" s="9" t="n"/>
    </row>
    <row r="261" ht="22" customHeight="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10">
        <f>IF(OR(N261="",P261=""),"",N261*P261)</f>
        <v/>
      </c>
      <c r="R261" s="9" t="n"/>
      <c r="S261" s="9" t="n"/>
      <c r="T261" s="9" t="n"/>
      <c r="U261" s="9">
        <f>IF(Q261="","",IF(W261=0,"已付款PAID",IF(V261&gt;0,"部分核销","未付款N/P")))</f>
        <v/>
      </c>
      <c r="V261" s="10">
        <f>IF(G261="","",SUMIFS(回款核销!$H:$H,回款核销!$C:$C,G261)+SUMIFS(回款核销!$H:$H,回款核销!$B:$B,D261,回款核销!$C:$C,""))</f>
        <v/>
      </c>
      <c r="W261" s="10">
        <f>IF(Q261="","",MAX(0,Q261-V261))</f>
        <v/>
      </c>
      <c r="X261" s="9" t="n"/>
      <c r="Y261" s="10">
        <f>IF(OR(N261="",X261=""),"",N261*X261)</f>
        <v/>
      </c>
      <c r="Z261" s="10">
        <f>IF(OR(Q261="",Y261=""),"",Q261-Y261)</f>
        <v/>
      </c>
      <c r="AA261" s="9" t="n"/>
      <c r="AB261" s="9" t="n"/>
    </row>
    <row r="262" ht="22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10">
        <f>IF(OR(N262="",P262=""),"",N262*P262)</f>
        <v/>
      </c>
      <c r="R262" s="9" t="n"/>
      <c r="S262" s="9" t="n"/>
      <c r="T262" s="9" t="n"/>
      <c r="U262" s="9">
        <f>IF(Q262="","",IF(W262=0,"已付款PAID",IF(V262&gt;0,"部分核销","未付款N/P")))</f>
        <v/>
      </c>
      <c r="V262" s="10">
        <f>IF(G262="","",SUMIFS(回款核销!$H:$H,回款核销!$C:$C,G262)+SUMIFS(回款核销!$H:$H,回款核销!$B:$B,D262,回款核销!$C:$C,""))</f>
        <v/>
      </c>
      <c r="W262" s="10">
        <f>IF(Q262="","",MAX(0,Q262-V262))</f>
        <v/>
      </c>
      <c r="X262" s="9" t="n"/>
      <c r="Y262" s="10">
        <f>IF(OR(N262="",X262=""),"",N262*X262)</f>
        <v/>
      </c>
      <c r="Z262" s="10">
        <f>IF(OR(Q262="",Y262=""),"",Q262-Y262)</f>
        <v/>
      </c>
      <c r="AA262" s="9" t="n"/>
      <c r="AB262" s="9" t="n"/>
    </row>
    <row r="263" ht="22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10">
        <f>IF(OR(N263="",P263=""),"",N263*P263)</f>
        <v/>
      </c>
      <c r="R263" s="9" t="n"/>
      <c r="S263" s="9" t="n"/>
      <c r="T263" s="9" t="n"/>
      <c r="U263" s="9">
        <f>IF(Q263="","",IF(W263=0,"已付款PAID",IF(V263&gt;0,"部分核销","未付款N/P")))</f>
        <v/>
      </c>
      <c r="V263" s="10">
        <f>IF(G263="","",SUMIFS(回款核销!$H:$H,回款核销!$C:$C,G263)+SUMIFS(回款核销!$H:$H,回款核销!$B:$B,D263,回款核销!$C:$C,""))</f>
        <v/>
      </c>
      <c r="W263" s="10">
        <f>IF(Q263="","",MAX(0,Q263-V263))</f>
        <v/>
      </c>
      <c r="X263" s="9" t="n"/>
      <c r="Y263" s="10">
        <f>IF(OR(N263="",X263=""),"",N263*X263)</f>
        <v/>
      </c>
      <c r="Z263" s="10">
        <f>IF(OR(Q263="",Y263=""),"",Q263-Y263)</f>
        <v/>
      </c>
      <c r="AA263" s="9" t="n"/>
      <c r="AB263" s="9" t="n"/>
    </row>
    <row r="264" ht="22" customHeight="1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10">
        <f>IF(OR(N264="",P264=""),"",N264*P264)</f>
        <v/>
      </c>
      <c r="R264" s="9" t="n"/>
      <c r="S264" s="9" t="n"/>
      <c r="T264" s="9" t="n"/>
      <c r="U264" s="9">
        <f>IF(Q264="","",IF(W264=0,"已付款PAID",IF(V264&gt;0,"部分核销","未付款N/P")))</f>
        <v/>
      </c>
      <c r="V264" s="10">
        <f>IF(G264="","",SUMIFS(回款核销!$H:$H,回款核销!$C:$C,G264)+SUMIFS(回款核销!$H:$H,回款核销!$B:$B,D264,回款核销!$C:$C,""))</f>
        <v/>
      </c>
      <c r="W264" s="10">
        <f>IF(Q264="","",MAX(0,Q264-V264))</f>
        <v/>
      </c>
      <c r="X264" s="9" t="n"/>
      <c r="Y264" s="10">
        <f>IF(OR(N264="",X264=""),"",N264*X264)</f>
        <v/>
      </c>
      <c r="Z264" s="10">
        <f>IF(OR(Q264="",Y264=""),"",Q264-Y264)</f>
        <v/>
      </c>
      <c r="AA264" s="9" t="n"/>
      <c r="AB264" s="9" t="n"/>
    </row>
    <row r="265" ht="22" customHeight="1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10">
        <f>IF(OR(N265="",P265=""),"",N265*P265)</f>
        <v/>
      </c>
      <c r="R265" s="9" t="n"/>
      <c r="S265" s="9" t="n"/>
      <c r="T265" s="9" t="n"/>
      <c r="U265" s="9">
        <f>IF(Q265="","",IF(W265=0,"已付款PAID",IF(V265&gt;0,"部分核销","未付款N/P")))</f>
        <v/>
      </c>
      <c r="V265" s="10">
        <f>IF(G265="","",SUMIFS(回款核销!$H:$H,回款核销!$C:$C,G265)+SUMIFS(回款核销!$H:$H,回款核销!$B:$B,D265,回款核销!$C:$C,""))</f>
        <v/>
      </c>
      <c r="W265" s="10">
        <f>IF(Q265="","",MAX(0,Q265-V265))</f>
        <v/>
      </c>
      <c r="X265" s="9" t="n"/>
      <c r="Y265" s="10">
        <f>IF(OR(N265="",X265=""),"",N265*X265)</f>
        <v/>
      </c>
      <c r="Z265" s="10">
        <f>IF(OR(Q265="",Y265=""),"",Q265-Y265)</f>
        <v/>
      </c>
      <c r="AA265" s="9" t="n"/>
      <c r="AB265" s="9" t="n"/>
    </row>
    <row r="266" ht="22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10">
        <f>IF(OR(N266="",P266=""),"",N266*P266)</f>
        <v/>
      </c>
      <c r="R266" s="9" t="n"/>
      <c r="S266" s="9" t="n"/>
      <c r="T266" s="9" t="n"/>
      <c r="U266" s="9">
        <f>IF(Q266="","",IF(W266=0,"已付款PAID",IF(V266&gt;0,"部分核销","未付款N/P")))</f>
        <v/>
      </c>
      <c r="V266" s="10">
        <f>IF(G266="","",SUMIFS(回款核销!$H:$H,回款核销!$C:$C,G266)+SUMIFS(回款核销!$H:$H,回款核销!$B:$B,D266,回款核销!$C:$C,""))</f>
        <v/>
      </c>
      <c r="W266" s="10">
        <f>IF(Q266="","",MAX(0,Q266-V266))</f>
        <v/>
      </c>
      <c r="X266" s="9" t="n"/>
      <c r="Y266" s="10">
        <f>IF(OR(N266="",X266=""),"",N266*X266)</f>
        <v/>
      </c>
      <c r="Z266" s="10">
        <f>IF(OR(Q266="",Y266=""),"",Q266-Y266)</f>
        <v/>
      </c>
      <c r="AA266" s="9" t="n"/>
      <c r="AB266" s="9" t="n"/>
    </row>
    <row r="267" ht="22" customHeight="1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10">
        <f>IF(OR(N267="",P267=""),"",N267*P267)</f>
        <v/>
      </c>
      <c r="R267" s="9" t="n"/>
      <c r="S267" s="9" t="n"/>
      <c r="T267" s="9" t="n"/>
      <c r="U267" s="9">
        <f>IF(Q267="","",IF(W267=0,"已付款PAID",IF(V267&gt;0,"部分核销","未付款N/P")))</f>
        <v/>
      </c>
      <c r="V267" s="10">
        <f>IF(G267="","",SUMIFS(回款核销!$H:$H,回款核销!$C:$C,G267)+SUMIFS(回款核销!$H:$H,回款核销!$B:$B,D267,回款核销!$C:$C,""))</f>
        <v/>
      </c>
      <c r="W267" s="10">
        <f>IF(Q267="","",MAX(0,Q267-V267))</f>
        <v/>
      </c>
      <c r="X267" s="9" t="n"/>
      <c r="Y267" s="10">
        <f>IF(OR(N267="",X267=""),"",N267*X267)</f>
        <v/>
      </c>
      <c r="Z267" s="10">
        <f>IF(OR(Q267="",Y267=""),"",Q267-Y267)</f>
        <v/>
      </c>
      <c r="AA267" s="9" t="n"/>
      <c r="AB267" s="9" t="n"/>
    </row>
    <row r="268" ht="22" customHeight="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10">
        <f>IF(OR(N268="",P268=""),"",N268*P268)</f>
        <v/>
      </c>
      <c r="R268" s="9" t="n"/>
      <c r="S268" s="9" t="n"/>
      <c r="T268" s="9" t="n"/>
      <c r="U268" s="9">
        <f>IF(Q268="","",IF(W268=0,"已付款PAID",IF(V268&gt;0,"部分核销","未付款N/P")))</f>
        <v/>
      </c>
      <c r="V268" s="10">
        <f>IF(G268="","",SUMIFS(回款核销!$H:$H,回款核销!$C:$C,G268)+SUMIFS(回款核销!$H:$H,回款核销!$B:$B,D268,回款核销!$C:$C,""))</f>
        <v/>
      </c>
      <c r="W268" s="10">
        <f>IF(Q268="","",MAX(0,Q268-V268))</f>
        <v/>
      </c>
      <c r="X268" s="9" t="n"/>
      <c r="Y268" s="10">
        <f>IF(OR(N268="",X268=""),"",N268*X268)</f>
        <v/>
      </c>
      <c r="Z268" s="10">
        <f>IF(OR(Q268="",Y268=""),"",Q268-Y268)</f>
        <v/>
      </c>
      <c r="AA268" s="9" t="n"/>
      <c r="AB268" s="9" t="n"/>
    </row>
    <row r="269" ht="22" customHeight="1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10">
        <f>IF(OR(N269="",P269=""),"",N269*P269)</f>
        <v/>
      </c>
      <c r="R269" s="9" t="n"/>
      <c r="S269" s="9" t="n"/>
      <c r="T269" s="9" t="n"/>
      <c r="U269" s="9">
        <f>IF(Q269="","",IF(W269=0,"已付款PAID",IF(V269&gt;0,"部分核销","未付款N/P")))</f>
        <v/>
      </c>
      <c r="V269" s="10">
        <f>IF(G269="","",SUMIFS(回款核销!$H:$H,回款核销!$C:$C,G269)+SUMIFS(回款核销!$H:$H,回款核销!$B:$B,D269,回款核销!$C:$C,""))</f>
        <v/>
      </c>
      <c r="W269" s="10">
        <f>IF(Q269="","",MAX(0,Q269-V269))</f>
        <v/>
      </c>
      <c r="X269" s="9" t="n"/>
      <c r="Y269" s="10">
        <f>IF(OR(N269="",X269=""),"",N269*X269)</f>
        <v/>
      </c>
      <c r="Z269" s="10">
        <f>IF(OR(Q269="",Y269=""),"",Q269-Y269)</f>
        <v/>
      </c>
      <c r="AA269" s="9" t="n"/>
      <c r="AB269" s="9" t="n"/>
    </row>
    <row r="270" ht="22" customHeight="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10">
        <f>IF(OR(N270="",P270=""),"",N270*P270)</f>
        <v/>
      </c>
      <c r="R270" s="9" t="n"/>
      <c r="S270" s="9" t="n"/>
      <c r="T270" s="9" t="n"/>
      <c r="U270" s="9">
        <f>IF(Q270="","",IF(W270=0,"已付款PAID",IF(V270&gt;0,"部分核销","未付款N/P")))</f>
        <v/>
      </c>
      <c r="V270" s="10">
        <f>IF(G270="","",SUMIFS(回款核销!$H:$H,回款核销!$C:$C,G270)+SUMIFS(回款核销!$H:$H,回款核销!$B:$B,D270,回款核销!$C:$C,""))</f>
        <v/>
      </c>
      <c r="W270" s="10">
        <f>IF(Q270="","",MAX(0,Q270-V270))</f>
        <v/>
      </c>
      <c r="X270" s="9" t="n"/>
      <c r="Y270" s="10">
        <f>IF(OR(N270="",X270=""),"",N270*X270)</f>
        <v/>
      </c>
      <c r="Z270" s="10">
        <f>IF(OR(Q270="",Y270=""),"",Q270-Y270)</f>
        <v/>
      </c>
      <c r="AA270" s="9" t="n"/>
      <c r="AB270" s="9" t="n"/>
    </row>
    <row r="271" ht="22" customHeight="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10">
        <f>IF(OR(N271="",P271=""),"",N271*P271)</f>
        <v/>
      </c>
      <c r="R271" s="9" t="n"/>
      <c r="S271" s="9" t="n"/>
      <c r="T271" s="9" t="n"/>
      <c r="U271" s="9">
        <f>IF(Q271="","",IF(W271=0,"已付款PAID",IF(V271&gt;0,"部分核销","未付款N/P")))</f>
        <v/>
      </c>
      <c r="V271" s="10">
        <f>IF(G271="","",SUMIFS(回款核销!$H:$H,回款核销!$C:$C,G271)+SUMIFS(回款核销!$H:$H,回款核销!$B:$B,D271,回款核销!$C:$C,""))</f>
        <v/>
      </c>
      <c r="W271" s="10">
        <f>IF(Q271="","",MAX(0,Q271-V271))</f>
        <v/>
      </c>
      <c r="X271" s="9" t="n"/>
      <c r="Y271" s="10">
        <f>IF(OR(N271="",X271=""),"",N271*X271)</f>
        <v/>
      </c>
      <c r="Z271" s="10">
        <f>IF(OR(Q271="",Y271=""),"",Q271-Y271)</f>
        <v/>
      </c>
      <c r="AA271" s="9" t="n"/>
      <c r="AB271" s="9" t="n"/>
    </row>
    <row r="272" ht="22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10">
        <f>IF(OR(N272="",P272=""),"",N272*P272)</f>
        <v/>
      </c>
      <c r="R272" s="9" t="n"/>
      <c r="S272" s="9" t="n"/>
      <c r="T272" s="9" t="n"/>
      <c r="U272" s="9">
        <f>IF(Q272="","",IF(W272=0,"已付款PAID",IF(V272&gt;0,"部分核销","未付款N/P")))</f>
        <v/>
      </c>
      <c r="V272" s="10">
        <f>IF(G272="","",SUMIFS(回款核销!$H:$H,回款核销!$C:$C,G272)+SUMIFS(回款核销!$H:$H,回款核销!$B:$B,D272,回款核销!$C:$C,""))</f>
        <v/>
      </c>
      <c r="W272" s="10">
        <f>IF(Q272="","",MAX(0,Q272-V272))</f>
        <v/>
      </c>
      <c r="X272" s="9" t="n"/>
      <c r="Y272" s="10">
        <f>IF(OR(N272="",X272=""),"",N272*X272)</f>
        <v/>
      </c>
      <c r="Z272" s="10">
        <f>IF(OR(Q272="",Y272=""),"",Q272-Y272)</f>
        <v/>
      </c>
      <c r="AA272" s="9" t="n"/>
      <c r="AB272" s="9" t="n"/>
    </row>
    <row r="273" ht="22" customHeight="1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10">
        <f>IF(OR(N273="",P273=""),"",N273*P273)</f>
        <v/>
      </c>
      <c r="R273" s="9" t="n"/>
      <c r="S273" s="9" t="n"/>
      <c r="T273" s="9" t="n"/>
      <c r="U273" s="9">
        <f>IF(Q273="","",IF(W273=0,"已付款PAID",IF(V273&gt;0,"部分核销","未付款N/P")))</f>
        <v/>
      </c>
      <c r="V273" s="10">
        <f>IF(G273="","",SUMIFS(回款核销!$H:$H,回款核销!$C:$C,G273)+SUMIFS(回款核销!$H:$H,回款核销!$B:$B,D273,回款核销!$C:$C,""))</f>
        <v/>
      </c>
      <c r="W273" s="10">
        <f>IF(Q273="","",MAX(0,Q273-V273))</f>
        <v/>
      </c>
      <c r="X273" s="9" t="n"/>
      <c r="Y273" s="10">
        <f>IF(OR(N273="",X273=""),"",N273*X273)</f>
        <v/>
      </c>
      <c r="Z273" s="10">
        <f>IF(OR(Q273="",Y273=""),"",Q273-Y273)</f>
        <v/>
      </c>
      <c r="AA273" s="9" t="n"/>
      <c r="AB273" s="9" t="n"/>
    </row>
    <row r="274" ht="22" customHeight="1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10">
        <f>IF(OR(N274="",P274=""),"",N274*P274)</f>
        <v/>
      </c>
      <c r="R274" s="9" t="n"/>
      <c r="S274" s="9" t="n"/>
      <c r="T274" s="9" t="n"/>
      <c r="U274" s="9">
        <f>IF(Q274="","",IF(W274=0,"已付款PAID",IF(V274&gt;0,"部分核销","未付款N/P")))</f>
        <v/>
      </c>
      <c r="V274" s="10">
        <f>IF(G274="","",SUMIFS(回款核销!$H:$H,回款核销!$C:$C,G274)+SUMIFS(回款核销!$H:$H,回款核销!$B:$B,D274,回款核销!$C:$C,""))</f>
        <v/>
      </c>
      <c r="W274" s="10">
        <f>IF(Q274="","",MAX(0,Q274-V274))</f>
        <v/>
      </c>
      <c r="X274" s="9" t="n"/>
      <c r="Y274" s="10">
        <f>IF(OR(N274="",X274=""),"",N274*X274)</f>
        <v/>
      </c>
      <c r="Z274" s="10">
        <f>IF(OR(Q274="",Y274=""),"",Q274-Y274)</f>
        <v/>
      </c>
      <c r="AA274" s="9" t="n"/>
      <c r="AB274" s="9" t="n"/>
    </row>
    <row r="275" ht="22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10">
        <f>IF(OR(N275="",P275=""),"",N275*P275)</f>
        <v/>
      </c>
      <c r="R275" s="9" t="n"/>
      <c r="S275" s="9" t="n"/>
      <c r="T275" s="9" t="n"/>
      <c r="U275" s="9">
        <f>IF(Q275="","",IF(W275=0,"已付款PAID",IF(V275&gt;0,"部分核销","未付款N/P")))</f>
        <v/>
      </c>
      <c r="V275" s="10">
        <f>IF(G275="","",SUMIFS(回款核销!$H:$H,回款核销!$C:$C,G275)+SUMIFS(回款核销!$H:$H,回款核销!$B:$B,D275,回款核销!$C:$C,""))</f>
        <v/>
      </c>
      <c r="W275" s="10">
        <f>IF(Q275="","",MAX(0,Q275-V275))</f>
        <v/>
      </c>
      <c r="X275" s="9" t="n"/>
      <c r="Y275" s="10">
        <f>IF(OR(N275="",X275=""),"",N275*X275)</f>
        <v/>
      </c>
      <c r="Z275" s="10">
        <f>IF(OR(Q275="",Y275=""),"",Q275-Y275)</f>
        <v/>
      </c>
      <c r="AA275" s="9" t="n"/>
      <c r="AB275" s="9" t="n"/>
    </row>
    <row r="276" ht="22" customHeight="1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10">
        <f>IF(OR(N276="",P276=""),"",N276*P276)</f>
        <v/>
      </c>
      <c r="R276" s="9" t="n"/>
      <c r="S276" s="9" t="n"/>
      <c r="T276" s="9" t="n"/>
      <c r="U276" s="9">
        <f>IF(Q276="","",IF(W276=0,"已付款PAID",IF(V276&gt;0,"部分核销","未付款N/P")))</f>
        <v/>
      </c>
      <c r="V276" s="10">
        <f>IF(G276="","",SUMIFS(回款核销!$H:$H,回款核销!$C:$C,G276)+SUMIFS(回款核销!$H:$H,回款核销!$B:$B,D276,回款核销!$C:$C,""))</f>
        <v/>
      </c>
      <c r="W276" s="10">
        <f>IF(Q276="","",MAX(0,Q276-V276))</f>
        <v/>
      </c>
      <c r="X276" s="9" t="n"/>
      <c r="Y276" s="10">
        <f>IF(OR(N276="",X276=""),"",N276*X276)</f>
        <v/>
      </c>
      <c r="Z276" s="10">
        <f>IF(OR(Q276="",Y276=""),"",Q276-Y276)</f>
        <v/>
      </c>
      <c r="AA276" s="9" t="n"/>
      <c r="AB276" s="9" t="n"/>
    </row>
    <row r="277" ht="22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10">
        <f>IF(OR(N277="",P277=""),"",N277*P277)</f>
        <v/>
      </c>
      <c r="R277" s="9" t="n"/>
      <c r="S277" s="9" t="n"/>
      <c r="T277" s="9" t="n"/>
      <c r="U277" s="9">
        <f>IF(Q277="","",IF(W277=0,"已付款PAID",IF(V277&gt;0,"部分核销","未付款N/P")))</f>
        <v/>
      </c>
      <c r="V277" s="10">
        <f>IF(G277="","",SUMIFS(回款核销!$H:$H,回款核销!$C:$C,G277)+SUMIFS(回款核销!$H:$H,回款核销!$B:$B,D277,回款核销!$C:$C,""))</f>
        <v/>
      </c>
      <c r="W277" s="10">
        <f>IF(Q277="","",MAX(0,Q277-V277))</f>
        <v/>
      </c>
      <c r="X277" s="9" t="n"/>
      <c r="Y277" s="10">
        <f>IF(OR(N277="",X277=""),"",N277*X277)</f>
        <v/>
      </c>
      <c r="Z277" s="10">
        <f>IF(OR(Q277="",Y277=""),"",Q277-Y277)</f>
        <v/>
      </c>
      <c r="AA277" s="9" t="n"/>
      <c r="AB277" s="9" t="n"/>
    </row>
    <row r="278" ht="22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10">
        <f>IF(OR(N278="",P278=""),"",N278*P278)</f>
        <v/>
      </c>
      <c r="R278" s="9" t="n"/>
      <c r="S278" s="9" t="n"/>
      <c r="T278" s="9" t="n"/>
      <c r="U278" s="9">
        <f>IF(Q278="","",IF(W278=0,"已付款PAID",IF(V278&gt;0,"部分核销","未付款N/P")))</f>
        <v/>
      </c>
      <c r="V278" s="10">
        <f>IF(G278="","",SUMIFS(回款核销!$H:$H,回款核销!$C:$C,G278)+SUMIFS(回款核销!$H:$H,回款核销!$B:$B,D278,回款核销!$C:$C,""))</f>
        <v/>
      </c>
      <c r="W278" s="10">
        <f>IF(Q278="","",MAX(0,Q278-V278))</f>
        <v/>
      </c>
      <c r="X278" s="9" t="n"/>
      <c r="Y278" s="10">
        <f>IF(OR(N278="",X278=""),"",N278*X278)</f>
        <v/>
      </c>
      <c r="Z278" s="10">
        <f>IF(OR(Q278="",Y278=""),"",Q278-Y278)</f>
        <v/>
      </c>
      <c r="AA278" s="9" t="n"/>
      <c r="AB278" s="9" t="n"/>
    </row>
    <row r="279" ht="22" customHeight="1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10">
        <f>IF(OR(N279="",P279=""),"",N279*P279)</f>
        <v/>
      </c>
      <c r="R279" s="9" t="n"/>
      <c r="S279" s="9" t="n"/>
      <c r="T279" s="9" t="n"/>
      <c r="U279" s="9">
        <f>IF(Q279="","",IF(W279=0,"已付款PAID",IF(V279&gt;0,"部分核销","未付款N/P")))</f>
        <v/>
      </c>
      <c r="V279" s="10">
        <f>IF(G279="","",SUMIFS(回款核销!$H:$H,回款核销!$C:$C,G279)+SUMIFS(回款核销!$H:$H,回款核销!$B:$B,D279,回款核销!$C:$C,""))</f>
        <v/>
      </c>
      <c r="W279" s="10">
        <f>IF(Q279="","",MAX(0,Q279-V279))</f>
        <v/>
      </c>
      <c r="X279" s="9" t="n"/>
      <c r="Y279" s="10">
        <f>IF(OR(N279="",X279=""),"",N279*X279)</f>
        <v/>
      </c>
      <c r="Z279" s="10">
        <f>IF(OR(Q279="",Y279=""),"",Q279-Y279)</f>
        <v/>
      </c>
      <c r="AA279" s="9" t="n"/>
      <c r="AB279" s="9" t="n"/>
    </row>
    <row r="280" ht="22" customHeight="1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10">
        <f>IF(OR(N280="",P280=""),"",N280*P280)</f>
        <v/>
      </c>
      <c r="R280" s="9" t="n"/>
      <c r="S280" s="9" t="n"/>
      <c r="T280" s="9" t="n"/>
      <c r="U280" s="9">
        <f>IF(Q280="","",IF(W280=0,"已付款PAID",IF(V280&gt;0,"部分核销","未付款N/P")))</f>
        <v/>
      </c>
      <c r="V280" s="10">
        <f>IF(G280="","",SUMIFS(回款核销!$H:$H,回款核销!$C:$C,G280)+SUMIFS(回款核销!$H:$H,回款核销!$B:$B,D280,回款核销!$C:$C,""))</f>
        <v/>
      </c>
      <c r="W280" s="10">
        <f>IF(Q280="","",MAX(0,Q280-V280))</f>
        <v/>
      </c>
      <c r="X280" s="9" t="n"/>
      <c r="Y280" s="10">
        <f>IF(OR(N280="",X280=""),"",N280*X280)</f>
        <v/>
      </c>
      <c r="Z280" s="10">
        <f>IF(OR(Q280="",Y280=""),"",Q280-Y280)</f>
        <v/>
      </c>
      <c r="AA280" s="9" t="n"/>
      <c r="AB280" s="9" t="n"/>
    </row>
    <row r="281" ht="22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10">
        <f>IF(OR(N281="",P281=""),"",N281*P281)</f>
        <v/>
      </c>
      <c r="R281" s="9" t="n"/>
      <c r="S281" s="9" t="n"/>
      <c r="T281" s="9" t="n"/>
      <c r="U281" s="9">
        <f>IF(Q281="","",IF(W281=0,"已付款PAID",IF(V281&gt;0,"部分核销","未付款N/P")))</f>
        <v/>
      </c>
      <c r="V281" s="10">
        <f>IF(G281="","",SUMIFS(回款核销!$H:$H,回款核销!$C:$C,G281)+SUMIFS(回款核销!$H:$H,回款核销!$B:$B,D281,回款核销!$C:$C,""))</f>
        <v/>
      </c>
      <c r="W281" s="10">
        <f>IF(Q281="","",MAX(0,Q281-V281))</f>
        <v/>
      </c>
      <c r="X281" s="9" t="n"/>
      <c r="Y281" s="10">
        <f>IF(OR(N281="",X281=""),"",N281*X281)</f>
        <v/>
      </c>
      <c r="Z281" s="10">
        <f>IF(OR(Q281="",Y281=""),"",Q281-Y281)</f>
        <v/>
      </c>
      <c r="AA281" s="9" t="n"/>
      <c r="AB281" s="9" t="n"/>
    </row>
    <row r="282" ht="22" customHeight="1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10">
        <f>IF(OR(N282="",P282=""),"",N282*P282)</f>
        <v/>
      </c>
      <c r="R282" s="9" t="n"/>
      <c r="S282" s="9" t="n"/>
      <c r="T282" s="9" t="n"/>
      <c r="U282" s="9">
        <f>IF(Q282="","",IF(W282=0,"已付款PAID",IF(V282&gt;0,"部分核销","未付款N/P")))</f>
        <v/>
      </c>
      <c r="V282" s="10">
        <f>IF(G282="","",SUMIFS(回款核销!$H:$H,回款核销!$C:$C,G282)+SUMIFS(回款核销!$H:$H,回款核销!$B:$B,D282,回款核销!$C:$C,""))</f>
        <v/>
      </c>
      <c r="W282" s="10">
        <f>IF(Q282="","",MAX(0,Q282-V282))</f>
        <v/>
      </c>
      <c r="X282" s="9" t="n"/>
      <c r="Y282" s="10">
        <f>IF(OR(N282="",X282=""),"",N282*X282)</f>
        <v/>
      </c>
      <c r="Z282" s="10">
        <f>IF(OR(Q282="",Y282=""),"",Q282-Y282)</f>
        <v/>
      </c>
      <c r="AA282" s="9" t="n"/>
      <c r="AB282" s="9" t="n"/>
    </row>
    <row r="283" ht="22" customHeight="1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10">
        <f>IF(OR(N283="",P283=""),"",N283*P283)</f>
        <v/>
      </c>
      <c r="R283" s="9" t="n"/>
      <c r="S283" s="9" t="n"/>
      <c r="T283" s="9" t="n"/>
      <c r="U283" s="9">
        <f>IF(Q283="","",IF(W283=0,"已付款PAID",IF(V283&gt;0,"部分核销","未付款N/P")))</f>
        <v/>
      </c>
      <c r="V283" s="10">
        <f>IF(G283="","",SUMIFS(回款核销!$H:$H,回款核销!$C:$C,G283)+SUMIFS(回款核销!$H:$H,回款核销!$B:$B,D283,回款核销!$C:$C,""))</f>
        <v/>
      </c>
      <c r="W283" s="10">
        <f>IF(Q283="","",MAX(0,Q283-V283))</f>
        <v/>
      </c>
      <c r="X283" s="9" t="n"/>
      <c r="Y283" s="10">
        <f>IF(OR(N283="",X283=""),"",N283*X283)</f>
        <v/>
      </c>
      <c r="Z283" s="10">
        <f>IF(OR(Q283="",Y283=""),"",Q283-Y283)</f>
        <v/>
      </c>
      <c r="AA283" s="9" t="n"/>
      <c r="AB283" s="9" t="n"/>
    </row>
    <row r="284" ht="22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10">
        <f>IF(OR(N284="",P284=""),"",N284*P284)</f>
        <v/>
      </c>
      <c r="R284" s="9" t="n"/>
      <c r="S284" s="9" t="n"/>
      <c r="T284" s="9" t="n"/>
      <c r="U284" s="9">
        <f>IF(Q284="","",IF(W284=0,"已付款PAID",IF(V284&gt;0,"部分核销","未付款N/P")))</f>
        <v/>
      </c>
      <c r="V284" s="10">
        <f>IF(G284="","",SUMIFS(回款核销!$H:$H,回款核销!$C:$C,G284)+SUMIFS(回款核销!$H:$H,回款核销!$B:$B,D284,回款核销!$C:$C,""))</f>
        <v/>
      </c>
      <c r="W284" s="10">
        <f>IF(Q284="","",MAX(0,Q284-V284))</f>
        <v/>
      </c>
      <c r="X284" s="9" t="n"/>
      <c r="Y284" s="10">
        <f>IF(OR(N284="",X284=""),"",N284*X284)</f>
        <v/>
      </c>
      <c r="Z284" s="10">
        <f>IF(OR(Q284="",Y284=""),"",Q284-Y284)</f>
        <v/>
      </c>
      <c r="AA284" s="9" t="n"/>
      <c r="AB284" s="9" t="n"/>
    </row>
    <row r="285" ht="22" customHeight="1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10">
        <f>IF(OR(N285="",P285=""),"",N285*P285)</f>
        <v/>
      </c>
      <c r="R285" s="9" t="n"/>
      <c r="S285" s="9" t="n"/>
      <c r="T285" s="9" t="n"/>
      <c r="U285" s="9">
        <f>IF(Q285="","",IF(W285=0,"已付款PAID",IF(V285&gt;0,"部分核销","未付款N/P")))</f>
        <v/>
      </c>
      <c r="V285" s="10">
        <f>IF(G285="","",SUMIFS(回款核销!$H:$H,回款核销!$C:$C,G285)+SUMIFS(回款核销!$H:$H,回款核销!$B:$B,D285,回款核销!$C:$C,""))</f>
        <v/>
      </c>
      <c r="W285" s="10">
        <f>IF(Q285="","",MAX(0,Q285-V285))</f>
        <v/>
      </c>
      <c r="X285" s="9" t="n"/>
      <c r="Y285" s="10">
        <f>IF(OR(N285="",X285=""),"",N285*X285)</f>
        <v/>
      </c>
      <c r="Z285" s="10">
        <f>IF(OR(Q285="",Y285=""),"",Q285-Y285)</f>
        <v/>
      </c>
      <c r="AA285" s="9" t="n"/>
      <c r="AB285" s="9" t="n"/>
    </row>
    <row r="286" ht="22" customHeight="1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10">
        <f>IF(OR(N286="",P286=""),"",N286*P286)</f>
        <v/>
      </c>
      <c r="R286" s="9" t="n"/>
      <c r="S286" s="9" t="n"/>
      <c r="T286" s="9" t="n"/>
      <c r="U286" s="9">
        <f>IF(Q286="","",IF(W286=0,"已付款PAID",IF(V286&gt;0,"部分核销","未付款N/P")))</f>
        <v/>
      </c>
      <c r="V286" s="10">
        <f>IF(G286="","",SUMIFS(回款核销!$H:$H,回款核销!$C:$C,G286)+SUMIFS(回款核销!$H:$H,回款核销!$B:$B,D286,回款核销!$C:$C,""))</f>
        <v/>
      </c>
      <c r="W286" s="10">
        <f>IF(Q286="","",MAX(0,Q286-V286))</f>
        <v/>
      </c>
      <c r="X286" s="9" t="n"/>
      <c r="Y286" s="10">
        <f>IF(OR(N286="",X286=""),"",N286*X286)</f>
        <v/>
      </c>
      <c r="Z286" s="10">
        <f>IF(OR(Q286="",Y286=""),"",Q286-Y286)</f>
        <v/>
      </c>
      <c r="AA286" s="9" t="n"/>
      <c r="AB286" s="9" t="n"/>
    </row>
    <row r="287" ht="22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10">
        <f>IF(OR(N287="",P287=""),"",N287*P287)</f>
        <v/>
      </c>
      <c r="R287" s="9" t="n"/>
      <c r="S287" s="9" t="n"/>
      <c r="T287" s="9" t="n"/>
      <c r="U287" s="9">
        <f>IF(Q287="","",IF(W287=0,"已付款PAID",IF(V287&gt;0,"部分核销","未付款N/P")))</f>
        <v/>
      </c>
      <c r="V287" s="10">
        <f>IF(G287="","",SUMIFS(回款核销!$H:$H,回款核销!$C:$C,G287)+SUMIFS(回款核销!$H:$H,回款核销!$B:$B,D287,回款核销!$C:$C,""))</f>
        <v/>
      </c>
      <c r="W287" s="10">
        <f>IF(Q287="","",MAX(0,Q287-V287))</f>
        <v/>
      </c>
      <c r="X287" s="9" t="n"/>
      <c r="Y287" s="10">
        <f>IF(OR(N287="",X287=""),"",N287*X287)</f>
        <v/>
      </c>
      <c r="Z287" s="10">
        <f>IF(OR(Q287="",Y287=""),"",Q287-Y287)</f>
        <v/>
      </c>
      <c r="AA287" s="9" t="n"/>
      <c r="AB287" s="9" t="n"/>
    </row>
    <row r="288" ht="22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10">
        <f>IF(OR(N288="",P288=""),"",N288*P288)</f>
        <v/>
      </c>
      <c r="R288" s="9" t="n"/>
      <c r="S288" s="9" t="n"/>
      <c r="T288" s="9" t="n"/>
      <c r="U288" s="9">
        <f>IF(Q288="","",IF(W288=0,"已付款PAID",IF(V288&gt;0,"部分核销","未付款N/P")))</f>
        <v/>
      </c>
      <c r="V288" s="10">
        <f>IF(G288="","",SUMIFS(回款核销!$H:$H,回款核销!$C:$C,G288)+SUMIFS(回款核销!$H:$H,回款核销!$B:$B,D288,回款核销!$C:$C,""))</f>
        <v/>
      </c>
      <c r="W288" s="10">
        <f>IF(Q288="","",MAX(0,Q288-V288))</f>
        <v/>
      </c>
      <c r="X288" s="9" t="n"/>
      <c r="Y288" s="10">
        <f>IF(OR(N288="",X288=""),"",N288*X288)</f>
        <v/>
      </c>
      <c r="Z288" s="10">
        <f>IF(OR(Q288="",Y288=""),"",Q288-Y288)</f>
        <v/>
      </c>
      <c r="AA288" s="9" t="n"/>
      <c r="AB288" s="9" t="n"/>
    </row>
    <row r="289" ht="22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10">
        <f>IF(OR(N289="",P289=""),"",N289*P289)</f>
        <v/>
      </c>
      <c r="R289" s="9" t="n"/>
      <c r="S289" s="9" t="n"/>
      <c r="T289" s="9" t="n"/>
      <c r="U289" s="9">
        <f>IF(Q289="","",IF(W289=0,"已付款PAID",IF(V289&gt;0,"部分核销","未付款N/P")))</f>
        <v/>
      </c>
      <c r="V289" s="10">
        <f>IF(G289="","",SUMIFS(回款核销!$H:$H,回款核销!$C:$C,G289)+SUMIFS(回款核销!$H:$H,回款核销!$B:$B,D289,回款核销!$C:$C,""))</f>
        <v/>
      </c>
      <c r="W289" s="10">
        <f>IF(Q289="","",MAX(0,Q289-V289))</f>
        <v/>
      </c>
      <c r="X289" s="9" t="n"/>
      <c r="Y289" s="10">
        <f>IF(OR(N289="",X289=""),"",N289*X289)</f>
        <v/>
      </c>
      <c r="Z289" s="10">
        <f>IF(OR(Q289="",Y289=""),"",Q289-Y289)</f>
        <v/>
      </c>
      <c r="AA289" s="9" t="n"/>
      <c r="AB289" s="9" t="n"/>
    </row>
    <row r="290" ht="22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10">
        <f>IF(OR(N290="",P290=""),"",N290*P290)</f>
        <v/>
      </c>
      <c r="R290" s="9" t="n"/>
      <c r="S290" s="9" t="n"/>
      <c r="T290" s="9" t="n"/>
      <c r="U290" s="9">
        <f>IF(Q290="","",IF(W290=0,"已付款PAID",IF(V290&gt;0,"部分核销","未付款N/P")))</f>
        <v/>
      </c>
      <c r="V290" s="10">
        <f>IF(G290="","",SUMIFS(回款核销!$H:$H,回款核销!$C:$C,G290)+SUMIFS(回款核销!$H:$H,回款核销!$B:$B,D290,回款核销!$C:$C,""))</f>
        <v/>
      </c>
      <c r="W290" s="10">
        <f>IF(Q290="","",MAX(0,Q290-V290))</f>
        <v/>
      </c>
      <c r="X290" s="9" t="n"/>
      <c r="Y290" s="10">
        <f>IF(OR(N290="",X290=""),"",N290*X290)</f>
        <v/>
      </c>
      <c r="Z290" s="10">
        <f>IF(OR(Q290="",Y290=""),"",Q290-Y290)</f>
        <v/>
      </c>
      <c r="AA290" s="9" t="n"/>
      <c r="AB290" s="9" t="n"/>
    </row>
    <row r="291" ht="22" customHeight="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10">
        <f>IF(OR(N291="",P291=""),"",N291*P291)</f>
        <v/>
      </c>
      <c r="R291" s="9" t="n"/>
      <c r="S291" s="9" t="n"/>
      <c r="T291" s="9" t="n"/>
      <c r="U291" s="9">
        <f>IF(Q291="","",IF(W291=0,"已付款PAID",IF(V291&gt;0,"部分核销","未付款N/P")))</f>
        <v/>
      </c>
      <c r="V291" s="10">
        <f>IF(G291="","",SUMIFS(回款核销!$H:$H,回款核销!$C:$C,G291)+SUMIFS(回款核销!$H:$H,回款核销!$B:$B,D291,回款核销!$C:$C,""))</f>
        <v/>
      </c>
      <c r="W291" s="10">
        <f>IF(Q291="","",MAX(0,Q291-V291))</f>
        <v/>
      </c>
      <c r="X291" s="9" t="n"/>
      <c r="Y291" s="10">
        <f>IF(OR(N291="",X291=""),"",N291*X291)</f>
        <v/>
      </c>
      <c r="Z291" s="10">
        <f>IF(OR(Q291="",Y291=""),"",Q291-Y291)</f>
        <v/>
      </c>
      <c r="AA291" s="9" t="n"/>
      <c r="AB291" s="9" t="n"/>
    </row>
    <row r="292" ht="22" customHeight="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10">
        <f>IF(OR(N292="",P292=""),"",N292*P292)</f>
        <v/>
      </c>
      <c r="R292" s="9" t="n"/>
      <c r="S292" s="9" t="n"/>
      <c r="T292" s="9" t="n"/>
      <c r="U292" s="9">
        <f>IF(Q292="","",IF(W292=0,"已付款PAID",IF(V292&gt;0,"部分核销","未付款N/P")))</f>
        <v/>
      </c>
      <c r="V292" s="10">
        <f>IF(G292="","",SUMIFS(回款核销!$H:$H,回款核销!$C:$C,G292)+SUMIFS(回款核销!$H:$H,回款核销!$B:$B,D292,回款核销!$C:$C,""))</f>
        <v/>
      </c>
      <c r="W292" s="10">
        <f>IF(Q292="","",MAX(0,Q292-V292))</f>
        <v/>
      </c>
      <c r="X292" s="9" t="n"/>
      <c r="Y292" s="10">
        <f>IF(OR(N292="",X292=""),"",N292*X292)</f>
        <v/>
      </c>
      <c r="Z292" s="10">
        <f>IF(OR(Q292="",Y292=""),"",Q292-Y292)</f>
        <v/>
      </c>
      <c r="AA292" s="9" t="n"/>
      <c r="AB292" s="9" t="n"/>
    </row>
    <row r="293" ht="22" customHeight="1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10">
        <f>IF(OR(N293="",P293=""),"",N293*P293)</f>
        <v/>
      </c>
      <c r="R293" s="9" t="n"/>
      <c r="S293" s="9" t="n"/>
      <c r="T293" s="9" t="n"/>
      <c r="U293" s="9">
        <f>IF(Q293="","",IF(W293=0,"已付款PAID",IF(V293&gt;0,"部分核销","未付款N/P")))</f>
        <v/>
      </c>
      <c r="V293" s="10">
        <f>IF(G293="","",SUMIFS(回款核销!$H:$H,回款核销!$C:$C,G293)+SUMIFS(回款核销!$H:$H,回款核销!$B:$B,D293,回款核销!$C:$C,""))</f>
        <v/>
      </c>
      <c r="W293" s="10">
        <f>IF(Q293="","",MAX(0,Q293-V293))</f>
        <v/>
      </c>
      <c r="X293" s="9" t="n"/>
      <c r="Y293" s="10">
        <f>IF(OR(N293="",X293=""),"",N293*X293)</f>
        <v/>
      </c>
      <c r="Z293" s="10">
        <f>IF(OR(Q293="",Y293=""),"",Q293-Y293)</f>
        <v/>
      </c>
      <c r="AA293" s="9" t="n"/>
      <c r="AB293" s="9" t="n"/>
    </row>
    <row r="294" ht="22" customHeight="1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10">
        <f>IF(OR(N294="",P294=""),"",N294*P294)</f>
        <v/>
      </c>
      <c r="R294" s="9" t="n"/>
      <c r="S294" s="9" t="n"/>
      <c r="T294" s="9" t="n"/>
      <c r="U294" s="9">
        <f>IF(Q294="","",IF(W294=0,"已付款PAID",IF(V294&gt;0,"部分核销","未付款N/P")))</f>
        <v/>
      </c>
      <c r="V294" s="10">
        <f>IF(G294="","",SUMIFS(回款核销!$H:$H,回款核销!$C:$C,G294)+SUMIFS(回款核销!$H:$H,回款核销!$B:$B,D294,回款核销!$C:$C,""))</f>
        <v/>
      </c>
      <c r="W294" s="10">
        <f>IF(Q294="","",MAX(0,Q294-V294))</f>
        <v/>
      </c>
      <c r="X294" s="9" t="n"/>
      <c r="Y294" s="10">
        <f>IF(OR(N294="",X294=""),"",N294*X294)</f>
        <v/>
      </c>
      <c r="Z294" s="10">
        <f>IF(OR(Q294="",Y294=""),"",Q294-Y294)</f>
        <v/>
      </c>
      <c r="AA294" s="9" t="n"/>
      <c r="AB294" s="9" t="n"/>
    </row>
    <row r="295" ht="22" customHeight="1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10">
        <f>IF(OR(N295="",P295=""),"",N295*P295)</f>
        <v/>
      </c>
      <c r="R295" s="9" t="n"/>
      <c r="S295" s="9" t="n"/>
      <c r="T295" s="9" t="n"/>
      <c r="U295" s="9">
        <f>IF(Q295="","",IF(W295=0,"已付款PAID",IF(V295&gt;0,"部分核销","未付款N/P")))</f>
        <v/>
      </c>
      <c r="V295" s="10">
        <f>IF(G295="","",SUMIFS(回款核销!$H:$H,回款核销!$C:$C,G295)+SUMIFS(回款核销!$H:$H,回款核销!$B:$B,D295,回款核销!$C:$C,""))</f>
        <v/>
      </c>
      <c r="W295" s="10">
        <f>IF(Q295="","",MAX(0,Q295-V295))</f>
        <v/>
      </c>
      <c r="X295" s="9" t="n"/>
      <c r="Y295" s="10">
        <f>IF(OR(N295="",X295=""),"",N295*X295)</f>
        <v/>
      </c>
      <c r="Z295" s="10">
        <f>IF(OR(Q295="",Y295=""),"",Q295-Y295)</f>
        <v/>
      </c>
      <c r="AA295" s="9" t="n"/>
      <c r="AB295" s="9" t="n"/>
    </row>
    <row r="296" ht="22" customHeight="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10">
        <f>IF(OR(N296="",P296=""),"",N296*P296)</f>
        <v/>
      </c>
      <c r="R296" s="9" t="n"/>
      <c r="S296" s="9" t="n"/>
      <c r="T296" s="9" t="n"/>
      <c r="U296" s="9">
        <f>IF(Q296="","",IF(W296=0,"已付款PAID",IF(V296&gt;0,"部分核销","未付款N/P")))</f>
        <v/>
      </c>
      <c r="V296" s="10">
        <f>IF(G296="","",SUMIFS(回款核销!$H:$H,回款核销!$C:$C,G296)+SUMIFS(回款核销!$H:$H,回款核销!$B:$B,D296,回款核销!$C:$C,""))</f>
        <v/>
      </c>
      <c r="W296" s="10">
        <f>IF(Q296="","",MAX(0,Q296-V296))</f>
        <v/>
      </c>
      <c r="X296" s="9" t="n"/>
      <c r="Y296" s="10">
        <f>IF(OR(N296="",X296=""),"",N296*X296)</f>
        <v/>
      </c>
      <c r="Z296" s="10">
        <f>IF(OR(Q296="",Y296=""),"",Q296-Y296)</f>
        <v/>
      </c>
      <c r="AA296" s="9" t="n"/>
      <c r="AB296" s="9" t="n"/>
    </row>
    <row r="297" ht="22" customHeight="1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10">
        <f>IF(OR(N297="",P297=""),"",N297*P297)</f>
        <v/>
      </c>
      <c r="R297" s="9" t="n"/>
      <c r="S297" s="9" t="n"/>
      <c r="T297" s="9" t="n"/>
      <c r="U297" s="9">
        <f>IF(Q297="","",IF(W297=0,"已付款PAID",IF(V297&gt;0,"部分核销","未付款N/P")))</f>
        <v/>
      </c>
      <c r="V297" s="10">
        <f>IF(G297="","",SUMIFS(回款核销!$H:$H,回款核销!$C:$C,G297)+SUMIFS(回款核销!$H:$H,回款核销!$B:$B,D297,回款核销!$C:$C,""))</f>
        <v/>
      </c>
      <c r="W297" s="10">
        <f>IF(Q297="","",MAX(0,Q297-V297))</f>
        <v/>
      </c>
      <c r="X297" s="9" t="n"/>
      <c r="Y297" s="10">
        <f>IF(OR(N297="",X297=""),"",N297*X297)</f>
        <v/>
      </c>
      <c r="Z297" s="10">
        <f>IF(OR(Q297="",Y297=""),"",Q297-Y297)</f>
        <v/>
      </c>
      <c r="AA297" s="9" t="n"/>
      <c r="AB297" s="9" t="n"/>
    </row>
    <row r="298" ht="22" customHeight="1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10">
        <f>IF(OR(N298="",P298=""),"",N298*P298)</f>
        <v/>
      </c>
      <c r="R298" s="9" t="n"/>
      <c r="S298" s="9" t="n"/>
      <c r="T298" s="9" t="n"/>
      <c r="U298" s="9">
        <f>IF(Q298="","",IF(W298=0,"已付款PAID",IF(V298&gt;0,"部分核销","未付款N/P")))</f>
        <v/>
      </c>
      <c r="V298" s="10">
        <f>IF(G298="","",SUMIFS(回款核销!$H:$H,回款核销!$C:$C,G298)+SUMIFS(回款核销!$H:$H,回款核销!$B:$B,D298,回款核销!$C:$C,""))</f>
        <v/>
      </c>
      <c r="W298" s="10">
        <f>IF(Q298="","",MAX(0,Q298-V298))</f>
        <v/>
      </c>
      <c r="X298" s="9" t="n"/>
      <c r="Y298" s="10">
        <f>IF(OR(N298="",X298=""),"",N298*X298)</f>
        <v/>
      </c>
      <c r="Z298" s="10">
        <f>IF(OR(Q298="",Y298=""),"",Q298-Y298)</f>
        <v/>
      </c>
      <c r="AA298" s="9" t="n"/>
      <c r="AB298" s="9" t="n"/>
    </row>
    <row r="299" ht="22" customHeight="1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10">
        <f>IF(OR(N299="",P299=""),"",N299*P299)</f>
        <v/>
      </c>
      <c r="R299" s="9" t="n"/>
      <c r="S299" s="9" t="n"/>
      <c r="T299" s="9" t="n"/>
      <c r="U299" s="9">
        <f>IF(Q299="","",IF(W299=0,"已付款PAID",IF(V299&gt;0,"部分核销","未付款N/P")))</f>
        <v/>
      </c>
      <c r="V299" s="10">
        <f>IF(G299="","",SUMIFS(回款核销!$H:$H,回款核销!$C:$C,G299)+SUMIFS(回款核销!$H:$H,回款核销!$B:$B,D299,回款核销!$C:$C,""))</f>
        <v/>
      </c>
      <c r="W299" s="10">
        <f>IF(Q299="","",MAX(0,Q299-V299))</f>
        <v/>
      </c>
      <c r="X299" s="9" t="n"/>
      <c r="Y299" s="10">
        <f>IF(OR(N299="",X299=""),"",N299*X299)</f>
        <v/>
      </c>
      <c r="Z299" s="10">
        <f>IF(OR(Q299="",Y299=""),"",Q299-Y299)</f>
        <v/>
      </c>
      <c r="AA299" s="9" t="n"/>
      <c r="AB299" s="9" t="n"/>
    </row>
    <row r="300" ht="22" customHeight="1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10">
        <f>IF(OR(N300="",P300=""),"",N300*P300)</f>
        <v/>
      </c>
      <c r="R300" s="9" t="n"/>
      <c r="S300" s="9" t="n"/>
      <c r="T300" s="9" t="n"/>
      <c r="U300" s="9">
        <f>IF(Q300="","",IF(W300=0,"已付款PAID",IF(V300&gt;0,"部分核销","未付款N/P")))</f>
        <v/>
      </c>
      <c r="V300" s="10">
        <f>IF(G300="","",SUMIFS(回款核销!$H:$H,回款核销!$C:$C,G300)+SUMIFS(回款核销!$H:$H,回款核销!$B:$B,D300,回款核销!$C:$C,""))</f>
        <v/>
      </c>
      <c r="W300" s="10">
        <f>IF(Q300="","",MAX(0,Q300-V300))</f>
        <v/>
      </c>
      <c r="X300" s="9" t="n"/>
      <c r="Y300" s="10">
        <f>IF(OR(N300="",X300=""),"",N300*X300)</f>
        <v/>
      </c>
      <c r="Z300" s="10">
        <f>IF(OR(Q300="",Y300=""),"",Q300-Y300)</f>
        <v/>
      </c>
      <c r="AA300" s="9" t="n"/>
      <c r="AB300" s="9" t="n"/>
    </row>
    <row r="301" ht="22" customHeight="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10">
        <f>IF(OR(N301="",P301=""),"",N301*P301)</f>
        <v/>
      </c>
      <c r="R301" s="9" t="n"/>
      <c r="S301" s="9" t="n"/>
      <c r="T301" s="9" t="n"/>
      <c r="U301" s="9">
        <f>IF(Q301="","",IF(W301=0,"已付款PAID",IF(V301&gt;0,"部分核销","未付款N/P")))</f>
        <v/>
      </c>
      <c r="V301" s="10">
        <f>IF(G301="","",SUMIFS(回款核销!$H:$H,回款核销!$C:$C,G301)+SUMIFS(回款核销!$H:$H,回款核销!$B:$B,D301,回款核销!$C:$C,""))</f>
        <v/>
      </c>
      <c r="W301" s="10">
        <f>IF(Q301="","",MAX(0,Q301-V301))</f>
        <v/>
      </c>
      <c r="X301" s="9" t="n"/>
      <c r="Y301" s="10">
        <f>IF(OR(N301="",X301=""),"",N301*X301)</f>
        <v/>
      </c>
      <c r="Z301" s="10">
        <f>IF(OR(Q301="",Y301=""),"",Q301-Y301)</f>
        <v/>
      </c>
      <c r="AA301" s="9" t="n"/>
      <c r="AB301" s="9" t="n"/>
    </row>
    <row r="302" ht="22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10">
        <f>IF(OR(N302="",P302=""),"",N302*P302)</f>
        <v/>
      </c>
      <c r="R302" s="9" t="n"/>
      <c r="S302" s="9" t="n"/>
      <c r="T302" s="9" t="n"/>
      <c r="U302" s="9">
        <f>IF(Q302="","",IF(W302=0,"已付款PAID",IF(V302&gt;0,"部分核销","未付款N/P")))</f>
        <v/>
      </c>
      <c r="V302" s="10">
        <f>IF(G302="","",SUMIFS(回款核销!$H:$H,回款核销!$C:$C,G302)+SUMIFS(回款核销!$H:$H,回款核销!$B:$B,D302,回款核销!$C:$C,""))</f>
        <v/>
      </c>
      <c r="W302" s="10">
        <f>IF(Q302="","",MAX(0,Q302-V302))</f>
        <v/>
      </c>
      <c r="X302" s="9" t="n"/>
      <c r="Y302" s="10">
        <f>IF(OR(N302="",X302=""),"",N302*X302)</f>
        <v/>
      </c>
      <c r="Z302" s="10">
        <f>IF(OR(Q302="",Y302=""),"",Q302-Y302)</f>
        <v/>
      </c>
      <c r="AA302" s="9" t="n"/>
      <c r="AB302" s="9" t="n"/>
    </row>
    <row r="303" ht="22" customHeight="1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10">
        <f>IF(OR(N303="",P303=""),"",N303*P303)</f>
        <v/>
      </c>
      <c r="R303" s="9" t="n"/>
      <c r="S303" s="9" t="n"/>
      <c r="T303" s="9" t="n"/>
      <c r="U303" s="9">
        <f>IF(Q303="","",IF(W303=0,"已付款PAID",IF(V303&gt;0,"部分核销","未付款N/P")))</f>
        <v/>
      </c>
      <c r="V303" s="10">
        <f>IF(G303="","",SUMIFS(回款核销!$H:$H,回款核销!$C:$C,G303)+SUMIFS(回款核销!$H:$H,回款核销!$B:$B,D303,回款核销!$C:$C,""))</f>
        <v/>
      </c>
      <c r="W303" s="10">
        <f>IF(Q303="","",MAX(0,Q303-V303))</f>
        <v/>
      </c>
      <c r="X303" s="9" t="n"/>
      <c r="Y303" s="10">
        <f>IF(OR(N303="",X303=""),"",N303*X303)</f>
        <v/>
      </c>
      <c r="Z303" s="10">
        <f>IF(OR(Q303="",Y303=""),"",Q303-Y303)</f>
        <v/>
      </c>
      <c r="AA303" s="9" t="n"/>
      <c r="AB303" s="9" t="n"/>
    </row>
    <row r="304" ht="22" customHeight="1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10">
        <f>IF(OR(N304="",P304=""),"",N304*P304)</f>
        <v/>
      </c>
      <c r="R304" s="9" t="n"/>
      <c r="S304" s="9" t="n"/>
      <c r="T304" s="9" t="n"/>
      <c r="U304" s="9">
        <f>IF(Q304="","",IF(W304=0,"已付款PAID",IF(V304&gt;0,"部分核销","未付款N/P")))</f>
        <v/>
      </c>
      <c r="V304" s="10">
        <f>IF(G304="","",SUMIFS(回款核销!$H:$H,回款核销!$C:$C,G304)+SUMIFS(回款核销!$H:$H,回款核销!$B:$B,D304,回款核销!$C:$C,""))</f>
        <v/>
      </c>
      <c r="W304" s="10">
        <f>IF(Q304="","",MAX(0,Q304-V304))</f>
        <v/>
      </c>
      <c r="X304" s="9" t="n"/>
      <c r="Y304" s="10">
        <f>IF(OR(N304="",X304=""),"",N304*X304)</f>
        <v/>
      </c>
      <c r="Z304" s="10">
        <f>IF(OR(Q304="",Y304=""),"",Q304-Y304)</f>
        <v/>
      </c>
      <c r="AA304" s="9" t="n"/>
      <c r="AB304" s="9" t="n"/>
    </row>
    <row r="305" ht="22" customHeight="1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10">
        <f>IF(OR(N305="",P305=""),"",N305*P305)</f>
        <v/>
      </c>
      <c r="R305" s="9" t="n"/>
      <c r="S305" s="9" t="n"/>
      <c r="T305" s="9" t="n"/>
      <c r="U305" s="9">
        <f>IF(Q305="","",IF(W305=0,"已付款PAID",IF(V305&gt;0,"部分核销","未付款N/P")))</f>
        <v/>
      </c>
      <c r="V305" s="10">
        <f>IF(G305="","",SUMIFS(回款核销!$H:$H,回款核销!$C:$C,G305)+SUMIFS(回款核销!$H:$H,回款核销!$B:$B,D305,回款核销!$C:$C,""))</f>
        <v/>
      </c>
      <c r="W305" s="10">
        <f>IF(Q305="","",MAX(0,Q305-V305))</f>
        <v/>
      </c>
      <c r="X305" s="9" t="n"/>
      <c r="Y305" s="10">
        <f>IF(OR(N305="",X305=""),"",N305*X305)</f>
        <v/>
      </c>
      <c r="Z305" s="10">
        <f>IF(OR(Q305="",Y305=""),"",Q305-Y305)</f>
        <v/>
      </c>
      <c r="AA305" s="9" t="n"/>
      <c r="AB305" s="9" t="n"/>
    </row>
    <row r="306" ht="22" customHeight="1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10">
        <f>IF(OR(N306="",P306=""),"",N306*P306)</f>
        <v/>
      </c>
      <c r="R306" s="9" t="n"/>
      <c r="S306" s="9" t="n"/>
      <c r="T306" s="9" t="n"/>
      <c r="U306" s="9">
        <f>IF(Q306="","",IF(W306=0,"已付款PAID",IF(V306&gt;0,"部分核销","未付款N/P")))</f>
        <v/>
      </c>
      <c r="V306" s="10">
        <f>IF(G306="","",SUMIFS(回款核销!$H:$H,回款核销!$C:$C,G306)+SUMIFS(回款核销!$H:$H,回款核销!$B:$B,D306,回款核销!$C:$C,""))</f>
        <v/>
      </c>
      <c r="W306" s="10">
        <f>IF(Q306="","",MAX(0,Q306-V306))</f>
        <v/>
      </c>
      <c r="X306" s="9" t="n"/>
      <c r="Y306" s="10">
        <f>IF(OR(N306="",X306=""),"",N306*X306)</f>
        <v/>
      </c>
      <c r="Z306" s="10">
        <f>IF(OR(Q306="",Y306=""),"",Q306-Y306)</f>
        <v/>
      </c>
      <c r="AA306" s="9" t="n"/>
      <c r="AB306" s="9" t="n"/>
    </row>
    <row r="307" ht="22" customHeight="1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10">
        <f>IF(OR(N307="",P307=""),"",N307*P307)</f>
        <v/>
      </c>
      <c r="R307" s="9" t="n"/>
      <c r="S307" s="9" t="n"/>
      <c r="T307" s="9" t="n"/>
      <c r="U307" s="9">
        <f>IF(Q307="","",IF(W307=0,"已付款PAID",IF(V307&gt;0,"部分核销","未付款N/P")))</f>
        <v/>
      </c>
      <c r="V307" s="10">
        <f>IF(G307="","",SUMIFS(回款核销!$H:$H,回款核销!$C:$C,G307)+SUMIFS(回款核销!$H:$H,回款核销!$B:$B,D307,回款核销!$C:$C,""))</f>
        <v/>
      </c>
      <c r="W307" s="10">
        <f>IF(Q307="","",MAX(0,Q307-V307))</f>
        <v/>
      </c>
      <c r="X307" s="9" t="n"/>
      <c r="Y307" s="10">
        <f>IF(OR(N307="",X307=""),"",N307*X307)</f>
        <v/>
      </c>
      <c r="Z307" s="10">
        <f>IF(OR(Q307="",Y307=""),"",Q307-Y307)</f>
        <v/>
      </c>
      <c r="AA307" s="9" t="n"/>
      <c r="AB307" s="9" t="n"/>
    </row>
    <row r="308" ht="22" customHeight="1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10">
        <f>IF(OR(N308="",P308=""),"",N308*P308)</f>
        <v/>
      </c>
      <c r="R308" s="9" t="n"/>
      <c r="S308" s="9" t="n"/>
      <c r="T308" s="9" t="n"/>
      <c r="U308" s="9">
        <f>IF(Q308="","",IF(W308=0,"已付款PAID",IF(V308&gt;0,"部分核销","未付款N/P")))</f>
        <v/>
      </c>
      <c r="V308" s="10">
        <f>IF(G308="","",SUMIFS(回款核销!$H:$H,回款核销!$C:$C,G308)+SUMIFS(回款核销!$H:$H,回款核销!$B:$B,D308,回款核销!$C:$C,""))</f>
        <v/>
      </c>
      <c r="W308" s="10">
        <f>IF(Q308="","",MAX(0,Q308-V308))</f>
        <v/>
      </c>
      <c r="X308" s="9" t="n"/>
      <c r="Y308" s="10">
        <f>IF(OR(N308="",X308=""),"",N308*X308)</f>
        <v/>
      </c>
      <c r="Z308" s="10">
        <f>IF(OR(Q308="",Y308=""),"",Q308-Y308)</f>
        <v/>
      </c>
      <c r="AA308" s="9" t="n"/>
      <c r="AB308" s="9" t="n"/>
    </row>
    <row r="309" ht="22" customHeight="1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10">
        <f>IF(OR(N309="",P309=""),"",N309*P309)</f>
        <v/>
      </c>
      <c r="R309" s="9" t="n"/>
      <c r="S309" s="9" t="n"/>
      <c r="T309" s="9" t="n"/>
      <c r="U309" s="9">
        <f>IF(Q309="","",IF(W309=0,"已付款PAID",IF(V309&gt;0,"部分核销","未付款N/P")))</f>
        <v/>
      </c>
      <c r="V309" s="10">
        <f>IF(G309="","",SUMIFS(回款核销!$H:$H,回款核销!$C:$C,G309)+SUMIFS(回款核销!$H:$H,回款核销!$B:$B,D309,回款核销!$C:$C,""))</f>
        <v/>
      </c>
      <c r="W309" s="10">
        <f>IF(Q309="","",MAX(0,Q309-V309))</f>
        <v/>
      </c>
      <c r="X309" s="9" t="n"/>
      <c r="Y309" s="10">
        <f>IF(OR(N309="",X309=""),"",N309*X309)</f>
        <v/>
      </c>
      <c r="Z309" s="10">
        <f>IF(OR(Q309="",Y309=""),"",Q309-Y309)</f>
        <v/>
      </c>
      <c r="AA309" s="9" t="n"/>
      <c r="AB309" s="9" t="n"/>
    </row>
    <row r="310" ht="22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10">
        <f>IF(OR(N310="",P310=""),"",N310*P310)</f>
        <v/>
      </c>
      <c r="R310" s="9" t="n"/>
      <c r="S310" s="9" t="n"/>
      <c r="T310" s="9" t="n"/>
      <c r="U310" s="9">
        <f>IF(Q310="","",IF(W310=0,"已付款PAID",IF(V310&gt;0,"部分核销","未付款N/P")))</f>
        <v/>
      </c>
      <c r="V310" s="10">
        <f>IF(G310="","",SUMIFS(回款核销!$H:$H,回款核销!$C:$C,G310)+SUMIFS(回款核销!$H:$H,回款核销!$B:$B,D310,回款核销!$C:$C,""))</f>
        <v/>
      </c>
      <c r="W310" s="10">
        <f>IF(Q310="","",MAX(0,Q310-V310))</f>
        <v/>
      </c>
      <c r="X310" s="9" t="n"/>
      <c r="Y310" s="10">
        <f>IF(OR(N310="",X310=""),"",N310*X310)</f>
        <v/>
      </c>
      <c r="Z310" s="10">
        <f>IF(OR(Q310="",Y310=""),"",Q310-Y310)</f>
        <v/>
      </c>
      <c r="AA310" s="9" t="n"/>
      <c r="AB310" s="9" t="n"/>
    </row>
    <row r="311" ht="22" customHeight="1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10">
        <f>IF(OR(N311="",P311=""),"",N311*P311)</f>
        <v/>
      </c>
      <c r="R311" s="9" t="n"/>
      <c r="S311" s="9" t="n"/>
      <c r="T311" s="9" t="n"/>
      <c r="U311" s="9">
        <f>IF(Q311="","",IF(W311=0,"已付款PAID",IF(V311&gt;0,"部分核销","未付款N/P")))</f>
        <v/>
      </c>
      <c r="V311" s="10">
        <f>IF(G311="","",SUMIFS(回款核销!$H:$H,回款核销!$C:$C,G311)+SUMIFS(回款核销!$H:$H,回款核销!$B:$B,D311,回款核销!$C:$C,""))</f>
        <v/>
      </c>
      <c r="W311" s="10">
        <f>IF(Q311="","",MAX(0,Q311-V311))</f>
        <v/>
      </c>
      <c r="X311" s="9" t="n"/>
      <c r="Y311" s="10">
        <f>IF(OR(N311="",X311=""),"",N311*X311)</f>
        <v/>
      </c>
      <c r="Z311" s="10">
        <f>IF(OR(Q311="",Y311=""),"",Q311-Y311)</f>
        <v/>
      </c>
      <c r="AA311" s="9" t="n"/>
      <c r="AB311" s="9" t="n"/>
    </row>
    <row r="312" ht="22" customHeight="1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10">
        <f>IF(OR(N312="",P312=""),"",N312*P312)</f>
        <v/>
      </c>
      <c r="R312" s="9" t="n"/>
      <c r="S312" s="9" t="n"/>
      <c r="T312" s="9" t="n"/>
      <c r="U312" s="9">
        <f>IF(Q312="","",IF(W312=0,"已付款PAID",IF(V312&gt;0,"部分核销","未付款N/P")))</f>
        <v/>
      </c>
      <c r="V312" s="10">
        <f>IF(G312="","",SUMIFS(回款核销!$H:$H,回款核销!$C:$C,G312)+SUMIFS(回款核销!$H:$H,回款核销!$B:$B,D312,回款核销!$C:$C,""))</f>
        <v/>
      </c>
      <c r="W312" s="10">
        <f>IF(Q312="","",MAX(0,Q312-V312))</f>
        <v/>
      </c>
      <c r="X312" s="9" t="n"/>
      <c r="Y312" s="10">
        <f>IF(OR(N312="",X312=""),"",N312*X312)</f>
        <v/>
      </c>
      <c r="Z312" s="10">
        <f>IF(OR(Q312="",Y312=""),"",Q312-Y312)</f>
        <v/>
      </c>
      <c r="AA312" s="9" t="n"/>
      <c r="AB312" s="9" t="n"/>
    </row>
    <row r="313" ht="22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10">
        <f>IF(OR(N313="",P313=""),"",N313*P313)</f>
        <v/>
      </c>
      <c r="R313" s="9" t="n"/>
      <c r="S313" s="9" t="n"/>
      <c r="T313" s="9" t="n"/>
      <c r="U313" s="9">
        <f>IF(Q313="","",IF(W313=0,"已付款PAID",IF(V313&gt;0,"部分核销","未付款N/P")))</f>
        <v/>
      </c>
      <c r="V313" s="10">
        <f>IF(G313="","",SUMIFS(回款核销!$H:$H,回款核销!$C:$C,G313)+SUMIFS(回款核销!$H:$H,回款核销!$B:$B,D313,回款核销!$C:$C,""))</f>
        <v/>
      </c>
      <c r="W313" s="10">
        <f>IF(Q313="","",MAX(0,Q313-V313))</f>
        <v/>
      </c>
      <c r="X313" s="9" t="n"/>
      <c r="Y313" s="10">
        <f>IF(OR(N313="",X313=""),"",N313*X313)</f>
        <v/>
      </c>
      <c r="Z313" s="10">
        <f>IF(OR(Q313="",Y313=""),"",Q313-Y313)</f>
        <v/>
      </c>
      <c r="AA313" s="9" t="n"/>
      <c r="AB313" s="9" t="n"/>
    </row>
    <row r="314" ht="22" customHeight="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10">
        <f>IF(OR(N314="",P314=""),"",N314*P314)</f>
        <v/>
      </c>
      <c r="R314" s="9" t="n"/>
      <c r="S314" s="9" t="n"/>
      <c r="T314" s="9" t="n"/>
      <c r="U314" s="9">
        <f>IF(Q314="","",IF(W314=0,"已付款PAID",IF(V314&gt;0,"部分核销","未付款N/P")))</f>
        <v/>
      </c>
      <c r="V314" s="10">
        <f>IF(G314="","",SUMIFS(回款核销!$H:$H,回款核销!$C:$C,G314)+SUMIFS(回款核销!$H:$H,回款核销!$B:$B,D314,回款核销!$C:$C,""))</f>
        <v/>
      </c>
      <c r="W314" s="10">
        <f>IF(Q314="","",MAX(0,Q314-V314))</f>
        <v/>
      </c>
      <c r="X314" s="9" t="n"/>
      <c r="Y314" s="10">
        <f>IF(OR(N314="",X314=""),"",N314*X314)</f>
        <v/>
      </c>
      <c r="Z314" s="10">
        <f>IF(OR(Q314="",Y314=""),"",Q314-Y314)</f>
        <v/>
      </c>
      <c r="AA314" s="9" t="n"/>
      <c r="AB314" s="9" t="n"/>
    </row>
    <row r="315" ht="22" customHeight="1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10">
        <f>IF(OR(N315="",P315=""),"",N315*P315)</f>
        <v/>
      </c>
      <c r="R315" s="9" t="n"/>
      <c r="S315" s="9" t="n"/>
      <c r="T315" s="9" t="n"/>
      <c r="U315" s="9">
        <f>IF(Q315="","",IF(W315=0,"已付款PAID",IF(V315&gt;0,"部分核销","未付款N/P")))</f>
        <v/>
      </c>
      <c r="V315" s="10">
        <f>IF(G315="","",SUMIFS(回款核销!$H:$H,回款核销!$C:$C,G315)+SUMIFS(回款核销!$H:$H,回款核销!$B:$B,D315,回款核销!$C:$C,""))</f>
        <v/>
      </c>
      <c r="W315" s="10">
        <f>IF(Q315="","",MAX(0,Q315-V315))</f>
        <v/>
      </c>
      <c r="X315" s="9" t="n"/>
      <c r="Y315" s="10">
        <f>IF(OR(N315="",X315=""),"",N315*X315)</f>
        <v/>
      </c>
      <c r="Z315" s="10">
        <f>IF(OR(Q315="",Y315=""),"",Q315-Y315)</f>
        <v/>
      </c>
      <c r="AA315" s="9" t="n"/>
      <c r="AB315" s="9" t="n"/>
    </row>
    <row r="316" ht="22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10">
        <f>IF(OR(N316="",P316=""),"",N316*P316)</f>
        <v/>
      </c>
      <c r="R316" s="9" t="n"/>
      <c r="S316" s="9" t="n"/>
      <c r="T316" s="9" t="n"/>
      <c r="U316" s="9">
        <f>IF(Q316="","",IF(W316=0,"已付款PAID",IF(V316&gt;0,"部分核销","未付款N/P")))</f>
        <v/>
      </c>
      <c r="V316" s="10">
        <f>IF(G316="","",SUMIFS(回款核销!$H:$H,回款核销!$C:$C,G316)+SUMIFS(回款核销!$H:$H,回款核销!$B:$B,D316,回款核销!$C:$C,""))</f>
        <v/>
      </c>
      <c r="W316" s="10">
        <f>IF(Q316="","",MAX(0,Q316-V316))</f>
        <v/>
      </c>
      <c r="X316" s="9" t="n"/>
      <c r="Y316" s="10">
        <f>IF(OR(N316="",X316=""),"",N316*X316)</f>
        <v/>
      </c>
      <c r="Z316" s="10">
        <f>IF(OR(Q316="",Y316=""),"",Q316-Y316)</f>
        <v/>
      </c>
      <c r="AA316" s="9" t="n"/>
      <c r="AB316" s="9" t="n"/>
    </row>
    <row r="317" ht="22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10">
        <f>IF(OR(N317="",P317=""),"",N317*P317)</f>
        <v/>
      </c>
      <c r="R317" s="9" t="n"/>
      <c r="S317" s="9" t="n"/>
      <c r="T317" s="9" t="n"/>
      <c r="U317" s="9">
        <f>IF(Q317="","",IF(W317=0,"已付款PAID",IF(V317&gt;0,"部分核销","未付款N/P")))</f>
        <v/>
      </c>
      <c r="V317" s="10">
        <f>IF(G317="","",SUMIFS(回款核销!$H:$H,回款核销!$C:$C,G317)+SUMIFS(回款核销!$H:$H,回款核销!$B:$B,D317,回款核销!$C:$C,""))</f>
        <v/>
      </c>
      <c r="W317" s="10">
        <f>IF(Q317="","",MAX(0,Q317-V317))</f>
        <v/>
      </c>
      <c r="X317" s="9" t="n"/>
      <c r="Y317" s="10">
        <f>IF(OR(N317="",X317=""),"",N317*X317)</f>
        <v/>
      </c>
      <c r="Z317" s="10">
        <f>IF(OR(Q317="",Y317=""),"",Q317-Y317)</f>
        <v/>
      </c>
      <c r="AA317" s="9" t="n"/>
      <c r="AB317" s="9" t="n"/>
    </row>
    <row r="318" ht="22" customHeight="1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10">
        <f>IF(OR(N318="",P318=""),"",N318*P318)</f>
        <v/>
      </c>
      <c r="R318" s="9" t="n"/>
      <c r="S318" s="9" t="n"/>
      <c r="T318" s="9" t="n"/>
      <c r="U318" s="9">
        <f>IF(Q318="","",IF(W318=0,"已付款PAID",IF(V318&gt;0,"部分核销","未付款N/P")))</f>
        <v/>
      </c>
      <c r="V318" s="10">
        <f>IF(G318="","",SUMIFS(回款核销!$H:$H,回款核销!$C:$C,G318)+SUMIFS(回款核销!$H:$H,回款核销!$B:$B,D318,回款核销!$C:$C,""))</f>
        <v/>
      </c>
      <c r="W318" s="10">
        <f>IF(Q318="","",MAX(0,Q318-V318))</f>
        <v/>
      </c>
      <c r="X318" s="9" t="n"/>
      <c r="Y318" s="10">
        <f>IF(OR(N318="",X318=""),"",N318*X318)</f>
        <v/>
      </c>
      <c r="Z318" s="10">
        <f>IF(OR(Q318="",Y318=""),"",Q318-Y318)</f>
        <v/>
      </c>
      <c r="AA318" s="9" t="n"/>
      <c r="AB318" s="9" t="n"/>
    </row>
    <row r="319" ht="22" customHeight="1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10">
        <f>IF(OR(N319="",P319=""),"",N319*P319)</f>
        <v/>
      </c>
      <c r="R319" s="9" t="n"/>
      <c r="S319" s="9" t="n"/>
      <c r="T319" s="9" t="n"/>
      <c r="U319" s="9">
        <f>IF(Q319="","",IF(W319=0,"已付款PAID",IF(V319&gt;0,"部分核销","未付款N/P")))</f>
        <v/>
      </c>
      <c r="V319" s="10">
        <f>IF(G319="","",SUMIFS(回款核销!$H:$H,回款核销!$C:$C,G319)+SUMIFS(回款核销!$H:$H,回款核销!$B:$B,D319,回款核销!$C:$C,""))</f>
        <v/>
      </c>
      <c r="W319" s="10">
        <f>IF(Q319="","",MAX(0,Q319-V319))</f>
        <v/>
      </c>
      <c r="X319" s="9" t="n"/>
      <c r="Y319" s="10">
        <f>IF(OR(N319="",X319=""),"",N319*X319)</f>
        <v/>
      </c>
      <c r="Z319" s="10">
        <f>IF(OR(Q319="",Y319=""),"",Q319-Y319)</f>
        <v/>
      </c>
      <c r="AA319" s="9" t="n"/>
      <c r="AB319" s="9" t="n"/>
    </row>
    <row r="320" ht="22" customHeight="1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10">
        <f>IF(OR(N320="",P320=""),"",N320*P320)</f>
        <v/>
      </c>
      <c r="R320" s="9" t="n"/>
      <c r="S320" s="9" t="n"/>
      <c r="T320" s="9" t="n"/>
      <c r="U320" s="9">
        <f>IF(Q320="","",IF(W320=0,"已付款PAID",IF(V320&gt;0,"部分核销","未付款N/P")))</f>
        <v/>
      </c>
      <c r="V320" s="10">
        <f>IF(G320="","",SUMIFS(回款核销!$H:$H,回款核销!$C:$C,G320)+SUMIFS(回款核销!$H:$H,回款核销!$B:$B,D320,回款核销!$C:$C,""))</f>
        <v/>
      </c>
      <c r="W320" s="10">
        <f>IF(Q320="","",MAX(0,Q320-V320))</f>
        <v/>
      </c>
      <c r="X320" s="9" t="n"/>
      <c r="Y320" s="10">
        <f>IF(OR(N320="",X320=""),"",N320*X320)</f>
        <v/>
      </c>
      <c r="Z320" s="10">
        <f>IF(OR(Q320="",Y320=""),"",Q320-Y320)</f>
        <v/>
      </c>
      <c r="AA320" s="9" t="n"/>
      <c r="AB320" s="9" t="n"/>
    </row>
    <row r="321" ht="22" customHeight="1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10">
        <f>IF(OR(N321="",P321=""),"",N321*P321)</f>
        <v/>
      </c>
      <c r="R321" s="9" t="n"/>
      <c r="S321" s="9" t="n"/>
      <c r="T321" s="9" t="n"/>
      <c r="U321" s="9">
        <f>IF(Q321="","",IF(W321=0,"已付款PAID",IF(V321&gt;0,"部分核销","未付款N/P")))</f>
        <v/>
      </c>
      <c r="V321" s="10">
        <f>IF(G321="","",SUMIFS(回款核销!$H:$H,回款核销!$C:$C,G321)+SUMIFS(回款核销!$H:$H,回款核销!$B:$B,D321,回款核销!$C:$C,""))</f>
        <v/>
      </c>
      <c r="W321" s="10">
        <f>IF(Q321="","",MAX(0,Q321-V321))</f>
        <v/>
      </c>
      <c r="X321" s="9" t="n"/>
      <c r="Y321" s="10">
        <f>IF(OR(N321="",X321=""),"",N321*X321)</f>
        <v/>
      </c>
      <c r="Z321" s="10">
        <f>IF(OR(Q321="",Y321=""),"",Q321-Y321)</f>
        <v/>
      </c>
      <c r="AA321" s="9" t="n"/>
      <c r="AB321" s="9" t="n"/>
    </row>
    <row r="322" ht="22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10">
        <f>IF(OR(N322="",P322=""),"",N322*P322)</f>
        <v/>
      </c>
      <c r="R322" s="9" t="n"/>
      <c r="S322" s="9" t="n"/>
      <c r="T322" s="9" t="n"/>
      <c r="U322" s="9">
        <f>IF(Q322="","",IF(W322=0,"已付款PAID",IF(V322&gt;0,"部分核销","未付款N/P")))</f>
        <v/>
      </c>
      <c r="V322" s="10">
        <f>IF(G322="","",SUMIFS(回款核销!$H:$H,回款核销!$C:$C,G322)+SUMIFS(回款核销!$H:$H,回款核销!$B:$B,D322,回款核销!$C:$C,""))</f>
        <v/>
      </c>
      <c r="W322" s="10">
        <f>IF(Q322="","",MAX(0,Q322-V322))</f>
        <v/>
      </c>
      <c r="X322" s="9" t="n"/>
      <c r="Y322" s="10">
        <f>IF(OR(N322="",X322=""),"",N322*X322)</f>
        <v/>
      </c>
      <c r="Z322" s="10">
        <f>IF(OR(Q322="",Y322=""),"",Q322-Y322)</f>
        <v/>
      </c>
      <c r="AA322" s="9" t="n"/>
      <c r="AB322" s="9" t="n"/>
    </row>
    <row r="323" ht="22" customHeight="1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10">
        <f>IF(OR(N323="",P323=""),"",N323*P323)</f>
        <v/>
      </c>
      <c r="R323" s="9" t="n"/>
      <c r="S323" s="9" t="n"/>
      <c r="T323" s="9" t="n"/>
      <c r="U323" s="9">
        <f>IF(Q323="","",IF(W323=0,"已付款PAID",IF(V323&gt;0,"部分核销","未付款N/P")))</f>
        <v/>
      </c>
      <c r="V323" s="10">
        <f>IF(G323="","",SUMIFS(回款核销!$H:$H,回款核销!$C:$C,G323)+SUMIFS(回款核销!$H:$H,回款核销!$B:$B,D323,回款核销!$C:$C,""))</f>
        <v/>
      </c>
      <c r="W323" s="10">
        <f>IF(Q323="","",MAX(0,Q323-V323))</f>
        <v/>
      </c>
      <c r="X323" s="9" t="n"/>
      <c r="Y323" s="10">
        <f>IF(OR(N323="",X323=""),"",N323*X323)</f>
        <v/>
      </c>
      <c r="Z323" s="10">
        <f>IF(OR(Q323="",Y323=""),"",Q323-Y323)</f>
        <v/>
      </c>
      <c r="AA323" s="9" t="n"/>
      <c r="AB323" s="9" t="n"/>
    </row>
    <row r="324" ht="22" customHeight="1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10">
        <f>IF(OR(N324="",P324=""),"",N324*P324)</f>
        <v/>
      </c>
      <c r="R324" s="9" t="n"/>
      <c r="S324" s="9" t="n"/>
      <c r="T324" s="9" t="n"/>
      <c r="U324" s="9">
        <f>IF(Q324="","",IF(W324=0,"已付款PAID",IF(V324&gt;0,"部分核销","未付款N/P")))</f>
        <v/>
      </c>
      <c r="V324" s="10">
        <f>IF(G324="","",SUMIFS(回款核销!$H:$H,回款核销!$C:$C,G324)+SUMIFS(回款核销!$H:$H,回款核销!$B:$B,D324,回款核销!$C:$C,""))</f>
        <v/>
      </c>
      <c r="W324" s="10">
        <f>IF(Q324="","",MAX(0,Q324-V324))</f>
        <v/>
      </c>
      <c r="X324" s="9" t="n"/>
      <c r="Y324" s="10">
        <f>IF(OR(N324="",X324=""),"",N324*X324)</f>
        <v/>
      </c>
      <c r="Z324" s="10">
        <f>IF(OR(Q324="",Y324=""),"",Q324-Y324)</f>
        <v/>
      </c>
      <c r="AA324" s="9" t="n"/>
      <c r="AB324" s="9" t="n"/>
    </row>
    <row r="325" ht="22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10">
        <f>IF(OR(N325="",P325=""),"",N325*P325)</f>
        <v/>
      </c>
      <c r="R325" s="9" t="n"/>
      <c r="S325" s="9" t="n"/>
      <c r="T325" s="9" t="n"/>
      <c r="U325" s="9">
        <f>IF(Q325="","",IF(W325=0,"已付款PAID",IF(V325&gt;0,"部分核销","未付款N/P")))</f>
        <v/>
      </c>
      <c r="V325" s="10">
        <f>IF(G325="","",SUMIFS(回款核销!$H:$H,回款核销!$C:$C,G325)+SUMIFS(回款核销!$H:$H,回款核销!$B:$B,D325,回款核销!$C:$C,""))</f>
        <v/>
      </c>
      <c r="W325" s="10">
        <f>IF(Q325="","",MAX(0,Q325-V325))</f>
        <v/>
      </c>
      <c r="X325" s="9" t="n"/>
      <c r="Y325" s="10">
        <f>IF(OR(N325="",X325=""),"",N325*X325)</f>
        <v/>
      </c>
      <c r="Z325" s="10">
        <f>IF(OR(Q325="",Y325=""),"",Q325-Y325)</f>
        <v/>
      </c>
      <c r="AA325" s="9" t="n"/>
      <c r="AB325" s="9" t="n"/>
    </row>
    <row r="326" ht="22" customHeight="1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10">
        <f>IF(OR(N326="",P326=""),"",N326*P326)</f>
        <v/>
      </c>
      <c r="R326" s="9" t="n"/>
      <c r="S326" s="9" t="n"/>
      <c r="T326" s="9" t="n"/>
      <c r="U326" s="9">
        <f>IF(Q326="","",IF(W326=0,"已付款PAID",IF(V326&gt;0,"部分核销","未付款N/P")))</f>
        <v/>
      </c>
      <c r="V326" s="10">
        <f>IF(G326="","",SUMIFS(回款核销!$H:$H,回款核销!$C:$C,G326)+SUMIFS(回款核销!$H:$H,回款核销!$B:$B,D326,回款核销!$C:$C,""))</f>
        <v/>
      </c>
      <c r="W326" s="10">
        <f>IF(Q326="","",MAX(0,Q326-V326))</f>
        <v/>
      </c>
      <c r="X326" s="9" t="n"/>
      <c r="Y326" s="10">
        <f>IF(OR(N326="",X326=""),"",N326*X326)</f>
        <v/>
      </c>
      <c r="Z326" s="10">
        <f>IF(OR(Q326="",Y326=""),"",Q326-Y326)</f>
        <v/>
      </c>
      <c r="AA326" s="9" t="n"/>
      <c r="AB326" s="9" t="n"/>
    </row>
    <row r="327" ht="22" customHeight="1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10">
        <f>IF(OR(N327="",P327=""),"",N327*P327)</f>
        <v/>
      </c>
      <c r="R327" s="9" t="n"/>
      <c r="S327" s="9" t="n"/>
      <c r="T327" s="9" t="n"/>
      <c r="U327" s="9">
        <f>IF(Q327="","",IF(W327=0,"已付款PAID",IF(V327&gt;0,"部分核销","未付款N/P")))</f>
        <v/>
      </c>
      <c r="V327" s="10">
        <f>IF(G327="","",SUMIFS(回款核销!$H:$H,回款核销!$C:$C,G327)+SUMIFS(回款核销!$H:$H,回款核销!$B:$B,D327,回款核销!$C:$C,""))</f>
        <v/>
      </c>
      <c r="W327" s="10">
        <f>IF(Q327="","",MAX(0,Q327-V327))</f>
        <v/>
      </c>
      <c r="X327" s="9" t="n"/>
      <c r="Y327" s="10">
        <f>IF(OR(N327="",X327=""),"",N327*X327)</f>
        <v/>
      </c>
      <c r="Z327" s="10">
        <f>IF(OR(Q327="",Y327=""),"",Q327-Y327)</f>
        <v/>
      </c>
      <c r="AA327" s="9" t="n"/>
      <c r="AB327" s="9" t="n"/>
    </row>
    <row r="328" ht="22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10">
        <f>IF(OR(N328="",P328=""),"",N328*P328)</f>
        <v/>
      </c>
      <c r="R328" s="9" t="n"/>
      <c r="S328" s="9" t="n"/>
      <c r="T328" s="9" t="n"/>
      <c r="U328" s="9">
        <f>IF(Q328="","",IF(W328=0,"已付款PAID",IF(V328&gt;0,"部分核销","未付款N/P")))</f>
        <v/>
      </c>
      <c r="V328" s="10">
        <f>IF(G328="","",SUMIFS(回款核销!$H:$H,回款核销!$C:$C,G328)+SUMIFS(回款核销!$H:$H,回款核销!$B:$B,D328,回款核销!$C:$C,""))</f>
        <v/>
      </c>
      <c r="W328" s="10">
        <f>IF(Q328="","",MAX(0,Q328-V328))</f>
        <v/>
      </c>
      <c r="X328" s="9" t="n"/>
      <c r="Y328" s="10">
        <f>IF(OR(N328="",X328=""),"",N328*X328)</f>
        <v/>
      </c>
      <c r="Z328" s="10">
        <f>IF(OR(Q328="",Y328=""),"",Q328-Y328)</f>
        <v/>
      </c>
      <c r="AA328" s="9" t="n"/>
      <c r="AB328" s="9" t="n"/>
    </row>
    <row r="329" ht="22" customHeight="1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10">
        <f>IF(OR(N329="",P329=""),"",N329*P329)</f>
        <v/>
      </c>
      <c r="R329" s="9" t="n"/>
      <c r="S329" s="9" t="n"/>
      <c r="T329" s="9" t="n"/>
      <c r="U329" s="9">
        <f>IF(Q329="","",IF(W329=0,"已付款PAID",IF(V329&gt;0,"部分核销","未付款N/P")))</f>
        <v/>
      </c>
      <c r="V329" s="10">
        <f>IF(G329="","",SUMIFS(回款核销!$H:$H,回款核销!$C:$C,G329)+SUMIFS(回款核销!$H:$H,回款核销!$B:$B,D329,回款核销!$C:$C,""))</f>
        <v/>
      </c>
      <c r="W329" s="10">
        <f>IF(Q329="","",MAX(0,Q329-V329))</f>
        <v/>
      </c>
      <c r="X329" s="9" t="n"/>
      <c r="Y329" s="10">
        <f>IF(OR(N329="",X329=""),"",N329*X329)</f>
        <v/>
      </c>
      <c r="Z329" s="10">
        <f>IF(OR(Q329="",Y329=""),"",Q329-Y329)</f>
        <v/>
      </c>
      <c r="AA329" s="9" t="n"/>
      <c r="AB329" s="9" t="n"/>
    </row>
    <row r="330" ht="22" customHeight="1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10">
        <f>IF(OR(N330="",P330=""),"",N330*P330)</f>
        <v/>
      </c>
      <c r="R330" s="9" t="n"/>
      <c r="S330" s="9" t="n"/>
      <c r="T330" s="9" t="n"/>
      <c r="U330" s="9">
        <f>IF(Q330="","",IF(W330=0,"已付款PAID",IF(V330&gt;0,"部分核销","未付款N/P")))</f>
        <v/>
      </c>
      <c r="V330" s="10">
        <f>IF(G330="","",SUMIFS(回款核销!$H:$H,回款核销!$C:$C,G330)+SUMIFS(回款核销!$H:$H,回款核销!$B:$B,D330,回款核销!$C:$C,""))</f>
        <v/>
      </c>
      <c r="W330" s="10">
        <f>IF(Q330="","",MAX(0,Q330-V330))</f>
        <v/>
      </c>
      <c r="X330" s="9" t="n"/>
      <c r="Y330" s="10">
        <f>IF(OR(N330="",X330=""),"",N330*X330)</f>
        <v/>
      </c>
      <c r="Z330" s="10">
        <f>IF(OR(Q330="",Y330=""),"",Q330-Y330)</f>
        <v/>
      </c>
      <c r="AA330" s="9" t="n"/>
      <c r="AB330" s="9" t="n"/>
    </row>
    <row r="331" ht="22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10">
        <f>IF(OR(N331="",P331=""),"",N331*P331)</f>
        <v/>
      </c>
      <c r="R331" s="9" t="n"/>
      <c r="S331" s="9" t="n"/>
      <c r="T331" s="9" t="n"/>
      <c r="U331" s="9">
        <f>IF(Q331="","",IF(W331=0,"已付款PAID",IF(V331&gt;0,"部分核销","未付款N/P")))</f>
        <v/>
      </c>
      <c r="V331" s="10">
        <f>IF(G331="","",SUMIFS(回款核销!$H:$H,回款核销!$C:$C,G331)+SUMIFS(回款核销!$H:$H,回款核销!$B:$B,D331,回款核销!$C:$C,""))</f>
        <v/>
      </c>
      <c r="W331" s="10">
        <f>IF(Q331="","",MAX(0,Q331-V331))</f>
        <v/>
      </c>
      <c r="X331" s="9" t="n"/>
      <c r="Y331" s="10">
        <f>IF(OR(N331="",X331=""),"",N331*X331)</f>
        <v/>
      </c>
      <c r="Z331" s="10">
        <f>IF(OR(Q331="",Y331=""),"",Q331-Y331)</f>
        <v/>
      </c>
      <c r="AA331" s="9" t="n"/>
      <c r="AB331" s="9" t="n"/>
    </row>
    <row r="332" ht="22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10">
        <f>IF(OR(N332="",P332=""),"",N332*P332)</f>
        <v/>
      </c>
      <c r="R332" s="9" t="n"/>
      <c r="S332" s="9" t="n"/>
      <c r="T332" s="9" t="n"/>
      <c r="U332" s="9">
        <f>IF(Q332="","",IF(W332=0,"已付款PAID",IF(V332&gt;0,"部分核销","未付款N/P")))</f>
        <v/>
      </c>
      <c r="V332" s="10">
        <f>IF(G332="","",SUMIFS(回款核销!$H:$H,回款核销!$C:$C,G332)+SUMIFS(回款核销!$H:$H,回款核销!$B:$B,D332,回款核销!$C:$C,""))</f>
        <v/>
      </c>
      <c r="W332" s="10">
        <f>IF(Q332="","",MAX(0,Q332-V332))</f>
        <v/>
      </c>
      <c r="X332" s="9" t="n"/>
      <c r="Y332" s="10">
        <f>IF(OR(N332="",X332=""),"",N332*X332)</f>
        <v/>
      </c>
      <c r="Z332" s="10">
        <f>IF(OR(Q332="",Y332=""),"",Q332-Y332)</f>
        <v/>
      </c>
      <c r="AA332" s="9" t="n"/>
      <c r="AB332" s="9" t="n"/>
    </row>
    <row r="333" ht="22" customHeight="1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10">
        <f>IF(OR(N333="",P333=""),"",N333*P333)</f>
        <v/>
      </c>
      <c r="R333" s="9" t="n"/>
      <c r="S333" s="9" t="n"/>
      <c r="T333" s="9" t="n"/>
      <c r="U333" s="9">
        <f>IF(Q333="","",IF(W333=0,"已付款PAID",IF(V333&gt;0,"部分核销","未付款N/P")))</f>
        <v/>
      </c>
      <c r="V333" s="10">
        <f>IF(G333="","",SUMIFS(回款核销!$H:$H,回款核销!$C:$C,G333)+SUMIFS(回款核销!$H:$H,回款核销!$B:$B,D333,回款核销!$C:$C,""))</f>
        <v/>
      </c>
      <c r="W333" s="10">
        <f>IF(Q333="","",MAX(0,Q333-V333))</f>
        <v/>
      </c>
      <c r="X333" s="9" t="n"/>
      <c r="Y333" s="10">
        <f>IF(OR(N333="",X333=""),"",N333*X333)</f>
        <v/>
      </c>
      <c r="Z333" s="10">
        <f>IF(OR(Q333="",Y333=""),"",Q333-Y333)</f>
        <v/>
      </c>
      <c r="AA333" s="9" t="n"/>
      <c r="AB333" s="9" t="n"/>
    </row>
    <row r="334" ht="22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10">
        <f>IF(OR(N334="",P334=""),"",N334*P334)</f>
        <v/>
      </c>
      <c r="R334" s="9" t="n"/>
      <c r="S334" s="9" t="n"/>
      <c r="T334" s="9" t="n"/>
      <c r="U334" s="9">
        <f>IF(Q334="","",IF(W334=0,"已付款PAID",IF(V334&gt;0,"部分核销","未付款N/P")))</f>
        <v/>
      </c>
      <c r="V334" s="10">
        <f>IF(G334="","",SUMIFS(回款核销!$H:$H,回款核销!$C:$C,G334)+SUMIFS(回款核销!$H:$H,回款核销!$B:$B,D334,回款核销!$C:$C,""))</f>
        <v/>
      </c>
      <c r="W334" s="10">
        <f>IF(Q334="","",MAX(0,Q334-V334))</f>
        <v/>
      </c>
      <c r="X334" s="9" t="n"/>
      <c r="Y334" s="10">
        <f>IF(OR(N334="",X334=""),"",N334*X334)</f>
        <v/>
      </c>
      <c r="Z334" s="10">
        <f>IF(OR(Q334="",Y334=""),"",Q334-Y334)</f>
        <v/>
      </c>
      <c r="AA334" s="9" t="n"/>
      <c r="AB334" s="9" t="n"/>
    </row>
    <row r="335" ht="22" customHeight="1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10">
        <f>IF(OR(N335="",P335=""),"",N335*P335)</f>
        <v/>
      </c>
      <c r="R335" s="9" t="n"/>
      <c r="S335" s="9" t="n"/>
      <c r="T335" s="9" t="n"/>
      <c r="U335" s="9">
        <f>IF(Q335="","",IF(W335=0,"已付款PAID",IF(V335&gt;0,"部分核销","未付款N/P")))</f>
        <v/>
      </c>
      <c r="V335" s="10">
        <f>IF(G335="","",SUMIFS(回款核销!$H:$H,回款核销!$C:$C,G335)+SUMIFS(回款核销!$H:$H,回款核销!$B:$B,D335,回款核销!$C:$C,""))</f>
        <v/>
      </c>
      <c r="W335" s="10">
        <f>IF(Q335="","",MAX(0,Q335-V335))</f>
        <v/>
      </c>
      <c r="X335" s="9" t="n"/>
      <c r="Y335" s="10">
        <f>IF(OR(N335="",X335=""),"",N335*X335)</f>
        <v/>
      </c>
      <c r="Z335" s="10">
        <f>IF(OR(Q335="",Y335=""),"",Q335-Y335)</f>
        <v/>
      </c>
      <c r="AA335" s="9" t="n"/>
      <c r="AB335" s="9" t="n"/>
    </row>
    <row r="336" ht="22" customHeight="1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10">
        <f>IF(OR(N336="",P336=""),"",N336*P336)</f>
        <v/>
      </c>
      <c r="R336" s="9" t="n"/>
      <c r="S336" s="9" t="n"/>
      <c r="T336" s="9" t="n"/>
      <c r="U336" s="9">
        <f>IF(Q336="","",IF(W336=0,"已付款PAID",IF(V336&gt;0,"部分核销","未付款N/P")))</f>
        <v/>
      </c>
      <c r="V336" s="10">
        <f>IF(G336="","",SUMIFS(回款核销!$H:$H,回款核销!$C:$C,G336)+SUMIFS(回款核销!$H:$H,回款核销!$B:$B,D336,回款核销!$C:$C,""))</f>
        <v/>
      </c>
      <c r="W336" s="10">
        <f>IF(Q336="","",MAX(0,Q336-V336))</f>
        <v/>
      </c>
      <c r="X336" s="9" t="n"/>
      <c r="Y336" s="10">
        <f>IF(OR(N336="",X336=""),"",N336*X336)</f>
        <v/>
      </c>
      <c r="Z336" s="10">
        <f>IF(OR(Q336="",Y336=""),"",Q336-Y336)</f>
        <v/>
      </c>
      <c r="AA336" s="9" t="n"/>
      <c r="AB336" s="9" t="n"/>
    </row>
    <row r="337" ht="22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10">
        <f>IF(OR(N337="",P337=""),"",N337*P337)</f>
        <v/>
      </c>
      <c r="R337" s="9" t="n"/>
      <c r="S337" s="9" t="n"/>
      <c r="T337" s="9" t="n"/>
      <c r="U337" s="9">
        <f>IF(Q337="","",IF(W337=0,"已付款PAID",IF(V337&gt;0,"部分核销","未付款N/P")))</f>
        <v/>
      </c>
      <c r="V337" s="10">
        <f>IF(G337="","",SUMIFS(回款核销!$H:$H,回款核销!$C:$C,G337)+SUMIFS(回款核销!$H:$H,回款核销!$B:$B,D337,回款核销!$C:$C,""))</f>
        <v/>
      </c>
      <c r="W337" s="10">
        <f>IF(Q337="","",MAX(0,Q337-V337))</f>
        <v/>
      </c>
      <c r="X337" s="9" t="n"/>
      <c r="Y337" s="10">
        <f>IF(OR(N337="",X337=""),"",N337*X337)</f>
        <v/>
      </c>
      <c r="Z337" s="10">
        <f>IF(OR(Q337="",Y337=""),"",Q337-Y337)</f>
        <v/>
      </c>
      <c r="AA337" s="9" t="n"/>
      <c r="AB337" s="9" t="n"/>
    </row>
    <row r="338" ht="22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10">
        <f>IF(OR(N338="",P338=""),"",N338*P338)</f>
        <v/>
      </c>
      <c r="R338" s="9" t="n"/>
      <c r="S338" s="9" t="n"/>
      <c r="T338" s="9" t="n"/>
      <c r="U338" s="9">
        <f>IF(Q338="","",IF(W338=0,"已付款PAID",IF(V338&gt;0,"部分核销","未付款N/P")))</f>
        <v/>
      </c>
      <c r="V338" s="10">
        <f>IF(G338="","",SUMIFS(回款核销!$H:$H,回款核销!$C:$C,G338)+SUMIFS(回款核销!$H:$H,回款核销!$B:$B,D338,回款核销!$C:$C,""))</f>
        <v/>
      </c>
      <c r="W338" s="10">
        <f>IF(Q338="","",MAX(0,Q338-V338))</f>
        <v/>
      </c>
      <c r="X338" s="9" t="n"/>
      <c r="Y338" s="10">
        <f>IF(OR(N338="",X338=""),"",N338*X338)</f>
        <v/>
      </c>
      <c r="Z338" s="10">
        <f>IF(OR(Q338="",Y338=""),"",Q338-Y338)</f>
        <v/>
      </c>
      <c r="AA338" s="9" t="n"/>
      <c r="AB338" s="9" t="n"/>
    </row>
    <row r="339" ht="22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10">
        <f>IF(OR(N339="",P339=""),"",N339*P339)</f>
        <v/>
      </c>
      <c r="R339" s="9" t="n"/>
      <c r="S339" s="9" t="n"/>
      <c r="T339" s="9" t="n"/>
      <c r="U339" s="9">
        <f>IF(Q339="","",IF(W339=0,"已付款PAID",IF(V339&gt;0,"部分核销","未付款N/P")))</f>
        <v/>
      </c>
      <c r="V339" s="10">
        <f>IF(G339="","",SUMIFS(回款核销!$H:$H,回款核销!$C:$C,G339)+SUMIFS(回款核销!$H:$H,回款核销!$B:$B,D339,回款核销!$C:$C,""))</f>
        <v/>
      </c>
      <c r="W339" s="10">
        <f>IF(Q339="","",MAX(0,Q339-V339))</f>
        <v/>
      </c>
      <c r="X339" s="9" t="n"/>
      <c r="Y339" s="10">
        <f>IF(OR(N339="",X339=""),"",N339*X339)</f>
        <v/>
      </c>
      <c r="Z339" s="10">
        <f>IF(OR(Q339="",Y339=""),"",Q339-Y339)</f>
        <v/>
      </c>
      <c r="AA339" s="9" t="n"/>
      <c r="AB339" s="9" t="n"/>
    </row>
    <row r="340" ht="22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10">
        <f>IF(OR(N340="",P340=""),"",N340*P340)</f>
        <v/>
      </c>
      <c r="R340" s="9" t="n"/>
      <c r="S340" s="9" t="n"/>
      <c r="T340" s="9" t="n"/>
      <c r="U340" s="9">
        <f>IF(Q340="","",IF(W340=0,"已付款PAID",IF(V340&gt;0,"部分核销","未付款N/P")))</f>
        <v/>
      </c>
      <c r="V340" s="10">
        <f>IF(G340="","",SUMIFS(回款核销!$H:$H,回款核销!$C:$C,G340)+SUMIFS(回款核销!$H:$H,回款核销!$B:$B,D340,回款核销!$C:$C,""))</f>
        <v/>
      </c>
      <c r="W340" s="10">
        <f>IF(Q340="","",MAX(0,Q340-V340))</f>
        <v/>
      </c>
      <c r="X340" s="9" t="n"/>
      <c r="Y340" s="10">
        <f>IF(OR(N340="",X340=""),"",N340*X340)</f>
        <v/>
      </c>
      <c r="Z340" s="10">
        <f>IF(OR(Q340="",Y340=""),"",Q340-Y340)</f>
        <v/>
      </c>
      <c r="AA340" s="9" t="n"/>
      <c r="AB340" s="9" t="n"/>
    </row>
    <row r="341" ht="22" customHeight="1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10">
        <f>IF(OR(N341="",P341=""),"",N341*P341)</f>
        <v/>
      </c>
      <c r="R341" s="9" t="n"/>
      <c r="S341" s="9" t="n"/>
      <c r="T341" s="9" t="n"/>
      <c r="U341" s="9">
        <f>IF(Q341="","",IF(W341=0,"已付款PAID",IF(V341&gt;0,"部分核销","未付款N/P")))</f>
        <v/>
      </c>
      <c r="V341" s="10">
        <f>IF(G341="","",SUMIFS(回款核销!$H:$H,回款核销!$C:$C,G341)+SUMIFS(回款核销!$H:$H,回款核销!$B:$B,D341,回款核销!$C:$C,""))</f>
        <v/>
      </c>
      <c r="W341" s="10">
        <f>IF(Q341="","",MAX(0,Q341-V341))</f>
        <v/>
      </c>
      <c r="X341" s="9" t="n"/>
      <c r="Y341" s="10">
        <f>IF(OR(N341="",X341=""),"",N341*X341)</f>
        <v/>
      </c>
      <c r="Z341" s="10">
        <f>IF(OR(Q341="",Y341=""),"",Q341-Y341)</f>
        <v/>
      </c>
      <c r="AA341" s="9" t="n"/>
      <c r="AB341" s="9" t="n"/>
    </row>
    <row r="342" ht="22" customHeight="1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10">
        <f>IF(OR(N342="",P342=""),"",N342*P342)</f>
        <v/>
      </c>
      <c r="R342" s="9" t="n"/>
      <c r="S342" s="9" t="n"/>
      <c r="T342" s="9" t="n"/>
      <c r="U342" s="9">
        <f>IF(Q342="","",IF(W342=0,"已付款PAID",IF(V342&gt;0,"部分核销","未付款N/P")))</f>
        <v/>
      </c>
      <c r="V342" s="10">
        <f>IF(G342="","",SUMIFS(回款核销!$H:$H,回款核销!$C:$C,G342)+SUMIFS(回款核销!$H:$H,回款核销!$B:$B,D342,回款核销!$C:$C,""))</f>
        <v/>
      </c>
      <c r="W342" s="10">
        <f>IF(Q342="","",MAX(0,Q342-V342))</f>
        <v/>
      </c>
      <c r="X342" s="9" t="n"/>
      <c r="Y342" s="10">
        <f>IF(OR(N342="",X342=""),"",N342*X342)</f>
        <v/>
      </c>
      <c r="Z342" s="10">
        <f>IF(OR(Q342="",Y342=""),"",Q342-Y342)</f>
        <v/>
      </c>
      <c r="AA342" s="9" t="n"/>
      <c r="AB342" s="9" t="n"/>
    </row>
    <row r="343" ht="22" customHeight="1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10">
        <f>IF(OR(N343="",P343=""),"",N343*P343)</f>
        <v/>
      </c>
      <c r="R343" s="9" t="n"/>
      <c r="S343" s="9" t="n"/>
      <c r="T343" s="9" t="n"/>
      <c r="U343" s="9">
        <f>IF(Q343="","",IF(W343=0,"已付款PAID",IF(V343&gt;0,"部分核销","未付款N/P")))</f>
        <v/>
      </c>
      <c r="V343" s="10">
        <f>IF(G343="","",SUMIFS(回款核销!$H:$H,回款核销!$C:$C,G343)+SUMIFS(回款核销!$H:$H,回款核销!$B:$B,D343,回款核销!$C:$C,""))</f>
        <v/>
      </c>
      <c r="W343" s="10">
        <f>IF(Q343="","",MAX(0,Q343-V343))</f>
        <v/>
      </c>
      <c r="X343" s="9" t="n"/>
      <c r="Y343" s="10">
        <f>IF(OR(N343="",X343=""),"",N343*X343)</f>
        <v/>
      </c>
      <c r="Z343" s="10">
        <f>IF(OR(Q343="",Y343=""),"",Q343-Y343)</f>
        <v/>
      </c>
      <c r="AA343" s="9" t="n"/>
      <c r="AB343" s="9" t="n"/>
    </row>
    <row r="344" ht="22" customHeight="1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10">
        <f>IF(OR(N344="",P344=""),"",N344*P344)</f>
        <v/>
      </c>
      <c r="R344" s="9" t="n"/>
      <c r="S344" s="9" t="n"/>
      <c r="T344" s="9" t="n"/>
      <c r="U344" s="9">
        <f>IF(Q344="","",IF(W344=0,"已付款PAID",IF(V344&gt;0,"部分核销","未付款N/P")))</f>
        <v/>
      </c>
      <c r="V344" s="10">
        <f>IF(G344="","",SUMIFS(回款核销!$H:$H,回款核销!$C:$C,G344)+SUMIFS(回款核销!$H:$H,回款核销!$B:$B,D344,回款核销!$C:$C,""))</f>
        <v/>
      </c>
      <c r="W344" s="10">
        <f>IF(Q344="","",MAX(0,Q344-V344))</f>
        <v/>
      </c>
      <c r="X344" s="9" t="n"/>
      <c r="Y344" s="10">
        <f>IF(OR(N344="",X344=""),"",N344*X344)</f>
        <v/>
      </c>
      <c r="Z344" s="10">
        <f>IF(OR(Q344="",Y344=""),"",Q344-Y344)</f>
        <v/>
      </c>
      <c r="AA344" s="9" t="n"/>
      <c r="AB344" s="9" t="n"/>
    </row>
    <row r="345" ht="22" customHeight="1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10">
        <f>IF(OR(N345="",P345=""),"",N345*P345)</f>
        <v/>
      </c>
      <c r="R345" s="9" t="n"/>
      <c r="S345" s="9" t="n"/>
      <c r="T345" s="9" t="n"/>
      <c r="U345" s="9">
        <f>IF(Q345="","",IF(W345=0,"已付款PAID",IF(V345&gt;0,"部分核销","未付款N/P")))</f>
        <v/>
      </c>
      <c r="V345" s="10">
        <f>IF(G345="","",SUMIFS(回款核销!$H:$H,回款核销!$C:$C,G345)+SUMIFS(回款核销!$H:$H,回款核销!$B:$B,D345,回款核销!$C:$C,""))</f>
        <v/>
      </c>
      <c r="W345" s="10">
        <f>IF(Q345="","",MAX(0,Q345-V345))</f>
        <v/>
      </c>
      <c r="X345" s="9" t="n"/>
      <c r="Y345" s="10">
        <f>IF(OR(N345="",X345=""),"",N345*X345)</f>
        <v/>
      </c>
      <c r="Z345" s="10">
        <f>IF(OR(Q345="",Y345=""),"",Q345-Y345)</f>
        <v/>
      </c>
      <c r="AA345" s="9" t="n"/>
      <c r="AB345" s="9" t="n"/>
    </row>
    <row r="346" ht="22" customHeight="1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10">
        <f>IF(OR(N346="",P346=""),"",N346*P346)</f>
        <v/>
      </c>
      <c r="R346" s="9" t="n"/>
      <c r="S346" s="9" t="n"/>
      <c r="T346" s="9" t="n"/>
      <c r="U346" s="9">
        <f>IF(Q346="","",IF(W346=0,"已付款PAID",IF(V346&gt;0,"部分核销","未付款N/P")))</f>
        <v/>
      </c>
      <c r="V346" s="10">
        <f>IF(G346="","",SUMIFS(回款核销!$H:$H,回款核销!$C:$C,G346)+SUMIFS(回款核销!$H:$H,回款核销!$B:$B,D346,回款核销!$C:$C,""))</f>
        <v/>
      </c>
      <c r="W346" s="10">
        <f>IF(Q346="","",MAX(0,Q346-V346))</f>
        <v/>
      </c>
      <c r="X346" s="9" t="n"/>
      <c r="Y346" s="10">
        <f>IF(OR(N346="",X346=""),"",N346*X346)</f>
        <v/>
      </c>
      <c r="Z346" s="10">
        <f>IF(OR(Q346="",Y346=""),"",Q346-Y346)</f>
        <v/>
      </c>
      <c r="AA346" s="9" t="n"/>
      <c r="AB346" s="9" t="n"/>
    </row>
    <row r="347" ht="22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10">
        <f>IF(OR(N347="",P347=""),"",N347*P347)</f>
        <v/>
      </c>
      <c r="R347" s="9" t="n"/>
      <c r="S347" s="9" t="n"/>
      <c r="T347" s="9" t="n"/>
      <c r="U347" s="9">
        <f>IF(Q347="","",IF(W347=0,"已付款PAID",IF(V347&gt;0,"部分核销","未付款N/P")))</f>
        <v/>
      </c>
      <c r="V347" s="10">
        <f>IF(G347="","",SUMIFS(回款核销!$H:$H,回款核销!$C:$C,G347)+SUMIFS(回款核销!$H:$H,回款核销!$B:$B,D347,回款核销!$C:$C,""))</f>
        <v/>
      </c>
      <c r="W347" s="10">
        <f>IF(Q347="","",MAX(0,Q347-V347))</f>
        <v/>
      </c>
      <c r="X347" s="9" t="n"/>
      <c r="Y347" s="10">
        <f>IF(OR(N347="",X347=""),"",N347*X347)</f>
        <v/>
      </c>
      <c r="Z347" s="10">
        <f>IF(OR(Q347="",Y347=""),"",Q347-Y347)</f>
        <v/>
      </c>
      <c r="AA347" s="9" t="n"/>
      <c r="AB347" s="9" t="n"/>
    </row>
    <row r="348" ht="22" customHeight="1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10">
        <f>IF(OR(N348="",P348=""),"",N348*P348)</f>
        <v/>
      </c>
      <c r="R348" s="9" t="n"/>
      <c r="S348" s="9" t="n"/>
      <c r="T348" s="9" t="n"/>
      <c r="U348" s="9">
        <f>IF(Q348="","",IF(W348=0,"已付款PAID",IF(V348&gt;0,"部分核销","未付款N/P")))</f>
        <v/>
      </c>
      <c r="V348" s="10">
        <f>IF(G348="","",SUMIFS(回款核销!$H:$H,回款核销!$C:$C,G348)+SUMIFS(回款核销!$H:$H,回款核销!$B:$B,D348,回款核销!$C:$C,""))</f>
        <v/>
      </c>
      <c r="W348" s="10">
        <f>IF(Q348="","",MAX(0,Q348-V348))</f>
        <v/>
      </c>
      <c r="X348" s="9" t="n"/>
      <c r="Y348" s="10">
        <f>IF(OR(N348="",X348=""),"",N348*X348)</f>
        <v/>
      </c>
      <c r="Z348" s="10">
        <f>IF(OR(Q348="",Y348=""),"",Q348-Y348)</f>
        <v/>
      </c>
      <c r="AA348" s="9" t="n"/>
      <c r="AB348" s="9" t="n"/>
    </row>
    <row r="349" ht="22" customHeight="1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10">
        <f>IF(OR(N349="",P349=""),"",N349*P349)</f>
        <v/>
      </c>
      <c r="R349" s="9" t="n"/>
      <c r="S349" s="9" t="n"/>
      <c r="T349" s="9" t="n"/>
      <c r="U349" s="9">
        <f>IF(Q349="","",IF(W349=0,"已付款PAID",IF(V349&gt;0,"部分核销","未付款N/P")))</f>
        <v/>
      </c>
      <c r="V349" s="10">
        <f>IF(G349="","",SUMIFS(回款核销!$H:$H,回款核销!$C:$C,G349)+SUMIFS(回款核销!$H:$H,回款核销!$B:$B,D349,回款核销!$C:$C,""))</f>
        <v/>
      </c>
      <c r="W349" s="10">
        <f>IF(Q349="","",MAX(0,Q349-V349))</f>
        <v/>
      </c>
      <c r="X349" s="9" t="n"/>
      <c r="Y349" s="10">
        <f>IF(OR(N349="",X349=""),"",N349*X349)</f>
        <v/>
      </c>
      <c r="Z349" s="10">
        <f>IF(OR(Q349="",Y349=""),"",Q349-Y349)</f>
        <v/>
      </c>
      <c r="AA349" s="9" t="n"/>
      <c r="AB349" s="9" t="n"/>
    </row>
    <row r="350" ht="22" customHeight="1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10">
        <f>IF(OR(N350="",P350=""),"",N350*P350)</f>
        <v/>
      </c>
      <c r="R350" s="9" t="n"/>
      <c r="S350" s="9" t="n"/>
      <c r="T350" s="9" t="n"/>
      <c r="U350" s="9">
        <f>IF(Q350="","",IF(W350=0,"已付款PAID",IF(V350&gt;0,"部分核销","未付款N/P")))</f>
        <v/>
      </c>
      <c r="V350" s="10">
        <f>IF(G350="","",SUMIFS(回款核销!$H:$H,回款核销!$C:$C,G350)+SUMIFS(回款核销!$H:$H,回款核销!$B:$B,D350,回款核销!$C:$C,""))</f>
        <v/>
      </c>
      <c r="W350" s="10">
        <f>IF(Q350="","",MAX(0,Q350-V350))</f>
        <v/>
      </c>
      <c r="X350" s="9" t="n"/>
      <c r="Y350" s="10">
        <f>IF(OR(N350="",X350=""),"",N350*X350)</f>
        <v/>
      </c>
      <c r="Z350" s="10">
        <f>IF(OR(Q350="",Y350=""),"",Q350-Y350)</f>
        <v/>
      </c>
      <c r="AA350" s="9" t="n"/>
      <c r="AB350" s="9" t="n"/>
    </row>
    <row r="351" ht="22" customHeight="1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10">
        <f>IF(OR(N351="",P351=""),"",N351*P351)</f>
        <v/>
      </c>
      <c r="R351" s="9" t="n"/>
      <c r="S351" s="9" t="n"/>
      <c r="T351" s="9" t="n"/>
      <c r="U351" s="9">
        <f>IF(Q351="","",IF(W351=0,"已付款PAID",IF(V351&gt;0,"部分核销","未付款N/P")))</f>
        <v/>
      </c>
      <c r="V351" s="10">
        <f>IF(G351="","",SUMIFS(回款核销!$H:$H,回款核销!$C:$C,G351)+SUMIFS(回款核销!$H:$H,回款核销!$B:$B,D351,回款核销!$C:$C,""))</f>
        <v/>
      </c>
      <c r="W351" s="10">
        <f>IF(Q351="","",MAX(0,Q351-V351))</f>
        <v/>
      </c>
      <c r="X351" s="9" t="n"/>
      <c r="Y351" s="10">
        <f>IF(OR(N351="",X351=""),"",N351*X351)</f>
        <v/>
      </c>
      <c r="Z351" s="10">
        <f>IF(OR(Q351="",Y351=""),"",Q351-Y351)</f>
        <v/>
      </c>
      <c r="AA351" s="9" t="n"/>
      <c r="AB351" s="9" t="n"/>
    </row>
    <row r="352" ht="22" customHeight="1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10">
        <f>IF(OR(N352="",P352=""),"",N352*P352)</f>
        <v/>
      </c>
      <c r="R352" s="9" t="n"/>
      <c r="S352" s="9" t="n"/>
      <c r="T352" s="9" t="n"/>
      <c r="U352" s="9">
        <f>IF(Q352="","",IF(W352=0,"已付款PAID",IF(V352&gt;0,"部分核销","未付款N/P")))</f>
        <v/>
      </c>
      <c r="V352" s="10">
        <f>IF(G352="","",SUMIFS(回款核销!$H:$H,回款核销!$C:$C,G352)+SUMIFS(回款核销!$H:$H,回款核销!$B:$B,D352,回款核销!$C:$C,""))</f>
        <v/>
      </c>
      <c r="W352" s="10">
        <f>IF(Q352="","",MAX(0,Q352-V352))</f>
        <v/>
      </c>
      <c r="X352" s="9" t="n"/>
      <c r="Y352" s="10">
        <f>IF(OR(N352="",X352=""),"",N352*X352)</f>
        <v/>
      </c>
      <c r="Z352" s="10">
        <f>IF(OR(Q352="",Y352=""),"",Q352-Y352)</f>
        <v/>
      </c>
      <c r="AA352" s="9" t="n"/>
      <c r="AB352" s="9" t="n"/>
    </row>
    <row r="353" ht="22" customHeight="1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10">
        <f>IF(OR(N353="",P353=""),"",N353*P353)</f>
        <v/>
      </c>
      <c r="R353" s="9" t="n"/>
      <c r="S353" s="9" t="n"/>
      <c r="T353" s="9" t="n"/>
      <c r="U353" s="9">
        <f>IF(Q353="","",IF(W353=0,"已付款PAID",IF(V353&gt;0,"部分核销","未付款N/P")))</f>
        <v/>
      </c>
      <c r="V353" s="10">
        <f>IF(G353="","",SUMIFS(回款核销!$H:$H,回款核销!$C:$C,G353)+SUMIFS(回款核销!$H:$H,回款核销!$B:$B,D353,回款核销!$C:$C,""))</f>
        <v/>
      </c>
      <c r="W353" s="10">
        <f>IF(Q353="","",MAX(0,Q353-V353))</f>
        <v/>
      </c>
      <c r="X353" s="9" t="n"/>
      <c r="Y353" s="10">
        <f>IF(OR(N353="",X353=""),"",N353*X353)</f>
        <v/>
      </c>
      <c r="Z353" s="10">
        <f>IF(OR(Q353="",Y353=""),"",Q353-Y353)</f>
        <v/>
      </c>
      <c r="AA353" s="9" t="n"/>
      <c r="AB353" s="9" t="n"/>
    </row>
    <row r="354" ht="22" customHeight="1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10">
        <f>IF(OR(N354="",P354=""),"",N354*P354)</f>
        <v/>
      </c>
      <c r="R354" s="9" t="n"/>
      <c r="S354" s="9" t="n"/>
      <c r="T354" s="9" t="n"/>
      <c r="U354" s="9">
        <f>IF(Q354="","",IF(W354=0,"已付款PAID",IF(V354&gt;0,"部分核销","未付款N/P")))</f>
        <v/>
      </c>
      <c r="V354" s="10">
        <f>IF(G354="","",SUMIFS(回款核销!$H:$H,回款核销!$C:$C,G354)+SUMIFS(回款核销!$H:$H,回款核销!$B:$B,D354,回款核销!$C:$C,""))</f>
        <v/>
      </c>
      <c r="W354" s="10">
        <f>IF(Q354="","",MAX(0,Q354-V354))</f>
        <v/>
      </c>
      <c r="X354" s="9" t="n"/>
      <c r="Y354" s="10">
        <f>IF(OR(N354="",X354=""),"",N354*X354)</f>
        <v/>
      </c>
      <c r="Z354" s="10">
        <f>IF(OR(Q354="",Y354=""),"",Q354-Y354)</f>
        <v/>
      </c>
      <c r="AA354" s="9" t="n"/>
      <c r="AB354" s="9" t="n"/>
    </row>
    <row r="355" ht="22" customHeight="1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10">
        <f>IF(OR(N355="",P355=""),"",N355*P355)</f>
        <v/>
      </c>
      <c r="R355" s="9" t="n"/>
      <c r="S355" s="9" t="n"/>
      <c r="T355" s="9" t="n"/>
      <c r="U355" s="9">
        <f>IF(Q355="","",IF(W355=0,"已付款PAID",IF(V355&gt;0,"部分核销","未付款N/P")))</f>
        <v/>
      </c>
      <c r="V355" s="10">
        <f>IF(G355="","",SUMIFS(回款核销!$H:$H,回款核销!$C:$C,G355)+SUMIFS(回款核销!$H:$H,回款核销!$B:$B,D355,回款核销!$C:$C,""))</f>
        <v/>
      </c>
      <c r="W355" s="10">
        <f>IF(Q355="","",MAX(0,Q355-V355))</f>
        <v/>
      </c>
      <c r="X355" s="9" t="n"/>
      <c r="Y355" s="10">
        <f>IF(OR(N355="",X355=""),"",N355*X355)</f>
        <v/>
      </c>
      <c r="Z355" s="10">
        <f>IF(OR(Q355="",Y355=""),"",Q355-Y355)</f>
        <v/>
      </c>
      <c r="AA355" s="9" t="n"/>
      <c r="AB355" s="9" t="n"/>
    </row>
    <row r="356" ht="22" customHeight="1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10">
        <f>IF(OR(N356="",P356=""),"",N356*P356)</f>
        <v/>
      </c>
      <c r="R356" s="9" t="n"/>
      <c r="S356" s="9" t="n"/>
      <c r="T356" s="9" t="n"/>
      <c r="U356" s="9">
        <f>IF(Q356="","",IF(W356=0,"已付款PAID",IF(V356&gt;0,"部分核销","未付款N/P")))</f>
        <v/>
      </c>
      <c r="V356" s="10">
        <f>IF(G356="","",SUMIFS(回款核销!$H:$H,回款核销!$C:$C,G356)+SUMIFS(回款核销!$H:$H,回款核销!$B:$B,D356,回款核销!$C:$C,""))</f>
        <v/>
      </c>
      <c r="W356" s="10">
        <f>IF(Q356="","",MAX(0,Q356-V356))</f>
        <v/>
      </c>
      <c r="X356" s="9" t="n"/>
      <c r="Y356" s="10">
        <f>IF(OR(N356="",X356=""),"",N356*X356)</f>
        <v/>
      </c>
      <c r="Z356" s="10">
        <f>IF(OR(Q356="",Y356=""),"",Q356-Y356)</f>
        <v/>
      </c>
      <c r="AA356" s="9" t="n"/>
      <c r="AB356" s="9" t="n"/>
    </row>
    <row r="357" ht="22" customHeight="1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10">
        <f>IF(OR(N357="",P357=""),"",N357*P357)</f>
        <v/>
      </c>
      <c r="R357" s="9" t="n"/>
      <c r="S357" s="9" t="n"/>
      <c r="T357" s="9" t="n"/>
      <c r="U357" s="9">
        <f>IF(Q357="","",IF(W357=0,"已付款PAID",IF(V357&gt;0,"部分核销","未付款N/P")))</f>
        <v/>
      </c>
      <c r="V357" s="10">
        <f>IF(G357="","",SUMIFS(回款核销!$H:$H,回款核销!$C:$C,G357)+SUMIFS(回款核销!$H:$H,回款核销!$B:$B,D357,回款核销!$C:$C,""))</f>
        <v/>
      </c>
      <c r="W357" s="10">
        <f>IF(Q357="","",MAX(0,Q357-V357))</f>
        <v/>
      </c>
      <c r="X357" s="9" t="n"/>
      <c r="Y357" s="10">
        <f>IF(OR(N357="",X357=""),"",N357*X357)</f>
        <v/>
      </c>
      <c r="Z357" s="10">
        <f>IF(OR(Q357="",Y357=""),"",Q357-Y357)</f>
        <v/>
      </c>
      <c r="AA357" s="9" t="n"/>
      <c r="AB357" s="9" t="n"/>
    </row>
    <row r="358" ht="22" customHeight="1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10">
        <f>IF(OR(N358="",P358=""),"",N358*P358)</f>
        <v/>
      </c>
      <c r="R358" s="9" t="n"/>
      <c r="S358" s="9" t="n"/>
      <c r="T358" s="9" t="n"/>
      <c r="U358" s="9">
        <f>IF(Q358="","",IF(W358=0,"已付款PAID",IF(V358&gt;0,"部分核销","未付款N/P")))</f>
        <v/>
      </c>
      <c r="V358" s="10">
        <f>IF(G358="","",SUMIFS(回款核销!$H:$H,回款核销!$C:$C,G358)+SUMIFS(回款核销!$H:$H,回款核销!$B:$B,D358,回款核销!$C:$C,""))</f>
        <v/>
      </c>
      <c r="W358" s="10">
        <f>IF(Q358="","",MAX(0,Q358-V358))</f>
        <v/>
      </c>
      <c r="X358" s="9" t="n"/>
      <c r="Y358" s="10">
        <f>IF(OR(N358="",X358=""),"",N358*X358)</f>
        <v/>
      </c>
      <c r="Z358" s="10">
        <f>IF(OR(Q358="",Y358=""),"",Q358-Y358)</f>
        <v/>
      </c>
      <c r="AA358" s="9" t="n"/>
      <c r="AB358" s="9" t="n"/>
    </row>
    <row r="359" ht="22" customHeight="1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10">
        <f>IF(OR(N359="",P359=""),"",N359*P359)</f>
        <v/>
      </c>
      <c r="R359" s="9" t="n"/>
      <c r="S359" s="9" t="n"/>
      <c r="T359" s="9" t="n"/>
      <c r="U359" s="9">
        <f>IF(Q359="","",IF(W359=0,"已付款PAID",IF(V359&gt;0,"部分核销","未付款N/P")))</f>
        <v/>
      </c>
      <c r="V359" s="10">
        <f>IF(G359="","",SUMIFS(回款核销!$H:$H,回款核销!$C:$C,G359)+SUMIFS(回款核销!$H:$H,回款核销!$B:$B,D359,回款核销!$C:$C,""))</f>
        <v/>
      </c>
      <c r="W359" s="10">
        <f>IF(Q359="","",MAX(0,Q359-V359))</f>
        <v/>
      </c>
      <c r="X359" s="9" t="n"/>
      <c r="Y359" s="10">
        <f>IF(OR(N359="",X359=""),"",N359*X359)</f>
        <v/>
      </c>
      <c r="Z359" s="10">
        <f>IF(OR(Q359="",Y359=""),"",Q359-Y359)</f>
        <v/>
      </c>
      <c r="AA359" s="9" t="n"/>
      <c r="AB359" s="9" t="n"/>
    </row>
    <row r="360" ht="22" customHeight="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10">
        <f>IF(OR(N360="",P360=""),"",N360*P360)</f>
        <v/>
      </c>
      <c r="R360" s="9" t="n"/>
      <c r="S360" s="9" t="n"/>
      <c r="T360" s="9" t="n"/>
      <c r="U360" s="9">
        <f>IF(Q360="","",IF(W360=0,"已付款PAID",IF(V360&gt;0,"部分核销","未付款N/P")))</f>
        <v/>
      </c>
      <c r="V360" s="10">
        <f>IF(G360="","",SUMIFS(回款核销!$H:$H,回款核销!$C:$C,G360)+SUMIFS(回款核销!$H:$H,回款核销!$B:$B,D360,回款核销!$C:$C,""))</f>
        <v/>
      </c>
      <c r="W360" s="10">
        <f>IF(Q360="","",MAX(0,Q360-V360))</f>
        <v/>
      </c>
      <c r="X360" s="9" t="n"/>
      <c r="Y360" s="10">
        <f>IF(OR(N360="",X360=""),"",N360*X360)</f>
        <v/>
      </c>
      <c r="Z360" s="10">
        <f>IF(OR(Q360="",Y360=""),"",Q360-Y360)</f>
        <v/>
      </c>
      <c r="AA360" s="9" t="n"/>
      <c r="AB360" s="9" t="n"/>
    </row>
    <row r="361" ht="22" customHeight="1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10">
        <f>IF(OR(N361="",P361=""),"",N361*P361)</f>
        <v/>
      </c>
      <c r="R361" s="9" t="n"/>
      <c r="S361" s="9" t="n"/>
      <c r="T361" s="9" t="n"/>
      <c r="U361" s="9">
        <f>IF(Q361="","",IF(W361=0,"已付款PAID",IF(V361&gt;0,"部分核销","未付款N/P")))</f>
        <v/>
      </c>
      <c r="V361" s="10">
        <f>IF(G361="","",SUMIFS(回款核销!$H:$H,回款核销!$C:$C,G361)+SUMIFS(回款核销!$H:$H,回款核销!$B:$B,D361,回款核销!$C:$C,""))</f>
        <v/>
      </c>
      <c r="W361" s="10">
        <f>IF(Q361="","",MAX(0,Q361-V361))</f>
        <v/>
      </c>
      <c r="X361" s="9" t="n"/>
      <c r="Y361" s="10">
        <f>IF(OR(N361="",X361=""),"",N361*X361)</f>
        <v/>
      </c>
      <c r="Z361" s="10">
        <f>IF(OR(Q361="",Y361=""),"",Q361-Y361)</f>
        <v/>
      </c>
      <c r="AA361" s="9" t="n"/>
      <c r="AB361" s="9" t="n"/>
    </row>
    <row r="362" ht="22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10">
        <f>IF(OR(N362="",P362=""),"",N362*P362)</f>
        <v/>
      </c>
      <c r="R362" s="9" t="n"/>
      <c r="S362" s="9" t="n"/>
      <c r="T362" s="9" t="n"/>
      <c r="U362" s="9">
        <f>IF(Q362="","",IF(W362=0,"已付款PAID",IF(V362&gt;0,"部分核销","未付款N/P")))</f>
        <v/>
      </c>
      <c r="V362" s="10">
        <f>IF(G362="","",SUMIFS(回款核销!$H:$H,回款核销!$C:$C,G362)+SUMIFS(回款核销!$H:$H,回款核销!$B:$B,D362,回款核销!$C:$C,""))</f>
        <v/>
      </c>
      <c r="W362" s="10">
        <f>IF(Q362="","",MAX(0,Q362-V362))</f>
        <v/>
      </c>
      <c r="X362" s="9" t="n"/>
      <c r="Y362" s="10">
        <f>IF(OR(N362="",X362=""),"",N362*X362)</f>
        <v/>
      </c>
      <c r="Z362" s="10">
        <f>IF(OR(Q362="",Y362=""),"",Q362-Y362)</f>
        <v/>
      </c>
      <c r="AA362" s="9" t="n"/>
      <c r="AB362" s="9" t="n"/>
    </row>
    <row r="363" ht="22" customHeight="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10">
        <f>IF(OR(N363="",P363=""),"",N363*P363)</f>
        <v/>
      </c>
      <c r="R363" s="9" t="n"/>
      <c r="S363" s="9" t="n"/>
      <c r="T363" s="9" t="n"/>
      <c r="U363" s="9">
        <f>IF(Q363="","",IF(W363=0,"已付款PAID",IF(V363&gt;0,"部分核销","未付款N/P")))</f>
        <v/>
      </c>
      <c r="V363" s="10">
        <f>IF(G363="","",SUMIFS(回款核销!$H:$H,回款核销!$C:$C,G363)+SUMIFS(回款核销!$H:$H,回款核销!$B:$B,D363,回款核销!$C:$C,""))</f>
        <v/>
      </c>
      <c r="W363" s="10">
        <f>IF(Q363="","",MAX(0,Q363-V363))</f>
        <v/>
      </c>
      <c r="X363" s="9" t="n"/>
      <c r="Y363" s="10">
        <f>IF(OR(N363="",X363=""),"",N363*X363)</f>
        <v/>
      </c>
      <c r="Z363" s="10">
        <f>IF(OR(Q363="",Y363=""),"",Q363-Y363)</f>
        <v/>
      </c>
      <c r="AA363" s="9" t="n"/>
      <c r="AB363" s="9" t="n"/>
    </row>
    <row r="364" ht="22" customHeight="1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10">
        <f>IF(OR(N364="",P364=""),"",N364*P364)</f>
        <v/>
      </c>
      <c r="R364" s="9" t="n"/>
      <c r="S364" s="9" t="n"/>
      <c r="T364" s="9" t="n"/>
      <c r="U364" s="9">
        <f>IF(Q364="","",IF(W364=0,"已付款PAID",IF(V364&gt;0,"部分核销","未付款N/P")))</f>
        <v/>
      </c>
      <c r="V364" s="10">
        <f>IF(G364="","",SUMIFS(回款核销!$H:$H,回款核销!$C:$C,G364)+SUMIFS(回款核销!$H:$H,回款核销!$B:$B,D364,回款核销!$C:$C,""))</f>
        <v/>
      </c>
      <c r="W364" s="10">
        <f>IF(Q364="","",MAX(0,Q364-V364))</f>
        <v/>
      </c>
      <c r="X364" s="9" t="n"/>
      <c r="Y364" s="10">
        <f>IF(OR(N364="",X364=""),"",N364*X364)</f>
        <v/>
      </c>
      <c r="Z364" s="10">
        <f>IF(OR(Q364="",Y364=""),"",Q364-Y364)</f>
        <v/>
      </c>
      <c r="AA364" s="9" t="n"/>
      <c r="AB364" s="9" t="n"/>
    </row>
    <row r="365" ht="22" customHeight="1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10">
        <f>IF(OR(N365="",P365=""),"",N365*P365)</f>
        <v/>
      </c>
      <c r="R365" s="9" t="n"/>
      <c r="S365" s="9" t="n"/>
      <c r="T365" s="9" t="n"/>
      <c r="U365" s="9">
        <f>IF(Q365="","",IF(W365=0,"已付款PAID",IF(V365&gt;0,"部分核销","未付款N/P")))</f>
        <v/>
      </c>
      <c r="V365" s="10">
        <f>IF(G365="","",SUMIFS(回款核销!$H:$H,回款核销!$C:$C,G365)+SUMIFS(回款核销!$H:$H,回款核销!$B:$B,D365,回款核销!$C:$C,""))</f>
        <v/>
      </c>
      <c r="W365" s="10">
        <f>IF(Q365="","",MAX(0,Q365-V365))</f>
        <v/>
      </c>
      <c r="X365" s="9" t="n"/>
      <c r="Y365" s="10">
        <f>IF(OR(N365="",X365=""),"",N365*X365)</f>
        <v/>
      </c>
      <c r="Z365" s="10">
        <f>IF(OR(Q365="",Y365=""),"",Q365-Y365)</f>
        <v/>
      </c>
      <c r="AA365" s="9" t="n"/>
      <c r="AB365" s="9" t="n"/>
    </row>
    <row r="366" ht="22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10">
        <f>IF(OR(N366="",P366=""),"",N366*P366)</f>
        <v/>
      </c>
      <c r="R366" s="9" t="n"/>
      <c r="S366" s="9" t="n"/>
      <c r="T366" s="9" t="n"/>
      <c r="U366" s="9">
        <f>IF(Q366="","",IF(W366=0,"已付款PAID",IF(V366&gt;0,"部分核销","未付款N/P")))</f>
        <v/>
      </c>
      <c r="V366" s="10">
        <f>IF(G366="","",SUMIFS(回款核销!$H:$H,回款核销!$C:$C,G366)+SUMIFS(回款核销!$H:$H,回款核销!$B:$B,D366,回款核销!$C:$C,""))</f>
        <v/>
      </c>
      <c r="W366" s="10">
        <f>IF(Q366="","",MAX(0,Q366-V366))</f>
        <v/>
      </c>
      <c r="X366" s="9" t="n"/>
      <c r="Y366" s="10">
        <f>IF(OR(N366="",X366=""),"",N366*X366)</f>
        <v/>
      </c>
      <c r="Z366" s="10">
        <f>IF(OR(Q366="",Y366=""),"",Q366-Y366)</f>
        <v/>
      </c>
      <c r="AA366" s="9" t="n"/>
      <c r="AB366" s="9" t="n"/>
    </row>
    <row r="367" ht="22" customHeight="1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10">
        <f>IF(OR(N367="",P367=""),"",N367*P367)</f>
        <v/>
      </c>
      <c r="R367" s="9" t="n"/>
      <c r="S367" s="9" t="n"/>
      <c r="T367" s="9" t="n"/>
      <c r="U367" s="9">
        <f>IF(Q367="","",IF(W367=0,"已付款PAID",IF(V367&gt;0,"部分核销","未付款N/P")))</f>
        <v/>
      </c>
      <c r="V367" s="10">
        <f>IF(G367="","",SUMIFS(回款核销!$H:$H,回款核销!$C:$C,G367)+SUMIFS(回款核销!$H:$H,回款核销!$B:$B,D367,回款核销!$C:$C,""))</f>
        <v/>
      </c>
      <c r="W367" s="10">
        <f>IF(Q367="","",MAX(0,Q367-V367))</f>
        <v/>
      </c>
      <c r="X367" s="9" t="n"/>
      <c r="Y367" s="10">
        <f>IF(OR(N367="",X367=""),"",N367*X367)</f>
        <v/>
      </c>
      <c r="Z367" s="10">
        <f>IF(OR(Q367="",Y367=""),"",Q367-Y367)</f>
        <v/>
      </c>
      <c r="AA367" s="9" t="n"/>
      <c r="AB367" s="9" t="n"/>
    </row>
    <row r="368" ht="22" customHeight="1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10">
        <f>IF(OR(N368="",P368=""),"",N368*P368)</f>
        <v/>
      </c>
      <c r="R368" s="9" t="n"/>
      <c r="S368" s="9" t="n"/>
      <c r="T368" s="9" t="n"/>
      <c r="U368" s="9">
        <f>IF(Q368="","",IF(W368=0,"已付款PAID",IF(V368&gt;0,"部分核销","未付款N/P")))</f>
        <v/>
      </c>
      <c r="V368" s="10">
        <f>IF(G368="","",SUMIFS(回款核销!$H:$H,回款核销!$C:$C,G368)+SUMIFS(回款核销!$H:$H,回款核销!$B:$B,D368,回款核销!$C:$C,""))</f>
        <v/>
      </c>
      <c r="W368" s="10">
        <f>IF(Q368="","",MAX(0,Q368-V368))</f>
        <v/>
      </c>
      <c r="X368" s="9" t="n"/>
      <c r="Y368" s="10">
        <f>IF(OR(N368="",X368=""),"",N368*X368)</f>
        <v/>
      </c>
      <c r="Z368" s="10">
        <f>IF(OR(Q368="",Y368=""),"",Q368-Y368)</f>
        <v/>
      </c>
      <c r="AA368" s="9" t="n"/>
      <c r="AB368" s="9" t="n"/>
    </row>
    <row r="369" ht="22" customHeight="1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10">
        <f>IF(OR(N369="",P369=""),"",N369*P369)</f>
        <v/>
      </c>
      <c r="R369" s="9" t="n"/>
      <c r="S369" s="9" t="n"/>
      <c r="T369" s="9" t="n"/>
      <c r="U369" s="9">
        <f>IF(Q369="","",IF(W369=0,"已付款PAID",IF(V369&gt;0,"部分核销","未付款N/P")))</f>
        <v/>
      </c>
      <c r="V369" s="10">
        <f>IF(G369="","",SUMIFS(回款核销!$H:$H,回款核销!$C:$C,G369)+SUMIFS(回款核销!$H:$H,回款核销!$B:$B,D369,回款核销!$C:$C,""))</f>
        <v/>
      </c>
      <c r="W369" s="10">
        <f>IF(Q369="","",MAX(0,Q369-V369))</f>
        <v/>
      </c>
      <c r="X369" s="9" t="n"/>
      <c r="Y369" s="10">
        <f>IF(OR(N369="",X369=""),"",N369*X369)</f>
        <v/>
      </c>
      <c r="Z369" s="10">
        <f>IF(OR(Q369="",Y369=""),"",Q369-Y369)</f>
        <v/>
      </c>
      <c r="AA369" s="9" t="n"/>
      <c r="AB369" s="9" t="n"/>
    </row>
    <row r="370" ht="22" customHeight="1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10">
        <f>IF(OR(N370="",P370=""),"",N370*P370)</f>
        <v/>
      </c>
      <c r="R370" s="9" t="n"/>
      <c r="S370" s="9" t="n"/>
      <c r="T370" s="9" t="n"/>
      <c r="U370" s="9">
        <f>IF(Q370="","",IF(W370=0,"已付款PAID",IF(V370&gt;0,"部分核销","未付款N/P")))</f>
        <v/>
      </c>
      <c r="V370" s="10">
        <f>IF(G370="","",SUMIFS(回款核销!$H:$H,回款核销!$C:$C,G370)+SUMIFS(回款核销!$H:$H,回款核销!$B:$B,D370,回款核销!$C:$C,""))</f>
        <v/>
      </c>
      <c r="W370" s="10">
        <f>IF(Q370="","",MAX(0,Q370-V370))</f>
        <v/>
      </c>
      <c r="X370" s="9" t="n"/>
      <c r="Y370" s="10">
        <f>IF(OR(N370="",X370=""),"",N370*X370)</f>
        <v/>
      </c>
      <c r="Z370" s="10">
        <f>IF(OR(Q370="",Y370=""),"",Q370-Y370)</f>
        <v/>
      </c>
      <c r="AA370" s="9" t="n"/>
      <c r="AB370" s="9" t="n"/>
    </row>
    <row r="371" ht="22" customHeight="1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10">
        <f>IF(OR(N371="",P371=""),"",N371*P371)</f>
        <v/>
      </c>
      <c r="R371" s="9" t="n"/>
      <c r="S371" s="9" t="n"/>
      <c r="T371" s="9" t="n"/>
      <c r="U371" s="9">
        <f>IF(Q371="","",IF(W371=0,"已付款PAID",IF(V371&gt;0,"部分核销","未付款N/P")))</f>
        <v/>
      </c>
      <c r="V371" s="10">
        <f>IF(G371="","",SUMIFS(回款核销!$H:$H,回款核销!$C:$C,G371)+SUMIFS(回款核销!$H:$H,回款核销!$B:$B,D371,回款核销!$C:$C,""))</f>
        <v/>
      </c>
      <c r="W371" s="10">
        <f>IF(Q371="","",MAX(0,Q371-V371))</f>
        <v/>
      </c>
      <c r="X371" s="9" t="n"/>
      <c r="Y371" s="10">
        <f>IF(OR(N371="",X371=""),"",N371*X371)</f>
        <v/>
      </c>
      <c r="Z371" s="10">
        <f>IF(OR(Q371="",Y371=""),"",Q371-Y371)</f>
        <v/>
      </c>
      <c r="AA371" s="9" t="n"/>
      <c r="AB371" s="9" t="n"/>
    </row>
    <row r="372" ht="22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10">
        <f>IF(OR(N372="",P372=""),"",N372*P372)</f>
        <v/>
      </c>
      <c r="R372" s="9" t="n"/>
      <c r="S372" s="9" t="n"/>
      <c r="T372" s="9" t="n"/>
      <c r="U372" s="9">
        <f>IF(Q372="","",IF(W372=0,"已付款PAID",IF(V372&gt;0,"部分核销","未付款N/P")))</f>
        <v/>
      </c>
      <c r="V372" s="10">
        <f>IF(G372="","",SUMIFS(回款核销!$H:$H,回款核销!$C:$C,G372)+SUMIFS(回款核销!$H:$H,回款核销!$B:$B,D372,回款核销!$C:$C,""))</f>
        <v/>
      </c>
      <c r="W372" s="10">
        <f>IF(Q372="","",MAX(0,Q372-V372))</f>
        <v/>
      </c>
      <c r="X372" s="9" t="n"/>
      <c r="Y372" s="10">
        <f>IF(OR(N372="",X372=""),"",N372*X372)</f>
        <v/>
      </c>
      <c r="Z372" s="10">
        <f>IF(OR(Q372="",Y372=""),"",Q372-Y372)</f>
        <v/>
      </c>
      <c r="AA372" s="9" t="n"/>
      <c r="AB372" s="9" t="n"/>
    </row>
    <row r="373" ht="22" customHeight="1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10">
        <f>IF(OR(N373="",P373=""),"",N373*P373)</f>
        <v/>
      </c>
      <c r="R373" s="9" t="n"/>
      <c r="S373" s="9" t="n"/>
      <c r="T373" s="9" t="n"/>
      <c r="U373" s="9">
        <f>IF(Q373="","",IF(W373=0,"已付款PAID",IF(V373&gt;0,"部分核销","未付款N/P")))</f>
        <v/>
      </c>
      <c r="V373" s="10">
        <f>IF(G373="","",SUMIFS(回款核销!$H:$H,回款核销!$C:$C,G373)+SUMIFS(回款核销!$H:$H,回款核销!$B:$B,D373,回款核销!$C:$C,""))</f>
        <v/>
      </c>
      <c r="W373" s="10">
        <f>IF(Q373="","",MAX(0,Q373-V373))</f>
        <v/>
      </c>
      <c r="X373" s="9" t="n"/>
      <c r="Y373" s="10">
        <f>IF(OR(N373="",X373=""),"",N373*X373)</f>
        <v/>
      </c>
      <c r="Z373" s="10">
        <f>IF(OR(Q373="",Y373=""),"",Q373-Y373)</f>
        <v/>
      </c>
      <c r="AA373" s="9" t="n"/>
      <c r="AB373" s="9" t="n"/>
    </row>
    <row r="374" ht="22" customHeight="1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10">
        <f>IF(OR(N374="",P374=""),"",N374*P374)</f>
        <v/>
      </c>
      <c r="R374" s="9" t="n"/>
      <c r="S374" s="9" t="n"/>
      <c r="T374" s="9" t="n"/>
      <c r="U374" s="9">
        <f>IF(Q374="","",IF(W374=0,"已付款PAID",IF(V374&gt;0,"部分核销","未付款N/P")))</f>
        <v/>
      </c>
      <c r="V374" s="10">
        <f>IF(G374="","",SUMIFS(回款核销!$H:$H,回款核销!$C:$C,G374)+SUMIFS(回款核销!$H:$H,回款核销!$B:$B,D374,回款核销!$C:$C,""))</f>
        <v/>
      </c>
      <c r="W374" s="10">
        <f>IF(Q374="","",MAX(0,Q374-V374))</f>
        <v/>
      </c>
      <c r="X374" s="9" t="n"/>
      <c r="Y374" s="10">
        <f>IF(OR(N374="",X374=""),"",N374*X374)</f>
        <v/>
      </c>
      <c r="Z374" s="10">
        <f>IF(OR(Q374="",Y374=""),"",Q374-Y374)</f>
        <v/>
      </c>
      <c r="AA374" s="9" t="n"/>
      <c r="AB374" s="9" t="n"/>
    </row>
    <row r="375" ht="22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10">
        <f>IF(OR(N375="",P375=""),"",N375*P375)</f>
        <v/>
      </c>
      <c r="R375" s="9" t="n"/>
      <c r="S375" s="9" t="n"/>
      <c r="T375" s="9" t="n"/>
      <c r="U375" s="9">
        <f>IF(Q375="","",IF(W375=0,"已付款PAID",IF(V375&gt;0,"部分核销","未付款N/P")))</f>
        <v/>
      </c>
      <c r="V375" s="10">
        <f>IF(G375="","",SUMIFS(回款核销!$H:$H,回款核销!$C:$C,G375)+SUMIFS(回款核销!$H:$H,回款核销!$B:$B,D375,回款核销!$C:$C,""))</f>
        <v/>
      </c>
      <c r="W375" s="10">
        <f>IF(Q375="","",MAX(0,Q375-V375))</f>
        <v/>
      </c>
      <c r="X375" s="9" t="n"/>
      <c r="Y375" s="10">
        <f>IF(OR(N375="",X375=""),"",N375*X375)</f>
        <v/>
      </c>
      <c r="Z375" s="10">
        <f>IF(OR(Q375="",Y375=""),"",Q375-Y375)</f>
        <v/>
      </c>
      <c r="AA375" s="9" t="n"/>
      <c r="AB375" s="9" t="n"/>
    </row>
    <row r="376" ht="22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10">
        <f>IF(OR(N376="",P376=""),"",N376*P376)</f>
        <v/>
      </c>
      <c r="R376" s="9" t="n"/>
      <c r="S376" s="9" t="n"/>
      <c r="T376" s="9" t="n"/>
      <c r="U376" s="9">
        <f>IF(Q376="","",IF(W376=0,"已付款PAID",IF(V376&gt;0,"部分核销","未付款N/P")))</f>
        <v/>
      </c>
      <c r="V376" s="10">
        <f>IF(G376="","",SUMIFS(回款核销!$H:$H,回款核销!$C:$C,G376)+SUMIFS(回款核销!$H:$H,回款核销!$B:$B,D376,回款核销!$C:$C,""))</f>
        <v/>
      </c>
      <c r="W376" s="10">
        <f>IF(Q376="","",MAX(0,Q376-V376))</f>
        <v/>
      </c>
      <c r="X376" s="9" t="n"/>
      <c r="Y376" s="10">
        <f>IF(OR(N376="",X376=""),"",N376*X376)</f>
        <v/>
      </c>
      <c r="Z376" s="10">
        <f>IF(OR(Q376="",Y376=""),"",Q376-Y376)</f>
        <v/>
      </c>
      <c r="AA376" s="9" t="n"/>
      <c r="AB376" s="9" t="n"/>
    </row>
    <row r="377" ht="22" customHeight="1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10">
        <f>IF(OR(N377="",P377=""),"",N377*P377)</f>
        <v/>
      </c>
      <c r="R377" s="9" t="n"/>
      <c r="S377" s="9" t="n"/>
      <c r="T377" s="9" t="n"/>
      <c r="U377" s="9">
        <f>IF(Q377="","",IF(W377=0,"已付款PAID",IF(V377&gt;0,"部分核销","未付款N/P")))</f>
        <v/>
      </c>
      <c r="V377" s="10">
        <f>IF(G377="","",SUMIFS(回款核销!$H:$H,回款核销!$C:$C,G377)+SUMIFS(回款核销!$H:$H,回款核销!$B:$B,D377,回款核销!$C:$C,""))</f>
        <v/>
      </c>
      <c r="W377" s="10">
        <f>IF(Q377="","",MAX(0,Q377-V377))</f>
        <v/>
      </c>
      <c r="X377" s="9" t="n"/>
      <c r="Y377" s="10">
        <f>IF(OR(N377="",X377=""),"",N377*X377)</f>
        <v/>
      </c>
      <c r="Z377" s="10">
        <f>IF(OR(Q377="",Y377=""),"",Q377-Y377)</f>
        <v/>
      </c>
      <c r="AA377" s="9" t="n"/>
      <c r="AB377" s="9" t="n"/>
    </row>
    <row r="378" ht="22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10">
        <f>IF(OR(N378="",P378=""),"",N378*P378)</f>
        <v/>
      </c>
      <c r="R378" s="9" t="n"/>
      <c r="S378" s="9" t="n"/>
      <c r="T378" s="9" t="n"/>
      <c r="U378" s="9">
        <f>IF(Q378="","",IF(W378=0,"已付款PAID",IF(V378&gt;0,"部分核销","未付款N/P")))</f>
        <v/>
      </c>
      <c r="V378" s="10">
        <f>IF(G378="","",SUMIFS(回款核销!$H:$H,回款核销!$C:$C,G378)+SUMIFS(回款核销!$H:$H,回款核销!$B:$B,D378,回款核销!$C:$C,""))</f>
        <v/>
      </c>
      <c r="W378" s="10">
        <f>IF(Q378="","",MAX(0,Q378-V378))</f>
        <v/>
      </c>
      <c r="X378" s="9" t="n"/>
      <c r="Y378" s="10">
        <f>IF(OR(N378="",X378=""),"",N378*X378)</f>
        <v/>
      </c>
      <c r="Z378" s="10">
        <f>IF(OR(Q378="",Y378=""),"",Q378-Y378)</f>
        <v/>
      </c>
      <c r="AA378" s="9" t="n"/>
      <c r="AB378" s="9" t="n"/>
    </row>
    <row r="379" ht="22" customHeight="1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10">
        <f>IF(OR(N379="",P379=""),"",N379*P379)</f>
        <v/>
      </c>
      <c r="R379" s="9" t="n"/>
      <c r="S379" s="9" t="n"/>
      <c r="T379" s="9" t="n"/>
      <c r="U379" s="9">
        <f>IF(Q379="","",IF(W379=0,"已付款PAID",IF(V379&gt;0,"部分核销","未付款N/P")))</f>
        <v/>
      </c>
      <c r="V379" s="10">
        <f>IF(G379="","",SUMIFS(回款核销!$H:$H,回款核销!$C:$C,G379)+SUMIFS(回款核销!$H:$H,回款核销!$B:$B,D379,回款核销!$C:$C,""))</f>
        <v/>
      </c>
      <c r="W379" s="10">
        <f>IF(Q379="","",MAX(0,Q379-V379))</f>
        <v/>
      </c>
      <c r="X379" s="9" t="n"/>
      <c r="Y379" s="10">
        <f>IF(OR(N379="",X379=""),"",N379*X379)</f>
        <v/>
      </c>
      <c r="Z379" s="10">
        <f>IF(OR(Q379="",Y379=""),"",Q379-Y379)</f>
        <v/>
      </c>
      <c r="AA379" s="9" t="n"/>
      <c r="AB379" s="9" t="n"/>
    </row>
    <row r="380" ht="22" customHeight="1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10">
        <f>IF(OR(N380="",P380=""),"",N380*P380)</f>
        <v/>
      </c>
      <c r="R380" s="9" t="n"/>
      <c r="S380" s="9" t="n"/>
      <c r="T380" s="9" t="n"/>
      <c r="U380" s="9">
        <f>IF(Q380="","",IF(W380=0,"已付款PAID",IF(V380&gt;0,"部分核销","未付款N/P")))</f>
        <v/>
      </c>
      <c r="V380" s="10">
        <f>IF(G380="","",SUMIFS(回款核销!$H:$H,回款核销!$C:$C,G380)+SUMIFS(回款核销!$H:$H,回款核销!$B:$B,D380,回款核销!$C:$C,""))</f>
        <v/>
      </c>
      <c r="W380" s="10">
        <f>IF(Q380="","",MAX(0,Q380-V380))</f>
        <v/>
      </c>
      <c r="X380" s="9" t="n"/>
      <c r="Y380" s="10">
        <f>IF(OR(N380="",X380=""),"",N380*X380)</f>
        <v/>
      </c>
      <c r="Z380" s="10">
        <f>IF(OR(Q380="",Y380=""),"",Q380-Y380)</f>
        <v/>
      </c>
      <c r="AA380" s="9" t="n"/>
      <c r="AB380" s="9" t="n"/>
    </row>
    <row r="381" ht="22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10">
        <f>IF(OR(N381="",P381=""),"",N381*P381)</f>
        <v/>
      </c>
      <c r="R381" s="9" t="n"/>
      <c r="S381" s="9" t="n"/>
      <c r="T381" s="9" t="n"/>
      <c r="U381" s="9">
        <f>IF(Q381="","",IF(W381=0,"已付款PAID",IF(V381&gt;0,"部分核销","未付款N/P")))</f>
        <v/>
      </c>
      <c r="V381" s="10">
        <f>IF(G381="","",SUMIFS(回款核销!$H:$H,回款核销!$C:$C,G381)+SUMIFS(回款核销!$H:$H,回款核销!$B:$B,D381,回款核销!$C:$C,""))</f>
        <v/>
      </c>
      <c r="W381" s="10">
        <f>IF(Q381="","",MAX(0,Q381-V381))</f>
        <v/>
      </c>
      <c r="X381" s="9" t="n"/>
      <c r="Y381" s="10">
        <f>IF(OR(N381="",X381=""),"",N381*X381)</f>
        <v/>
      </c>
      <c r="Z381" s="10">
        <f>IF(OR(Q381="",Y381=""),"",Q381-Y381)</f>
        <v/>
      </c>
      <c r="AA381" s="9" t="n"/>
      <c r="AB381" s="9" t="n"/>
    </row>
    <row r="382" ht="22" customHeight="1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10">
        <f>IF(OR(N382="",P382=""),"",N382*P382)</f>
        <v/>
      </c>
      <c r="R382" s="9" t="n"/>
      <c r="S382" s="9" t="n"/>
      <c r="T382" s="9" t="n"/>
      <c r="U382" s="9">
        <f>IF(Q382="","",IF(W382=0,"已付款PAID",IF(V382&gt;0,"部分核销","未付款N/P")))</f>
        <v/>
      </c>
      <c r="V382" s="10">
        <f>IF(G382="","",SUMIFS(回款核销!$H:$H,回款核销!$C:$C,G382)+SUMIFS(回款核销!$H:$H,回款核销!$B:$B,D382,回款核销!$C:$C,""))</f>
        <v/>
      </c>
      <c r="W382" s="10">
        <f>IF(Q382="","",MAX(0,Q382-V382))</f>
        <v/>
      </c>
      <c r="X382" s="9" t="n"/>
      <c r="Y382" s="10">
        <f>IF(OR(N382="",X382=""),"",N382*X382)</f>
        <v/>
      </c>
      <c r="Z382" s="10">
        <f>IF(OR(Q382="",Y382=""),"",Q382-Y382)</f>
        <v/>
      </c>
      <c r="AA382" s="9" t="n"/>
      <c r="AB382" s="9" t="n"/>
    </row>
    <row r="383" ht="22" customHeight="1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10">
        <f>IF(OR(N383="",P383=""),"",N383*P383)</f>
        <v/>
      </c>
      <c r="R383" s="9" t="n"/>
      <c r="S383" s="9" t="n"/>
      <c r="T383" s="9" t="n"/>
      <c r="U383" s="9">
        <f>IF(Q383="","",IF(W383=0,"已付款PAID",IF(V383&gt;0,"部分核销","未付款N/P")))</f>
        <v/>
      </c>
      <c r="V383" s="10">
        <f>IF(G383="","",SUMIFS(回款核销!$H:$H,回款核销!$C:$C,G383)+SUMIFS(回款核销!$H:$H,回款核销!$B:$B,D383,回款核销!$C:$C,""))</f>
        <v/>
      </c>
      <c r="W383" s="10">
        <f>IF(Q383="","",MAX(0,Q383-V383))</f>
        <v/>
      </c>
      <c r="X383" s="9" t="n"/>
      <c r="Y383" s="10">
        <f>IF(OR(N383="",X383=""),"",N383*X383)</f>
        <v/>
      </c>
      <c r="Z383" s="10">
        <f>IF(OR(Q383="",Y383=""),"",Q383-Y383)</f>
        <v/>
      </c>
      <c r="AA383" s="9" t="n"/>
      <c r="AB383" s="9" t="n"/>
    </row>
    <row r="384" ht="22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10">
        <f>IF(OR(N384="",P384=""),"",N384*P384)</f>
        <v/>
      </c>
      <c r="R384" s="9" t="n"/>
      <c r="S384" s="9" t="n"/>
      <c r="T384" s="9" t="n"/>
      <c r="U384" s="9">
        <f>IF(Q384="","",IF(W384=0,"已付款PAID",IF(V384&gt;0,"部分核销","未付款N/P")))</f>
        <v/>
      </c>
      <c r="V384" s="10">
        <f>IF(G384="","",SUMIFS(回款核销!$H:$H,回款核销!$C:$C,G384)+SUMIFS(回款核销!$H:$H,回款核销!$B:$B,D384,回款核销!$C:$C,""))</f>
        <v/>
      </c>
      <c r="W384" s="10">
        <f>IF(Q384="","",MAX(0,Q384-V384))</f>
        <v/>
      </c>
      <c r="X384" s="9" t="n"/>
      <c r="Y384" s="10">
        <f>IF(OR(N384="",X384=""),"",N384*X384)</f>
        <v/>
      </c>
      <c r="Z384" s="10">
        <f>IF(OR(Q384="",Y384=""),"",Q384-Y384)</f>
        <v/>
      </c>
      <c r="AA384" s="9" t="n"/>
      <c r="AB384" s="9" t="n"/>
    </row>
    <row r="385" ht="22" customHeight="1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10">
        <f>IF(OR(N385="",P385=""),"",N385*P385)</f>
        <v/>
      </c>
      <c r="R385" s="9" t="n"/>
      <c r="S385" s="9" t="n"/>
      <c r="T385" s="9" t="n"/>
      <c r="U385" s="9">
        <f>IF(Q385="","",IF(W385=0,"已付款PAID",IF(V385&gt;0,"部分核销","未付款N/P")))</f>
        <v/>
      </c>
      <c r="V385" s="10">
        <f>IF(G385="","",SUMIFS(回款核销!$H:$H,回款核销!$C:$C,G385)+SUMIFS(回款核销!$H:$H,回款核销!$B:$B,D385,回款核销!$C:$C,""))</f>
        <v/>
      </c>
      <c r="W385" s="10">
        <f>IF(Q385="","",MAX(0,Q385-V385))</f>
        <v/>
      </c>
      <c r="X385" s="9" t="n"/>
      <c r="Y385" s="10">
        <f>IF(OR(N385="",X385=""),"",N385*X385)</f>
        <v/>
      </c>
      <c r="Z385" s="10">
        <f>IF(OR(Q385="",Y385=""),"",Q385-Y385)</f>
        <v/>
      </c>
      <c r="AA385" s="9" t="n"/>
      <c r="AB385" s="9" t="n"/>
    </row>
    <row r="386" ht="22" customHeight="1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10">
        <f>IF(OR(N386="",P386=""),"",N386*P386)</f>
        <v/>
      </c>
      <c r="R386" s="9" t="n"/>
      <c r="S386" s="9" t="n"/>
      <c r="T386" s="9" t="n"/>
      <c r="U386" s="9">
        <f>IF(Q386="","",IF(W386=0,"已付款PAID",IF(V386&gt;0,"部分核销","未付款N/P")))</f>
        <v/>
      </c>
      <c r="V386" s="10">
        <f>IF(G386="","",SUMIFS(回款核销!$H:$H,回款核销!$C:$C,G386)+SUMIFS(回款核销!$H:$H,回款核销!$B:$B,D386,回款核销!$C:$C,""))</f>
        <v/>
      </c>
      <c r="W386" s="10">
        <f>IF(Q386="","",MAX(0,Q386-V386))</f>
        <v/>
      </c>
      <c r="X386" s="9" t="n"/>
      <c r="Y386" s="10">
        <f>IF(OR(N386="",X386=""),"",N386*X386)</f>
        <v/>
      </c>
      <c r="Z386" s="10">
        <f>IF(OR(Q386="",Y386=""),"",Q386-Y386)</f>
        <v/>
      </c>
      <c r="AA386" s="9" t="n"/>
      <c r="AB386" s="9" t="n"/>
    </row>
    <row r="387" ht="22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10">
        <f>IF(OR(N387="",P387=""),"",N387*P387)</f>
        <v/>
      </c>
      <c r="R387" s="9" t="n"/>
      <c r="S387" s="9" t="n"/>
      <c r="T387" s="9" t="n"/>
      <c r="U387" s="9">
        <f>IF(Q387="","",IF(W387=0,"已付款PAID",IF(V387&gt;0,"部分核销","未付款N/P")))</f>
        <v/>
      </c>
      <c r="V387" s="10">
        <f>IF(G387="","",SUMIFS(回款核销!$H:$H,回款核销!$C:$C,G387)+SUMIFS(回款核销!$H:$H,回款核销!$B:$B,D387,回款核销!$C:$C,""))</f>
        <v/>
      </c>
      <c r="W387" s="10">
        <f>IF(Q387="","",MAX(0,Q387-V387))</f>
        <v/>
      </c>
      <c r="X387" s="9" t="n"/>
      <c r="Y387" s="10">
        <f>IF(OR(N387="",X387=""),"",N387*X387)</f>
        <v/>
      </c>
      <c r="Z387" s="10">
        <f>IF(OR(Q387="",Y387=""),"",Q387-Y387)</f>
        <v/>
      </c>
      <c r="AA387" s="9" t="n"/>
      <c r="AB387" s="9" t="n"/>
    </row>
    <row r="388" ht="22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10">
        <f>IF(OR(N388="",P388=""),"",N388*P388)</f>
        <v/>
      </c>
      <c r="R388" s="9" t="n"/>
      <c r="S388" s="9" t="n"/>
      <c r="T388" s="9" t="n"/>
      <c r="U388" s="9">
        <f>IF(Q388="","",IF(W388=0,"已付款PAID",IF(V388&gt;0,"部分核销","未付款N/P")))</f>
        <v/>
      </c>
      <c r="V388" s="10">
        <f>IF(G388="","",SUMIFS(回款核销!$H:$H,回款核销!$C:$C,G388)+SUMIFS(回款核销!$H:$H,回款核销!$B:$B,D388,回款核销!$C:$C,""))</f>
        <v/>
      </c>
      <c r="W388" s="10">
        <f>IF(Q388="","",MAX(0,Q388-V388))</f>
        <v/>
      </c>
      <c r="X388" s="9" t="n"/>
      <c r="Y388" s="10">
        <f>IF(OR(N388="",X388=""),"",N388*X388)</f>
        <v/>
      </c>
      <c r="Z388" s="10">
        <f>IF(OR(Q388="",Y388=""),"",Q388-Y388)</f>
        <v/>
      </c>
      <c r="AA388" s="9" t="n"/>
      <c r="AB388" s="9" t="n"/>
    </row>
    <row r="389" ht="22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10">
        <f>IF(OR(N389="",P389=""),"",N389*P389)</f>
        <v/>
      </c>
      <c r="R389" s="9" t="n"/>
      <c r="S389" s="9" t="n"/>
      <c r="T389" s="9" t="n"/>
      <c r="U389" s="9">
        <f>IF(Q389="","",IF(W389=0,"已付款PAID",IF(V389&gt;0,"部分核销","未付款N/P")))</f>
        <v/>
      </c>
      <c r="V389" s="10">
        <f>IF(G389="","",SUMIFS(回款核销!$H:$H,回款核销!$C:$C,G389)+SUMIFS(回款核销!$H:$H,回款核销!$B:$B,D389,回款核销!$C:$C,""))</f>
        <v/>
      </c>
      <c r="W389" s="10">
        <f>IF(Q389="","",MAX(0,Q389-V389))</f>
        <v/>
      </c>
      <c r="X389" s="9" t="n"/>
      <c r="Y389" s="10">
        <f>IF(OR(N389="",X389=""),"",N389*X389)</f>
        <v/>
      </c>
      <c r="Z389" s="10">
        <f>IF(OR(Q389="",Y389=""),"",Q389-Y389)</f>
        <v/>
      </c>
      <c r="AA389" s="9" t="n"/>
      <c r="AB389" s="9" t="n"/>
    </row>
    <row r="390" ht="22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10">
        <f>IF(OR(N390="",P390=""),"",N390*P390)</f>
        <v/>
      </c>
      <c r="R390" s="9" t="n"/>
      <c r="S390" s="9" t="n"/>
      <c r="T390" s="9" t="n"/>
      <c r="U390" s="9">
        <f>IF(Q390="","",IF(W390=0,"已付款PAID",IF(V390&gt;0,"部分核销","未付款N/P")))</f>
        <v/>
      </c>
      <c r="V390" s="10">
        <f>IF(G390="","",SUMIFS(回款核销!$H:$H,回款核销!$C:$C,G390)+SUMIFS(回款核销!$H:$H,回款核销!$B:$B,D390,回款核销!$C:$C,""))</f>
        <v/>
      </c>
      <c r="W390" s="10">
        <f>IF(Q390="","",MAX(0,Q390-V390))</f>
        <v/>
      </c>
      <c r="X390" s="9" t="n"/>
      <c r="Y390" s="10">
        <f>IF(OR(N390="",X390=""),"",N390*X390)</f>
        <v/>
      </c>
      <c r="Z390" s="10">
        <f>IF(OR(Q390="",Y390=""),"",Q390-Y390)</f>
        <v/>
      </c>
      <c r="AA390" s="9" t="n"/>
      <c r="AB390" s="9" t="n"/>
    </row>
    <row r="391" ht="22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10">
        <f>IF(OR(N391="",P391=""),"",N391*P391)</f>
        <v/>
      </c>
      <c r="R391" s="9" t="n"/>
      <c r="S391" s="9" t="n"/>
      <c r="T391" s="9" t="n"/>
      <c r="U391" s="9">
        <f>IF(Q391="","",IF(W391=0,"已付款PAID",IF(V391&gt;0,"部分核销","未付款N/P")))</f>
        <v/>
      </c>
      <c r="V391" s="10">
        <f>IF(G391="","",SUMIFS(回款核销!$H:$H,回款核销!$C:$C,G391)+SUMIFS(回款核销!$H:$H,回款核销!$B:$B,D391,回款核销!$C:$C,""))</f>
        <v/>
      </c>
      <c r="W391" s="10">
        <f>IF(Q391="","",MAX(0,Q391-V391))</f>
        <v/>
      </c>
      <c r="X391" s="9" t="n"/>
      <c r="Y391" s="10">
        <f>IF(OR(N391="",X391=""),"",N391*X391)</f>
        <v/>
      </c>
      <c r="Z391" s="10">
        <f>IF(OR(Q391="",Y391=""),"",Q391-Y391)</f>
        <v/>
      </c>
      <c r="AA391" s="9" t="n"/>
      <c r="AB391" s="9" t="n"/>
    </row>
    <row r="392" ht="22" customHeight="1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10">
        <f>IF(OR(N392="",P392=""),"",N392*P392)</f>
        <v/>
      </c>
      <c r="R392" s="9" t="n"/>
      <c r="S392" s="9" t="n"/>
      <c r="T392" s="9" t="n"/>
      <c r="U392" s="9">
        <f>IF(Q392="","",IF(W392=0,"已付款PAID",IF(V392&gt;0,"部分核销","未付款N/P")))</f>
        <v/>
      </c>
      <c r="V392" s="10">
        <f>IF(G392="","",SUMIFS(回款核销!$H:$H,回款核销!$C:$C,G392)+SUMIFS(回款核销!$H:$H,回款核销!$B:$B,D392,回款核销!$C:$C,""))</f>
        <v/>
      </c>
      <c r="W392" s="10">
        <f>IF(Q392="","",MAX(0,Q392-V392))</f>
        <v/>
      </c>
      <c r="X392" s="9" t="n"/>
      <c r="Y392" s="10">
        <f>IF(OR(N392="",X392=""),"",N392*X392)</f>
        <v/>
      </c>
      <c r="Z392" s="10">
        <f>IF(OR(Q392="",Y392=""),"",Q392-Y392)</f>
        <v/>
      </c>
      <c r="AA392" s="9" t="n"/>
      <c r="AB392" s="9" t="n"/>
    </row>
    <row r="393" ht="22" customHeight="1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10">
        <f>IF(OR(N393="",P393=""),"",N393*P393)</f>
        <v/>
      </c>
      <c r="R393" s="9" t="n"/>
      <c r="S393" s="9" t="n"/>
      <c r="T393" s="9" t="n"/>
      <c r="U393" s="9">
        <f>IF(Q393="","",IF(W393=0,"已付款PAID",IF(V393&gt;0,"部分核销","未付款N/P")))</f>
        <v/>
      </c>
      <c r="V393" s="10">
        <f>IF(G393="","",SUMIFS(回款核销!$H:$H,回款核销!$C:$C,G393)+SUMIFS(回款核销!$H:$H,回款核销!$B:$B,D393,回款核销!$C:$C,""))</f>
        <v/>
      </c>
      <c r="W393" s="10">
        <f>IF(Q393="","",MAX(0,Q393-V393))</f>
        <v/>
      </c>
      <c r="X393" s="9" t="n"/>
      <c r="Y393" s="10">
        <f>IF(OR(N393="",X393=""),"",N393*X393)</f>
        <v/>
      </c>
      <c r="Z393" s="10">
        <f>IF(OR(Q393="",Y393=""),"",Q393-Y393)</f>
        <v/>
      </c>
      <c r="AA393" s="9" t="n"/>
      <c r="AB393" s="9" t="n"/>
    </row>
    <row r="394" ht="22" customHeight="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10">
        <f>IF(OR(N394="",P394=""),"",N394*P394)</f>
        <v/>
      </c>
      <c r="R394" s="9" t="n"/>
      <c r="S394" s="9" t="n"/>
      <c r="T394" s="9" t="n"/>
      <c r="U394" s="9">
        <f>IF(Q394="","",IF(W394=0,"已付款PAID",IF(V394&gt;0,"部分核销","未付款N/P")))</f>
        <v/>
      </c>
      <c r="V394" s="10">
        <f>IF(G394="","",SUMIFS(回款核销!$H:$H,回款核销!$C:$C,G394)+SUMIFS(回款核销!$H:$H,回款核销!$B:$B,D394,回款核销!$C:$C,""))</f>
        <v/>
      </c>
      <c r="W394" s="10">
        <f>IF(Q394="","",MAX(0,Q394-V394))</f>
        <v/>
      </c>
      <c r="X394" s="9" t="n"/>
      <c r="Y394" s="10">
        <f>IF(OR(N394="",X394=""),"",N394*X394)</f>
        <v/>
      </c>
      <c r="Z394" s="10">
        <f>IF(OR(Q394="",Y394=""),"",Q394-Y394)</f>
        <v/>
      </c>
      <c r="AA394" s="9" t="n"/>
      <c r="AB394" s="9" t="n"/>
    </row>
    <row r="395" ht="22" customHeight="1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10">
        <f>IF(OR(N395="",P395=""),"",N395*P395)</f>
        <v/>
      </c>
      <c r="R395" s="9" t="n"/>
      <c r="S395" s="9" t="n"/>
      <c r="T395" s="9" t="n"/>
      <c r="U395" s="9">
        <f>IF(Q395="","",IF(W395=0,"已付款PAID",IF(V395&gt;0,"部分核销","未付款N/P")))</f>
        <v/>
      </c>
      <c r="V395" s="10">
        <f>IF(G395="","",SUMIFS(回款核销!$H:$H,回款核销!$C:$C,G395)+SUMIFS(回款核销!$H:$H,回款核销!$B:$B,D395,回款核销!$C:$C,""))</f>
        <v/>
      </c>
      <c r="W395" s="10">
        <f>IF(Q395="","",MAX(0,Q395-V395))</f>
        <v/>
      </c>
      <c r="X395" s="9" t="n"/>
      <c r="Y395" s="10">
        <f>IF(OR(N395="",X395=""),"",N395*X395)</f>
        <v/>
      </c>
      <c r="Z395" s="10">
        <f>IF(OR(Q395="",Y395=""),"",Q395-Y395)</f>
        <v/>
      </c>
      <c r="AA395" s="9" t="n"/>
      <c r="AB395" s="9" t="n"/>
    </row>
    <row r="396" ht="22" customHeight="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10">
        <f>IF(OR(N396="",P396=""),"",N396*P396)</f>
        <v/>
      </c>
      <c r="R396" s="9" t="n"/>
      <c r="S396" s="9" t="n"/>
      <c r="T396" s="9" t="n"/>
      <c r="U396" s="9">
        <f>IF(Q396="","",IF(W396=0,"已付款PAID",IF(V396&gt;0,"部分核销","未付款N/P")))</f>
        <v/>
      </c>
      <c r="V396" s="10">
        <f>IF(G396="","",SUMIFS(回款核销!$H:$H,回款核销!$C:$C,G396)+SUMIFS(回款核销!$H:$H,回款核销!$B:$B,D396,回款核销!$C:$C,""))</f>
        <v/>
      </c>
      <c r="W396" s="10">
        <f>IF(Q396="","",MAX(0,Q396-V396))</f>
        <v/>
      </c>
      <c r="X396" s="9" t="n"/>
      <c r="Y396" s="10">
        <f>IF(OR(N396="",X396=""),"",N396*X396)</f>
        <v/>
      </c>
      <c r="Z396" s="10">
        <f>IF(OR(Q396="",Y396=""),"",Q396-Y396)</f>
        <v/>
      </c>
      <c r="AA396" s="9" t="n"/>
      <c r="AB396" s="9" t="n"/>
    </row>
    <row r="397" ht="22" customHeight="1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10">
        <f>IF(OR(N397="",P397=""),"",N397*P397)</f>
        <v/>
      </c>
      <c r="R397" s="9" t="n"/>
      <c r="S397" s="9" t="n"/>
      <c r="T397" s="9" t="n"/>
      <c r="U397" s="9">
        <f>IF(Q397="","",IF(W397=0,"已付款PAID",IF(V397&gt;0,"部分核销","未付款N/P")))</f>
        <v/>
      </c>
      <c r="V397" s="10">
        <f>IF(G397="","",SUMIFS(回款核销!$H:$H,回款核销!$C:$C,G397)+SUMIFS(回款核销!$H:$H,回款核销!$B:$B,D397,回款核销!$C:$C,""))</f>
        <v/>
      </c>
      <c r="W397" s="10">
        <f>IF(Q397="","",MAX(0,Q397-V397))</f>
        <v/>
      </c>
      <c r="X397" s="9" t="n"/>
      <c r="Y397" s="10">
        <f>IF(OR(N397="",X397=""),"",N397*X397)</f>
        <v/>
      </c>
      <c r="Z397" s="10">
        <f>IF(OR(Q397="",Y397=""),"",Q397-Y397)</f>
        <v/>
      </c>
      <c r="AA397" s="9" t="n"/>
      <c r="AB397" s="9" t="n"/>
    </row>
    <row r="398" ht="22" customHeight="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10">
        <f>IF(OR(N398="",P398=""),"",N398*P398)</f>
        <v/>
      </c>
      <c r="R398" s="9" t="n"/>
      <c r="S398" s="9" t="n"/>
      <c r="T398" s="9" t="n"/>
      <c r="U398" s="9">
        <f>IF(Q398="","",IF(W398=0,"已付款PAID",IF(V398&gt;0,"部分核销","未付款N/P")))</f>
        <v/>
      </c>
      <c r="V398" s="10">
        <f>IF(G398="","",SUMIFS(回款核销!$H:$H,回款核销!$C:$C,G398)+SUMIFS(回款核销!$H:$H,回款核销!$B:$B,D398,回款核销!$C:$C,""))</f>
        <v/>
      </c>
      <c r="W398" s="10">
        <f>IF(Q398="","",MAX(0,Q398-V398))</f>
        <v/>
      </c>
      <c r="X398" s="9" t="n"/>
      <c r="Y398" s="10">
        <f>IF(OR(N398="",X398=""),"",N398*X398)</f>
        <v/>
      </c>
      <c r="Z398" s="10">
        <f>IF(OR(Q398="",Y398=""),"",Q398-Y398)</f>
        <v/>
      </c>
      <c r="AA398" s="9" t="n"/>
      <c r="AB398" s="9" t="n"/>
    </row>
    <row r="399" ht="22" customHeight="1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10">
        <f>IF(OR(N399="",P399=""),"",N399*P399)</f>
        <v/>
      </c>
      <c r="R399" s="9" t="n"/>
      <c r="S399" s="9" t="n"/>
      <c r="T399" s="9" t="n"/>
      <c r="U399" s="9">
        <f>IF(Q399="","",IF(W399=0,"已付款PAID",IF(V399&gt;0,"部分核销","未付款N/P")))</f>
        <v/>
      </c>
      <c r="V399" s="10">
        <f>IF(G399="","",SUMIFS(回款核销!$H:$H,回款核销!$C:$C,G399)+SUMIFS(回款核销!$H:$H,回款核销!$B:$B,D399,回款核销!$C:$C,""))</f>
        <v/>
      </c>
      <c r="W399" s="10">
        <f>IF(Q399="","",MAX(0,Q399-V399))</f>
        <v/>
      </c>
      <c r="X399" s="9" t="n"/>
      <c r="Y399" s="10">
        <f>IF(OR(N399="",X399=""),"",N399*X399)</f>
        <v/>
      </c>
      <c r="Z399" s="10">
        <f>IF(OR(Q399="",Y399=""),"",Q399-Y399)</f>
        <v/>
      </c>
      <c r="AA399" s="9" t="n"/>
      <c r="AB399" s="9" t="n"/>
    </row>
    <row r="400" ht="22" customHeight="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10">
        <f>IF(OR(N400="",P400=""),"",N400*P400)</f>
        <v/>
      </c>
      <c r="R400" s="9" t="n"/>
      <c r="S400" s="9" t="n"/>
      <c r="T400" s="9" t="n"/>
      <c r="U400" s="9">
        <f>IF(Q400="","",IF(W400=0,"已付款PAID",IF(V400&gt;0,"部分核销","未付款N/P")))</f>
        <v/>
      </c>
      <c r="V400" s="10">
        <f>IF(G400="","",SUMIFS(回款核销!$H:$H,回款核销!$C:$C,G400)+SUMIFS(回款核销!$H:$H,回款核销!$B:$B,D400,回款核销!$C:$C,""))</f>
        <v/>
      </c>
      <c r="W400" s="10">
        <f>IF(Q400="","",MAX(0,Q400-V400))</f>
        <v/>
      </c>
      <c r="X400" s="9" t="n"/>
      <c r="Y400" s="10">
        <f>IF(OR(N400="",X400=""),"",N400*X400)</f>
        <v/>
      </c>
      <c r="Z400" s="10">
        <f>IF(OR(Q400="",Y400=""),"",Q400-Y400)</f>
        <v/>
      </c>
      <c r="AA400" s="9" t="n"/>
      <c r="AB400" s="9" t="n"/>
    </row>
    <row r="401" ht="22" customHeight="1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10">
        <f>IF(OR(N401="",P401=""),"",N401*P401)</f>
        <v/>
      </c>
      <c r="R401" s="9" t="n"/>
      <c r="S401" s="9" t="n"/>
      <c r="T401" s="9" t="n"/>
      <c r="U401" s="9">
        <f>IF(Q401="","",IF(W401=0,"已付款PAID",IF(V401&gt;0,"部分核销","未付款N/P")))</f>
        <v/>
      </c>
      <c r="V401" s="10">
        <f>IF(G401="","",SUMIFS(回款核销!$H:$H,回款核销!$C:$C,G401)+SUMIFS(回款核销!$H:$H,回款核销!$B:$B,D401,回款核销!$C:$C,""))</f>
        <v/>
      </c>
      <c r="W401" s="10">
        <f>IF(Q401="","",MAX(0,Q401-V401))</f>
        <v/>
      </c>
      <c r="X401" s="9" t="n"/>
      <c r="Y401" s="10">
        <f>IF(OR(N401="",X401=""),"",N401*X401)</f>
        <v/>
      </c>
      <c r="Z401" s="10">
        <f>IF(OR(Q401="",Y401=""),"",Q401-Y401)</f>
        <v/>
      </c>
      <c r="AA401" s="9" t="n"/>
      <c r="AB401" s="9" t="n"/>
    </row>
    <row r="402" ht="22" customHeight="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10">
        <f>IF(OR(N402="",P402=""),"",N402*P402)</f>
        <v/>
      </c>
      <c r="R402" s="9" t="n"/>
      <c r="S402" s="9" t="n"/>
      <c r="T402" s="9" t="n"/>
      <c r="U402" s="9">
        <f>IF(Q402="","",IF(W402=0,"已付款PAID",IF(V402&gt;0,"部分核销","未付款N/P")))</f>
        <v/>
      </c>
      <c r="V402" s="10">
        <f>IF(G402="","",SUMIFS(回款核销!$H:$H,回款核销!$C:$C,G402)+SUMIFS(回款核销!$H:$H,回款核销!$B:$B,D402,回款核销!$C:$C,""))</f>
        <v/>
      </c>
      <c r="W402" s="10">
        <f>IF(Q402="","",MAX(0,Q402-V402))</f>
        <v/>
      </c>
      <c r="X402" s="9" t="n"/>
      <c r="Y402" s="10">
        <f>IF(OR(N402="",X402=""),"",N402*X402)</f>
        <v/>
      </c>
      <c r="Z402" s="10">
        <f>IF(OR(Q402="",Y402=""),"",Q402-Y402)</f>
        <v/>
      </c>
      <c r="AA402" s="9" t="n"/>
      <c r="AB402" s="9" t="n"/>
    </row>
    <row r="403" ht="22" customHeight="1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10">
        <f>IF(OR(N403="",P403=""),"",N403*P403)</f>
        <v/>
      </c>
      <c r="R403" s="9" t="n"/>
      <c r="S403" s="9" t="n"/>
      <c r="T403" s="9" t="n"/>
      <c r="U403" s="9">
        <f>IF(Q403="","",IF(W403=0,"已付款PAID",IF(V403&gt;0,"部分核销","未付款N/P")))</f>
        <v/>
      </c>
      <c r="V403" s="10">
        <f>IF(G403="","",SUMIFS(回款核销!$H:$H,回款核销!$C:$C,G403)+SUMIFS(回款核销!$H:$H,回款核销!$B:$B,D403,回款核销!$C:$C,""))</f>
        <v/>
      </c>
      <c r="W403" s="10">
        <f>IF(Q403="","",MAX(0,Q403-V403))</f>
        <v/>
      </c>
      <c r="X403" s="9" t="n"/>
      <c r="Y403" s="10">
        <f>IF(OR(N403="",X403=""),"",N403*X403)</f>
        <v/>
      </c>
      <c r="Z403" s="10">
        <f>IF(OR(Q403="",Y403=""),"",Q403-Y403)</f>
        <v/>
      </c>
      <c r="AA403" s="9" t="n"/>
      <c r="AB403" s="9" t="n"/>
    </row>
    <row r="404" ht="22" customHeight="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10">
        <f>IF(OR(N404="",P404=""),"",N404*P404)</f>
        <v/>
      </c>
      <c r="R404" s="9" t="n"/>
      <c r="S404" s="9" t="n"/>
      <c r="T404" s="9" t="n"/>
      <c r="U404" s="9">
        <f>IF(Q404="","",IF(W404=0,"已付款PAID",IF(V404&gt;0,"部分核销","未付款N/P")))</f>
        <v/>
      </c>
      <c r="V404" s="10">
        <f>IF(G404="","",SUMIFS(回款核销!$H:$H,回款核销!$C:$C,G404)+SUMIFS(回款核销!$H:$H,回款核销!$B:$B,D404,回款核销!$C:$C,""))</f>
        <v/>
      </c>
      <c r="W404" s="10">
        <f>IF(Q404="","",MAX(0,Q404-V404))</f>
        <v/>
      </c>
      <c r="X404" s="9" t="n"/>
      <c r="Y404" s="10">
        <f>IF(OR(N404="",X404=""),"",N404*X404)</f>
        <v/>
      </c>
      <c r="Z404" s="10">
        <f>IF(OR(Q404="",Y404=""),"",Q404-Y404)</f>
        <v/>
      </c>
      <c r="AA404" s="9" t="n"/>
      <c r="AB404" s="9" t="n"/>
    </row>
    <row r="405" ht="22" customHeight="1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10">
        <f>IF(OR(N405="",P405=""),"",N405*P405)</f>
        <v/>
      </c>
      <c r="R405" s="9" t="n"/>
      <c r="S405" s="9" t="n"/>
      <c r="T405" s="9" t="n"/>
      <c r="U405" s="9">
        <f>IF(Q405="","",IF(W405=0,"已付款PAID",IF(V405&gt;0,"部分核销","未付款N/P")))</f>
        <v/>
      </c>
      <c r="V405" s="10">
        <f>IF(G405="","",SUMIFS(回款核销!$H:$H,回款核销!$C:$C,G405)+SUMIFS(回款核销!$H:$H,回款核销!$B:$B,D405,回款核销!$C:$C,""))</f>
        <v/>
      </c>
      <c r="W405" s="10">
        <f>IF(Q405="","",MAX(0,Q405-V405))</f>
        <v/>
      </c>
      <c r="X405" s="9" t="n"/>
      <c r="Y405" s="10">
        <f>IF(OR(N405="",X405=""),"",N405*X405)</f>
        <v/>
      </c>
      <c r="Z405" s="10">
        <f>IF(OR(Q405="",Y405=""),"",Q405-Y405)</f>
        <v/>
      </c>
      <c r="AA405" s="9" t="n"/>
      <c r="AB405" s="9" t="n"/>
    </row>
    <row r="406" ht="22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10">
        <f>IF(OR(N406="",P406=""),"",N406*P406)</f>
        <v/>
      </c>
      <c r="R406" s="9" t="n"/>
      <c r="S406" s="9" t="n"/>
      <c r="T406" s="9" t="n"/>
      <c r="U406" s="9">
        <f>IF(Q406="","",IF(W406=0,"已付款PAID",IF(V406&gt;0,"部分核销","未付款N/P")))</f>
        <v/>
      </c>
      <c r="V406" s="10">
        <f>IF(G406="","",SUMIFS(回款核销!$H:$H,回款核销!$C:$C,G406)+SUMIFS(回款核销!$H:$H,回款核销!$B:$B,D406,回款核销!$C:$C,""))</f>
        <v/>
      </c>
      <c r="W406" s="10">
        <f>IF(Q406="","",MAX(0,Q406-V406))</f>
        <v/>
      </c>
      <c r="X406" s="9" t="n"/>
      <c r="Y406" s="10">
        <f>IF(OR(N406="",X406=""),"",N406*X406)</f>
        <v/>
      </c>
      <c r="Z406" s="10">
        <f>IF(OR(Q406="",Y406=""),"",Q406-Y406)</f>
        <v/>
      </c>
      <c r="AA406" s="9" t="n"/>
      <c r="AB406" s="9" t="n"/>
    </row>
    <row r="407" ht="22" customHeight="1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10">
        <f>IF(OR(N407="",P407=""),"",N407*P407)</f>
        <v/>
      </c>
      <c r="R407" s="9" t="n"/>
      <c r="S407" s="9" t="n"/>
      <c r="T407" s="9" t="n"/>
      <c r="U407" s="9">
        <f>IF(Q407="","",IF(W407=0,"已付款PAID",IF(V407&gt;0,"部分核销","未付款N/P")))</f>
        <v/>
      </c>
      <c r="V407" s="10">
        <f>IF(G407="","",SUMIFS(回款核销!$H:$H,回款核销!$C:$C,G407)+SUMIFS(回款核销!$H:$H,回款核销!$B:$B,D407,回款核销!$C:$C,""))</f>
        <v/>
      </c>
      <c r="W407" s="10">
        <f>IF(Q407="","",MAX(0,Q407-V407))</f>
        <v/>
      </c>
      <c r="X407" s="9" t="n"/>
      <c r="Y407" s="10">
        <f>IF(OR(N407="",X407=""),"",N407*X407)</f>
        <v/>
      </c>
      <c r="Z407" s="10">
        <f>IF(OR(Q407="",Y407=""),"",Q407-Y407)</f>
        <v/>
      </c>
      <c r="AA407" s="9" t="n"/>
      <c r="AB407" s="9" t="n"/>
    </row>
    <row r="408" ht="22" customHeight="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10">
        <f>IF(OR(N408="",P408=""),"",N408*P408)</f>
        <v/>
      </c>
      <c r="R408" s="9" t="n"/>
      <c r="S408" s="9" t="n"/>
      <c r="T408" s="9" t="n"/>
      <c r="U408" s="9">
        <f>IF(Q408="","",IF(W408=0,"已付款PAID",IF(V408&gt;0,"部分核销","未付款N/P")))</f>
        <v/>
      </c>
      <c r="V408" s="10">
        <f>IF(G408="","",SUMIFS(回款核销!$H:$H,回款核销!$C:$C,G408)+SUMIFS(回款核销!$H:$H,回款核销!$B:$B,D408,回款核销!$C:$C,""))</f>
        <v/>
      </c>
      <c r="W408" s="10">
        <f>IF(Q408="","",MAX(0,Q408-V408))</f>
        <v/>
      </c>
      <c r="X408" s="9" t="n"/>
      <c r="Y408" s="10">
        <f>IF(OR(N408="",X408=""),"",N408*X408)</f>
        <v/>
      </c>
      <c r="Z408" s="10">
        <f>IF(OR(Q408="",Y408=""),"",Q408-Y408)</f>
        <v/>
      </c>
      <c r="AA408" s="9" t="n"/>
      <c r="AB408" s="9" t="n"/>
    </row>
    <row r="409" ht="22" customHeight="1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10">
        <f>IF(OR(N409="",P409=""),"",N409*P409)</f>
        <v/>
      </c>
      <c r="R409" s="9" t="n"/>
      <c r="S409" s="9" t="n"/>
      <c r="T409" s="9" t="n"/>
      <c r="U409" s="9">
        <f>IF(Q409="","",IF(W409=0,"已付款PAID",IF(V409&gt;0,"部分核销","未付款N/P")))</f>
        <v/>
      </c>
      <c r="V409" s="10">
        <f>IF(G409="","",SUMIFS(回款核销!$H:$H,回款核销!$C:$C,G409)+SUMIFS(回款核销!$H:$H,回款核销!$B:$B,D409,回款核销!$C:$C,""))</f>
        <v/>
      </c>
      <c r="W409" s="10">
        <f>IF(Q409="","",MAX(0,Q409-V409))</f>
        <v/>
      </c>
      <c r="X409" s="9" t="n"/>
      <c r="Y409" s="10">
        <f>IF(OR(N409="",X409=""),"",N409*X409)</f>
        <v/>
      </c>
      <c r="Z409" s="10">
        <f>IF(OR(Q409="",Y409=""),"",Q409-Y409)</f>
        <v/>
      </c>
      <c r="AA409" s="9" t="n"/>
      <c r="AB409" s="9" t="n"/>
    </row>
    <row r="410" ht="22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10">
        <f>IF(OR(N410="",P410=""),"",N410*P410)</f>
        <v/>
      </c>
      <c r="R410" s="9" t="n"/>
      <c r="S410" s="9" t="n"/>
      <c r="T410" s="9" t="n"/>
      <c r="U410" s="9">
        <f>IF(Q410="","",IF(W410=0,"已付款PAID",IF(V410&gt;0,"部分核销","未付款N/P")))</f>
        <v/>
      </c>
      <c r="V410" s="10">
        <f>IF(G410="","",SUMIFS(回款核销!$H:$H,回款核销!$C:$C,G410)+SUMIFS(回款核销!$H:$H,回款核销!$B:$B,D410,回款核销!$C:$C,""))</f>
        <v/>
      </c>
      <c r="W410" s="10">
        <f>IF(Q410="","",MAX(0,Q410-V410))</f>
        <v/>
      </c>
      <c r="X410" s="9" t="n"/>
      <c r="Y410" s="10">
        <f>IF(OR(N410="",X410=""),"",N410*X410)</f>
        <v/>
      </c>
      <c r="Z410" s="10">
        <f>IF(OR(Q410="",Y410=""),"",Q410-Y410)</f>
        <v/>
      </c>
      <c r="AA410" s="9" t="n"/>
      <c r="AB410" s="9" t="n"/>
    </row>
    <row r="411" ht="22" customHeight="1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10">
        <f>IF(OR(N411="",P411=""),"",N411*P411)</f>
        <v/>
      </c>
      <c r="R411" s="9" t="n"/>
      <c r="S411" s="9" t="n"/>
      <c r="T411" s="9" t="n"/>
      <c r="U411" s="9">
        <f>IF(Q411="","",IF(W411=0,"已付款PAID",IF(V411&gt;0,"部分核销","未付款N/P")))</f>
        <v/>
      </c>
      <c r="V411" s="10">
        <f>IF(G411="","",SUMIFS(回款核销!$H:$H,回款核销!$C:$C,G411)+SUMIFS(回款核销!$H:$H,回款核销!$B:$B,D411,回款核销!$C:$C,""))</f>
        <v/>
      </c>
      <c r="W411" s="10">
        <f>IF(Q411="","",MAX(0,Q411-V411))</f>
        <v/>
      </c>
      <c r="X411" s="9" t="n"/>
      <c r="Y411" s="10">
        <f>IF(OR(N411="",X411=""),"",N411*X411)</f>
        <v/>
      </c>
      <c r="Z411" s="10">
        <f>IF(OR(Q411="",Y411=""),"",Q411-Y411)</f>
        <v/>
      </c>
      <c r="AA411" s="9" t="n"/>
      <c r="AB411" s="9" t="n"/>
    </row>
    <row r="412" ht="22" customHeight="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10">
        <f>IF(OR(N412="",P412=""),"",N412*P412)</f>
        <v/>
      </c>
      <c r="R412" s="9" t="n"/>
      <c r="S412" s="9" t="n"/>
      <c r="T412" s="9" t="n"/>
      <c r="U412" s="9">
        <f>IF(Q412="","",IF(W412=0,"已付款PAID",IF(V412&gt;0,"部分核销","未付款N/P")))</f>
        <v/>
      </c>
      <c r="V412" s="10">
        <f>IF(G412="","",SUMIFS(回款核销!$H:$H,回款核销!$C:$C,G412)+SUMIFS(回款核销!$H:$H,回款核销!$B:$B,D412,回款核销!$C:$C,""))</f>
        <v/>
      </c>
      <c r="W412" s="10">
        <f>IF(Q412="","",MAX(0,Q412-V412))</f>
        <v/>
      </c>
      <c r="X412" s="9" t="n"/>
      <c r="Y412" s="10">
        <f>IF(OR(N412="",X412=""),"",N412*X412)</f>
        <v/>
      </c>
      <c r="Z412" s="10">
        <f>IF(OR(Q412="",Y412=""),"",Q412-Y412)</f>
        <v/>
      </c>
      <c r="AA412" s="9" t="n"/>
      <c r="AB412" s="9" t="n"/>
    </row>
    <row r="413" ht="22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10">
        <f>IF(OR(N413="",P413=""),"",N413*P413)</f>
        <v/>
      </c>
      <c r="R413" s="9" t="n"/>
      <c r="S413" s="9" t="n"/>
      <c r="T413" s="9" t="n"/>
      <c r="U413" s="9">
        <f>IF(Q413="","",IF(W413=0,"已付款PAID",IF(V413&gt;0,"部分核销","未付款N/P")))</f>
        <v/>
      </c>
      <c r="V413" s="10">
        <f>IF(G413="","",SUMIFS(回款核销!$H:$H,回款核销!$C:$C,G413)+SUMIFS(回款核销!$H:$H,回款核销!$B:$B,D413,回款核销!$C:$C,""))</f>
        <v/>
      </c>
      <c r="W413" s="10">
        <f>IF(Q413="","",MAX(0,Q413-V413))</f>
        <v/>
      </c>
      <c r="X413" s="9" t="n"/>
      <c r="Y413" s="10">
        <f>IF(OR(N413="",X413=""),"",N413*X413)</f>
        <v/>
      </c>
      <c r="Z413" s="10">
        <f>IF(OR(Q413="",Y413=""),"",Q413-Y413)</f>
        <v/>
      </c>
      <c r="AA413" s="9" t="n"/>
      <c r="AB413" s="9" t="n"/>
    </row>
    <row r="414" ht="22" customHeight="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10">
        <f>IF(OR(N414="",P414=""),"",N414*P414)</f>
        <v/>
      </c>
      <c r="R414" s="9" t="n"/>
      <c r="S414" s="9" t="n"/>
      <c r="T414" s="9" t="n"/>
      <c r="U414" s="9">
        <f>IF(Q414="","",IF(W414=0,"已付款PAID",IF(V414&gt;0,"部分核销","未付款N/P")))</f>
        <v/>
      </c>
      <c r="V414" s="10">
        <f>IF(G414="","",SUMIFS(回款核销!$H:$H,回款核销!$C:$C,G414)+SUMIFS(回款核销!$H:$H,回款核销!$B:$B,D414,回款核销!$C:$C,""))</f>
        <v/>
      </c>
      <c r="W414" s="10">
        <f>IF(Q414="","",MAX(0,Q414-V414))</f>
        <v/>
      </c>
      <c r="X414" s="9" t="n"/>
      <c r="Y414" s="10">
        <f>IF(OR(N414="",X414=""),"",N414*X414)</f>
        <v/>
      </c>
      <c r="Z414" s="10">
        <f>IF(OR(Q414="",Y414=""),"",Q414-Y414)</f>
        <v/>
      </c>
      <c r="AA414" s="9" t="n"/>
      <c r="AB414" s="9" t="n"/>
    </row>
    <row r="415" ht="22" customHeight="1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10">
        <f>IF(OR(N415="",P415=""),"",N415*P415)</f>
        <v/>
      </c>
      <c r="R415" s="9" t="n"/>
      <c r="S415" s="9" t="n"/>
      <c r="T415" s="9" t="n"/>
      <c r="U415" s="9">
        <f>IF(Q415="","",IF(W415=0,"已付款PAID",IF(V415&gt;0,"部分核销","未付款N/P")))</f>
        <v/>
      </c>
      <c r="V415" s="10">
        <f>IF(G415="","",SUMIFS(回款核销!$H:$H,回款核销!$C:$C,G415)+SUMIFS(回款核销!$H:$H,回款核销!$B:$B,D415,回款核销!$C:$C,""))</f>
        <v/>
      </c>
      <c r="W415" s="10">
        <f>IF(Q415="","",MAX(0,Q415-V415))</f>
        <v/>
      </c>
      <c r="X415" s="9" t="n"/>
      <c r="Y415" s="10">
        <f>IF(OR(N415="",X415=""),"",N415*X415)</f>
        <v/>
      </c>
      <c r="Z415" s="10">
        <f>IF(OR(Q415="",Y415=""),"",Q415-Y415)</f>
        <v/>
      </c>
      <c r="AA415" s="9" t="n"/>
      <c r="AB415" s="9" t="n"/>
    </row>
    <row r="416" ht="22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10">
        <f>IF(OR(N416="",P416=""),"",N416*P416)</f>
        <v/>
      </c>
      <c r="R416" s="9" t="n"/>
      <c r="S416" s="9" t="n"/>
      <c r="T416" s="9" t="n"/>
      <c r="U416" s="9">
        <f>IF(Q416="","",IF(W416=0,"已付款PAID",IF(V416&gt;0,"部分核销","未付款N/P")))</f>
        <v/>
      </c>
      <c r="V416" s="10">
        <f>IF(G416="","",SUMIFS(回款核销!$H:$H,回款核销!$C:$C,G416)+SUMIFS(回款核销!$H:$H,回款核销!$B:$B,D416,回款核销!$C:$C,""))</f>
        <v/>
      </c>
      <c r="W416" s="10">
        <f>IF(Q416="","",MAX(0,Q416-V416))</f>
        <v/>
      </c>
      <c r="X416" s="9" t="n"/>
      <c r="Y416" s="10">
        <f>IF(OR(N416="",X416=""),"",N416*X416)</f>
        <v/>
      </c>
      <c r="Z416" s="10">
        <f>IF(OR(Q416="",Y416=""),"",Q416-Y416)</f>
        <v/>
      </c>
      <c r="AA416" s="9" t="n"/>
      <c r="AB416" s="9" t="n"/>
    </row>
    <row r="417" ht="22" customHeight="1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10">
        <f>IF(OR(N417="",P417=""),"",N417*P417)</f>
        <v/>
      </c>
      <c r="R417" s="9" t="n"/>
      <c r="S417" s="9" t="n"/>
      <c r="T417" s="9" t="n"/>
      <c r="U417" s="9">
        <f>IF(Q417="","",IF(W417=0,"已付款PAID",IF(V417&gt;0,"部分核销","未付款N/P")))</f>
        <v/>
      </c>
      <c r="V417" s="10">
        <f>IF(G417="","",SUMIFS(回款核销!$H:$H,回款核销!$C:$C,G417)+SUMIFS(回款核销!$H:$H,回款核销!$B:$B,D417,回款核销!$C:$C,""))</f>
        <v/>
      </c>
      <c r="W417" s="10">
        <f>IF(Q417="","",MAX(0,Q417-V417))</f>
        <v/>
      </c>
      <c r="X417" s="9" t="n"/>
      <c r="Y417" s="10">
        <f>IF(OR(N417="",X417=""),"",N417*X417)</f>
        <v/>
      </c>
      <c r="Z417" s="10">
        <f>IF(OR(Q417="",Y417=""),"",Q417-Y417)</f>
        <v/>
      </c>
      <c r="AA417" s="9" t="n"/>
      <c r="AB417" s="9" t="n"/>
    </row>
    <row r="418" ht="22" customHeight="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10">
        <f>IF(OR(N418="",P418=""),"",N418*P418)</f>
        <v/>
      </c>
      <c r="R418" s="9" t="n"/>
      <c r="S418" s="9" t="n"/>
      <c r="T418" s="9" t="n"/>
      <c r="U418" s="9">
        <f>IF(Q418="","",IF(W418=0,"已付款PAID",IF(V418&gt;0,"部分核销","未付款N/P")))</f>
        <v/>
      </c>
      <c r="V418" s="10">
        <f>IF(G418="","",SUMIFS(回款核销!$H:$H,回款核销!$C:$C,G418)+SUMIFS(回款核销!$H:$H,回款核销!$B:$B,D418,回款核销!$C:$C,""))</f>
        <v/>
      </c>
      <c r="W418" s="10">
        <f>IF(Q418="","",MAX(0,Q418-V418))</f>
        <v/>
      </c>
      <c r="X418" s="9" t="n"/>
      <c r="Y418" s="10">
        <f>IF(OR(N418="",X418=""),"",N418*X418)</f>
        <v/>
      </c>
      <c r="Z418" s="10">
        <f>IF(OR(Q418="",Y418=""),"",Q418-Y418)</f>
        <v/>
      </c>
      <c r="AA418" s="9" t="n"/>
      <c r="AB418" s="9" t="n"/>
    </row>
    <row r="419" ht="22" customHeight="1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10">
        <f>IF(OR(N419="",P419=""),"",N419*P419)</f>
        <v/>
      </c>
      <c r="R419" s="9" t="n"/>
      <c r="S419" s="9" t="n"/>
      <c r="T419" s="9" t="n"/>
      <c r="U419" s="9">
        <f>IF(Q419="","",IF(W419=0,"已付款PAID",IF(V419&gt;0,"部分核销","未付款N/P")))</f>
        <v/>
      </c>
      <c r="V419" s="10">
        <f>IF(G419="","",SUMIFS(回款核销!$H:$H,回款核销!$C:$C,G419)+SUMIFS(回款核销!$H:$H,回款核销!$B:$B,D419,回款核销!$C:$C,""))</f>
        <v/>
      </c>
      <c r="W419" s="10">
        <f>IF(Q419="","",MAX(0,Q419-V419))</f>
        <v/>
      </c>
      <c r="X419" s="9" t="n"/>
      <c r="Y419" s="10">
        <f>IF(OR(N419="",X419=""),"",N419*X419)</f>
        <v/>
      </c>
      <c r="Z419" s="10">
        <f>IF(OR(Q419="",Y419=""),"",Q419-Y419)</f>
        <v/>
      </c>
      <c r="AA419" s="9" t="n"/>
      <c r="AB419" s="9" t="n"/>
    </row>
    <row r="420" ht="22" customHeight="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10">
        <f>IF(OR(N420="",P420=""),"",N420*P420)</f>
        <v/>
      </c>
      <c r="R420" s="9" t="n"/>
      <c r="S420" s="9" t="n"/>
      <c r="T420" s="9" t="n"/>
      <c r="U420" s="9">
        <f>IF(Q420="","",IF(W420=0,"已付款PAID",IF(V420&gt;0,"部分核销","未付款N/P")))</f>
        <v/>
      </c>
      <c r="V420" s="10">
        <f>IF(G420="","",SUMIFS(回款核销!$H:$H,回款核销!$C:$C,G420)+SUMIFS(回款核销!$H:$H,回款核销!$B:$B,D420,回款核销!$C:$C,""))</f>
        <v/>
      </c>
      <c r="W420" s="10">
        <f>IF(Q420="","",MAX(0,Q420-V420))</f>
        <v/>
      </c>
      <c r="X420" s="9" t="n"/>
      <c r="Y420" s="10">
        <f>IF(OR(N420="",X420=""),"",N420*X420)</f>
        <v/>
      </c>
      <c r="Z420" s="10">
        <f>IF(OR(Q420="",Y420=""),"",Q420-Y420)</f>
        <v/>
      </c>
      <c r="AA420" s="9" t="n"/>
      <c r="AB420" s="9" t="n"/>
    </row>
    <row r="421" ht="22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10">
        <f>IF(OR(N421="",P421=""),"",N421*P421)</f>
        <v/>
      </c>
      <c r="R421" s="9" t="n"/>
      <c r="S421" s="9" t="n"/>
      <c r="T421" s="9" t="n"/>
      <c r="U421" s="9">
        <f>IF(Q421="","",IF(W421=0,"已付款PAID",IF(V421&gt;0,"部分核销","未付款N/P")))</f>
        <v/>
      </c>
      <c r="V421" s="10">
        <f>IF(G421="","",SUMIFS(回款核销!$H:$H,回款核销!$C:$C,G421)+SUMIFS(回款核销!$H:$H,回款核销!$B:$B,D421,回款核销!$C:$C,""))</f>
        <v/>
      </c>
      <c r="W421" s="10">
        <f>IF(Q421="","",MAX(0,Q421-V421))</f>
        <v/>
      </c>
      <c r="X421" s="9" t="n"/>
      <c r="Y421" s="10">
        <f>IF(OR(N421="",X421=""),"",N421*X421)</f>
        <v/>
      </c>
      <c r="Z421" s="10">
        <f>IF(OR(Q421="",Y421=""),"",Q421-Y421)</f>
        <v/>
      </c>
      <c r="AA421" s="9" t="n"/>
      <c r="AB421" s="9" t="n"/>
    </row>
    <row r="422" ht="22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10">
        <f>IF(OR(N422="",P422=""),"",N422*P422)</f>
        <v/>
      </c>
      <c r="R422" s="9" t="n"/>
      <c r="S422" s="9" t="n"/>
      <c r="T422" s="9" t="n"/>
      <c r="U422" s="9">
        <f>IF(Q422="","",IF(W422=0,"已付款PAID",IF(V422&gt;0,"部分核销","未付款N/P")))</f>
        <v/>
      </c>
      <c r="V422" s="10">
        <f>IF(G422="","",SUMIFS(回款核销!$H:$H,回款核销!$C:$C,G422)+SUMIFS(回款核销!$H:$H,回款核销!$B:$B,D422,回款核销!$C:$C,""))</f>
        <v/>
      </c>
      <c r="W422" s="10">
        <f>IF(Q422="","",MAX(0,Q422-V422))</f>
        <v/>
      </c>
      <c r="X422" s="9" t="n"/>
      <c r="Y422" s="10">
        <f>IF(OR(N422="",X422=""),"",N422*X422)</f>
        <v/>
      </c>
      <c r="Z422" s="10">
        <f>IF(OR(Q422="",Y422=""),"",Q422-Y422)</f>
        <v/>
      </c>
      <c r="AA422" s="9" t="n"/>
      <c r="AB422" s="9" t="n"/>
    </row>
    <row r="423" ht="22" customHeight="1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10">
        <f>IF(OR(N423="",P423=""),"",N423*P423)</f>
        <v/>
      </c>
      <c r="R423" s="9" t="n"/>
      <c r="S423" s="9" t="n"/>
      <c r="T423" s="9" t="n"/>
      <c r="U423" s="9">
        <f>IF(Q423="","",IF(W423=0,"已付款PAID",IF(V423&gt;0,"部分核销","未付款N/P")))</f>
        <v/>
      </c>
      <c r="V423" s="10">
        <f>IF(G423="","",SUMIFS(回款核销!$H:$H,回款核销!$C:$C,G423)+SUMIFS(回款核销!$H:$H,回款核销!$B:$B,D423,回款核销!$C:$C,""))</f>
        <v/>
      </c>
      <c r="W423" s="10">
        <f>IF(Q423="","",MAX(0,Q423-V423))</f>
        <v/>
      </c>
      <c r="X423" s="9" t="n"/>
      <c r="Y423" s="10">
        <f>IF(OR(N423="",X423=""),"",N423*X423)</f>
        <v/>
      </c>
      <c r="Z423" s="10">
        <f>IF(OR(Q423="",Y423=""),"",Q423-Y423)</f>
        <v/>
      </c>
      <c r="AA423" s="9" t="n"/>
      <c r="AB423" s="9" t="n"/>
    </row>
    <row r="424" ht="22" customHeight="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10">
        <f>IF(OR(N424="",P424=""),"",N424*P424)</f>
        <v/>
      </c>
      <c r="R424" s="9" t="n"/>
      <c r="S424" s="9" t="n"/>
      <c r="T424" s="9" t="n"/>
      <c r="U424" s="9">
        <f>IF(Q424="","",IF(W424=0,"已付款PAID",IF(V424&gt;0,"部分核销","未付款N/P")))</f>
        <v/>
      </c>
      <c r="V424" s="10">
        <f>IF(G424="","",SUMIFS(回款核销!$H:$H,回款核销!$C:$C,G424)+SUMIFS(回款核销!$H:$H,回款核销!$B:$B,D424,回款核销!$C:$C,""))</f>
        <v/>
      </c>
      <c r="W424" s="10">
        <f>IF(Q424="","",MAX(0,Q424-V424))</f>
        <v/>
      </c>
      <c r="X424" s="9" t="n"/>
      <c r="Y424" s="10">
        <f>IF(OR(N424="",X424=""),"",N424*X424)</f>
        <v/>
      </c>
      <c r="Z424" s="10">
        <f>IF(OR(Q424="",Y424=""),"",Q424-Y424)</f>
        <v/>
      </c>
      <c r="AA424" s="9" t="n"/>
      <c r="AB424" s="9" t="n"/>
    </row>
    <row r="425" ht="22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10">
        <f>IF(OR(N425="",P425=""),"",N425*P425)</f>
        <v/>
      </c>
      <c r="R425" s="9" t="n"/>
      <c r="S425" s="9" t="n"/>
      <c r="T425" s="9" t="n"/>
      <c r="U425" s="9">
        <f>IF(Q425="","",IF(W425=0,"已付款PAID",IF(V425&gt;0,"部分核销","未付款N/P")))</f>
        <v/>
      </c>
      <c r="V425" s="10">
        <f>IF(G425="","",SUMIFS(回款核销!$H:$H,回款核销!$C:$C,G425)+SUMIFS(回款核销!$H:$H,回款核销!$B:$B,D425,回款核销!$C:$C,""))</f>
        <v/>
      </c>
      <c r="W425" s="10">
        <f>IF(Q425="","",MAX(0,Q425-V425))</f>
        <v/>
      </c>
      <c r="X425" s="9" t="n"/>
      <c r="Y425" s="10">
        <f>IF(OR(N425="",X425=""),"",N425*X425)</f>
        <v/>
      </c>
      <c r="Z425" s="10">
        <f>IF(OR(Q425="",Y425=""),"",Q425-Y425)</f>
        <v/>
      </c>
      <c r="AA425" s="9" t="n"/>
      <c r="AB425" s="9" t="n"/>
    </row>
    <row r="426" ht="22" customHeight="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10">
        <f>IF(OR(N426="",P426=""),"",N426*P426)</f>
        <v/>
      </c>
      <c r="R426" s="9" t="n"/>
      <c r="S426" s="9" t="n"/>
      <c r="T426" s="9" t="n"/>
      <c r="U426" s="9">
        <f>IF(Q426="","",IF(W426=0,"已付款PAID",IF(V426&gt;0,"部分核销","未付款N/P")))</f>
        <v/>
      </c>
      <c r="V426" s="10">
        <f>IF(G426="","",SUMIFS(回款核销!$H:$H,回款核销!$C:$C,G426)+SUMIFS(回款核销!$H:$H,回款核销!$B:$B,D426,回款核销!$C:$C,""))</f>
        <v/>
      </c>
      <c r="W426" s="10">
        <f>IF(Q426="","",MAX(0,Q426-V426))</f>
        <v/>
      </c>
      <c r="X426" s="9" t="n"/>
      <c r="Y426" s="10">
        <f>IF(OR(N426="",X426=""),"",N426*X426)</f>
        <v/>
      </c>
      <c r="Z426" s="10">
        <f>IF(OR(Q426="",Y426=""),"",Q426-Y426)</f>
        <v/>
      </c>
      <c r="AA426" s="9" t="n"/>
      <c r="AB426" s="9" t="n"/>
    </row>
    <row r="427" ht="22" customHeight="1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10">
        <f>IF(OR(N427="",P427=""),"",N427*P427)</f>
        <v/>
      </c>
      <c r="R427" s="9" t="n"/>
      <c r="S427" s="9" t="n"/>
      <c r="T427" s="9" t="n"/>
      <c r="U427" s="9">
        <f>IF(Q427="","",IF(W427=0,"已付款PAID",IF(V427&gt;0,"部分核销","未付款N/P")))</f>
        <v/>
      </c>
      <c r="V427" s="10">
        <f>IF(G427="","",SUMIFS(回款核销!$H:$H,回款核销!$C:$C,G427)+SUMIFS(回款核销!$H:$H,回款核销!$B:$B,D427,回款核销!$C:$C,""))</f>
        <v/>
      </c>
      <c r="W427" s="10">
        <f>IF(Q427="","",MAX(0,Q427-V427))</f>
        <v/>
      </c>
      <c r="X427" s="9" t="n"/>
      <c r="Y427" s="10">
        <f>IF(OR(N427="",X427=""),"",N427*X427)</f>
        <v/>
      </c>
      <c r="Z427" s="10">
        <f>IF(OR(Q427="",Y427=""),"",Q427-Y427)</f>
        <v/>
      </c>
      <c r="AA427" s="9" t="n"/>
      <c r="AB427" s="9" t="n"/>
    </row>
    <row r="428" ht="22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10">
        <f>IF(OR(N428="",P428=""),"",N428*P428)</f>
        <v/>
      </c>
      <c r="R428" s="9" t="n"/>
      <c r="S428" s="9" t="n"/>
      <c r="T428" s="9" t="n"/>
      <c r="U428" s="9">
        <f>IF(Q428="","",IF(W428=0,"已付款PAID",IF(V428&gt;0,"部分核销","未付款N/P")))</f>
        <v/>
      </c>
      <c r="V428" s="10">
        <f>IF(G428="","",SUMIFS(回款核销!$H:$H,回款核销!$C:$C,G428)+SUMIFS(回款核销!$H:$H,回款核销!$B:$B,D428,回款核销!$C:$C,""))</f>
        <v/>
      </c>
      <c r="W428" s="10">
        <f>IF(Q428="","",MAX(0,Q428-V428))</f>
        <v/>
      </c>
      <c r="X428" s="9" t="n"/>
      <c r="Y428" s="10">
        <f>IF(OR(N428="",X428=""),"",N428*X428)</f>
        <v/>
      </c>
      <c r="Z428" s="10">
        <f>IF(OR(Q428="",Y428=""),"",Q428-Y428)</f>
        <v/>
      </c>
      <c r="AA428" s="9" t="n"/>
      <c r="AB428" s="9" t="n"/>
    </row>
    <row r="429" ht="22" customHeight="1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10">
        <f>IF(OR(N429="",P429=""),"",N429*P429)</f>
        <v/>
      </c>
      <c r="R429" s="9" t="n"/>
      <c r="S429" s="9" t="n"/>
      <c r="T429" s="9" t="n"/>
      <c r="U429" s="9">
        <f>IF(Q429="","",IF(W429=0,"已付款PAID",IF(V429&gt;0,"部分核销","未付款N/P")))</f>
        <v/>
      </c>
      <c r="V429" s="10">
        <f>IF(G429="","",SUMIFS(回款核销!$H:$H,回款核销!$C:$C,G429)+SUMIFS(回款核销!$H:$H,回款核销!$B:$B,D429,回款核销!$C:$C,""))</f>
        <v/>
      </c>
      <c r="W429" s="10">
        <f>IF(Q429="","",MAX(0,Q429-V429))</f>
        <v/>
      </c>
      <c r="X429" s="9" t="n"/>
      <c r="Y429" s="10">
        <f>IF(OR(N429="",X429=""),"",N429*X429)</f>
        <v/>
      </c>
      <c r="Z429" s="10">
        <f>IF(OR(Q429="",Y429=""),"",Q429-Y429)</f>
        <v/>
      </c>
      <c r="AA429" s="9" t="n"/>
      <c r="AB429" s="9" t="n"/>
    </row>
    <row r="430" ht="22" customHeight="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10">
        <f>IF(OR(N430="",P430=""),"",N430*P430)</f>
        <v/>
      </c>
      <c r="R430" s="9" t="n"/>
      <c r="S430" s="9" t="n"/>
      <c r="T430" s="9" t="n"/>
      <c r="U430" s="9">
        <f>IF(Q430="","",IF(W430=0,"已付款PAID",IF(V430&gt;0,"部分核销","未付款N/P")))</f>
        <v/>
      </c>
      <c r="V430" s="10">
        <f>IF(G430="","",SUMIFS(回款核销!$H:$H,回款核销!$C:$C,G430)+SUMIFS(回款核销!$H:$H,回款核销!$B:$B,D430,回款核销!$C:$C,""))</f>
        <v/>
      </c>
      <c r="W430" s="10">
        <f>IF(Q430="","",MAX(0,Q430-V430))</f>
        <v/>
      </c>
      <c r="X430" s="9" t="n"/>
      <c r="Y430" s="10">
        <f>IF(OR(N430="",X430=""),"",N430*X430)</f>
        <v/>
      </c>
      <c r="Z430" s="10">
        <f>IF(OR(Q430="",Y430=""),"",Q430-Y430)</f>
        <v/>
      </c>
      <c r="AA430" s="9" t="n"/>
      <c r="AB430" s="9" t="n"/>
    </row>
    <row r="431" ht="22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10">
        <f>IF(OR(N431="",P431=""),"",N431*P431)</f>
        <v/>
      </c>
      <c r="R431" s="9" t="n"/>
      <c r="S431" s="9" t="n"/>
      <c r="T431" s="9" t="n"/>
      <c r="U431" s="9">
        <f>IF(Q431="","",IF(W431=0,"已付款PAID",IF(V431&gt;0,"部分核销","未付款N/P")))</f>
        <v/>
      </c>
      <c r="V431" s="10">
        <f>IF(G431="","",SUMIFS(回款核销!$H:$H,回款核销!$C:$C,G431)+SUMIFS(回款核销!$H:$H,回款核销!$B:$B,D431,回款核销!$C:$C,""))</f>
        <v/>
      </c>
      <c r="W431" s="10">
        <f>IF(Q431="","",MAX(0,Q431-V431))</f>
        <v/>
      </c>
      <c r="X431" s="9" t="n"/>
      <c r="Y431" s="10">
        <f>IF(OR(N431="",X431=""),"",N431*X431)</f>
        <v/>
      </c>
      <c r="Z431" s="10">
        <f>IF(OR(Q431="",Y431=""),"",Q431-Y431)</f>
        <v/>
      </c>
      <c r="AA431" s="9" t="n"/>
      <c r="AB431" s="9" t="n"/>
    </row>
    <row r="432" ht="22" customHeight="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10">
        <f>IF(OR(N432="",P432=""),"",N432*P432)</f>
        <v/>
      </c>
      <c r="R432" s="9" t="n"/>
      <c r="S432" s="9" t="n"/>
      <c r="T432" s="9" t="n"/>
      <c r="U432" s="9">
        <f>IF(Q432="","",IF(W432=0,"已付款PAID",IF(V432&gt;0,"部分核销","未付款N/P")))</f>
        <v/>
      </c>
      <c r="V432" s="10">
        <f>IF(G432="","",SUMIFS(回款核销!$H:$H,回款核销!$C:$C,G432)+SUMIFS(回款核销!$H:$H,回款核销!$B:$B,D432,回款核销!$C:$C,""))</f>
        <v/>
      </c>
      <c r="W432" s="10">
        <f>IF(Q432="","",MAX(0,Q432-V432))</f>
        <v/>
      </c>
      <c r="X432" s="9" t="n"/>
      <c r="Y432" s="10">
        <f>IF(OR(N432="",X432=""),"",N432*X432)</f>
        <v/>
      </c>
      <c r="Z432" s="10">
        <f>IF(OR(Q432="",Y432=""),"",Q432-Y432)</f>
        <v/>
      </c>
      <c r="AA432" s="9" t="n"/>
      <c r="AB432" s="9" t="n"/>
    </row>
    <row r="433" ht="22" customHeight="1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10">
        <f>IF(OR(N433="",P433=""),"",N433*P433)</f>
        <v/>
      </c>
      <c r="R433" s="9" t="n"/>
      <c r="S433" s="9" t="n"/>
      <c r="T433" s="9" t="n"/>
      <c r="U433" s="9">
        <f>IF(Q433="","",IF(W433=0,"已付款PAID",IF(V433&gt;0,"部分核销","未付款N/P")))</f>
        <v/>
      </c>
      <c r="V433" s="10">
        <f>IF(G433="","",SUMIFS(回款核销!$H:$H,回款核销!$C:$C,G433)+SUMIFS(回款核销!$H:$H,回款核销!$B:$B,D433,回款核销!$C:$C,""))</f>
        <v/>
      </c>
      <c r="W433" s="10">
        <f>IF(Q433="","",MAX(0,Q433-V433))</f>
        <v/>
      </c>
      <c r="X433" s="9" t="n"/>
      <c r="Y433" s="10">
        <f>IF(OR(N433="",X433=""),"",N433*X433)</f>
        <v/>
      </c>
      <c r="Z433" s="10">
        <f>IF(OR(Q433="",Y433=""),"",Q433-Y433)</f>
        <v/>
      </c>
      <c r="AA433" s="9" t="n"/>
      <c r="AB433" s="9" t="n"/>
    </row>
    <row r="434" ht="22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10">
        <f>IF(OR(N434="",P434=""),"",N434*P434)</f>
        <v/>
      </c>
      <c r="R434" s="9" t="n"/>
      <c r="S434" s="9" t="n"/>
      <c r="T434" s="9" t="n"/>
      <c r="U434" s="9">
        <f>IF(Q434="","",IF(W434=0,"已付款PAID",IF(V434&gt;0,"部分核销","未付款N/P")))</f>
        <v/>
      </c>
      <c r="V434" s="10">
        <f>IF(G434="","",SUMIFS(回款核销!$H:$H,回款核销!$C:$C,G434)+SUMIFS(回款核销!$H:$H,回款核销!$B:$B,D434,回款核销!$C:$C,""))</f>
        <v/>
      </c>
      <c r="W434" s="10">
        <f>IF(Q434="","",MAX(0,Q434-V434))</f>
        <v/>
      </c>
      <c r="X434" s="9" t="n"/>
      <c r="Y434" s="10">
        <f>IF(OR(N434="",X434=""),"",N434*X434)</f>
        <v/>
      </c>
      <c r="Z434" s="10">
        <f>IF(OR(Q434="",Y434=""),"",Q434-Y434)</f>
        <v/>
      </c>
      <c r="AA434" s="9" t="n"/>
      <c r="AB434" s="9" t="n"/>
    </row>
    <row r="435" ht="22" customHeight="1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10">
        <f>IF(OR(N435="",P435=""),"",N435*P435)</f>
        <v/>
      </c>
      <c r="R435" s="9" t="n"/>
      <c r="S435" s="9" t="n"/>
      <c r="T435" s="9" t="n"/>
      <c r="U435" s="9">
        <f>IF(Q435="","",IF(W435=0,"已付款PAID",IF(V435&gt;0,"部分核销","未付款N/P")))</f>
        <v/>
      </c>
      <c r="V435" s="10">
        <f>IF(G435="","",SUMIFS(回款核销!$H:$H,回款核销!$C:$C,G435)+SUMIFS(回款核销!$H:$H,回款核销!$B:$B,D435,回款核销!$C:$C,""))</f>
        <v/>
      </c>
      <c r="W435" s="10">
        <f>IF(Q435="","",MAX(0,Q435-V435))</f>
        <v/>
      </c>
      <c r="X435" s="9" t="n"/>
      <c r="Y435" s="10">
        <f>IF(OR(N435="",X435=""),"",N435*X435)</f>
        <v/>
      </c>
      <c r="Z435" s="10">
        <f>IF(OR(Q435="",Y435=""),"",Q435-Y435)</f>
        <v/>
      </c>
      <c r="AA435" s="9" t="n"/>
      <c r="AB435" s="9" t="n"/>
    </row>
    <row r="436" ht="22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10">
        <f>IF(OR(N436="",P436=""),"",N436*P436)</f>
        <v/>
      </c>
      <c r="R436" s="9" t="n"/>
      <c r="S436" s="9" t="n"/>
      <c r="T436" s="9" t="n"/>
      <c r="U436" s="9">
        <f>IF(Q436="","",IF(W436=0,"已付款PAID",IF(V436&gt;0,"部分核销","未付款N/P")))</f>
        <v/>
      </c>
      <c r="V436" s="10">
        <f>IF(G436="","",SUMIFS(回款核销!$H:$H,回款核销!$C:$C,G436)+SUMIFS(回款核销!$H:$H,回款核销!$B:$B,D436,回款核销!$C:$C,""))</f>
        <v/>
      </c>
      <c r="W436" s="10">
        <f>IF(Q436="","",MAX(0,Q436-V436))</f>
        <v/>
      </c>
      <c r="X436" s="9" t="n"/>
      <c r="Y436" s="10">
        <f>IF(OR(N436="",X436=""),"",N436*X436)</f>
        <v/>
      </c>
      <c r="Z436" s="10">
        <f>IF(OR(Q436="",Y436=""),"",Q436-Y436)</f>
        <v/>
      </c>
      <c r="AA436" s="9" t="n"/>
      <c r="AB436" s="9" t="n"/>
    </row>
    <row r="437" ht="22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10">
        <f>IF(OR(N437="",P437=""),"",N437*P437)</f>
        <v/>
      </c>
      <c r="R437" s="9" t="n"/>
      <c r="S437" s="9" t="n"/>
      <c r="T437" s="9" t="n"/>
      <c r="U437" s="9">
        <f>IF(Q437="","",IF(W437=0,"已付款PAID",IF(V437&gt;0,"部分核销","未付款N/P")))</f>
        <v/>
      </c>
      <c r="V437" s="10">
        <f>IF(G437="","",SUMIFS(回款核销!$H:$H,回款核销!$C:$C,G437)+SUMIFS(回款核销!$H:$H,回款核销!$B:$B,D437,回款核销!$C:$C,""))</f>
        <v/>
      </c>
      <c r="W437" s="10">
        <f>IF(Q437="","",MAX(0,Q437-V437))</f>
        <v/>
      </c>
      <c r="X437" s="9" t="n"/>
      <c r="Y437" s="10">
        <f>IF(OR(N437="",X437=""),"",N437*X437)</f>
        <v/>
      </c>
      <c r="Z437" s="10">
        <f>IF(OR(Q437="",Y437=""),"",Q437-Y437)</f>
        <v/>
      </c>
      <c r="AA437" s="9" t="n"/>
      <c r="AB437" s="9" t="n"/>
    </row>
    <row r="438" ht="22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10">
        <f>IF(OR(N438="",P438=""),"",N438*P438)</f>
        <v/>
      </c>
      <c r="R438" s="9" t="n"/>
      <c r="S438" s="9" t="n"/>
      <c r="T438" s="9" t="n"/>
      <c r="U438" s="9">
        <f>IF(Q438="","",IF(W438=0,"已付款PAID",IF(V438&gt;0,"部分核销","未付款N/P")))</f>
        <v/>
      </c>
      <c r="V438" s="10">
        <f>IF(G438="","",SUMIFS(回款核销!$H:$H,回款核销!$C:$C,G438)+SUMIFS(回款核销!$H:$H,回款核销!$B:$B,D438,回款核销!$C:$C,""))</f>
        <v/>
      </c>
      <c r="W438" s="10">
        <f>IF(Q438="","",MAX(0,Q438-V438))</f>
        <v/>
      </c>
      <c r="X438" s="9" t="n"/>
      <c r="Y438" s="10">
        <f>IF(OR(N438="",X438=""),"",N438*X438)</f>
        <v/>
      </c>
      <c r="Z438" s="10">
        <f>IF(OR(Q438="",Y438=""),"",Q438-Y438)</f>
        <v/>
      </c>
      <c r="AA438" s="9" t="n"/>
      <c r="AB438" s="9" t="n"/>
    </row>
    <row r="439" ht="22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10">
        <f>IF(OR(N439="",P439=""),"",N439*P439)</f>
        <v/>
      </c>
      <c r="R439" s="9" t="n"/>
      <c r="S439" s="9" t="n"/>
      <c r="T439" s="9" t="n"/>
      <c r="U439" s="9">
        <f>IF(Q439="","",IF(W439=0,"已付款PAID",IF(V439&gt;0,"部分核销","未付款N/P")))</f>
        <v/>
      </c>
      <c r="V439" s="10">
        <f>IF(G439="","",SUMIFS(回款核销!$H:$H,回款核销!$C:$C,G439)+SUMIFS(回款核销!$H:$H,回款核销!$B:$B,D439,回款核销!$C:$C,""))</f>
        <v/>
      </c>
      <c r="W439" s="10">
        <f>IF(Q439="","",MAX(0,Q439-V439))</f>
        <v/>
      </c>
      <c r="X439" s="9" t="n"/>
      <c r="Y439" s="10">
        <f>IF(OR(N439="",X439=""),"",N439*X439)</f>
        <v/>
      </c>
      <c r="Z439" s="10">
        <f>IF(OR(Q439="",Y439=""),"",Q439-Y439)</f>
        <v/>
      </c>
      <c r="AA439" s="9" t="n"/>
      <c r="AB439" s="9" t="n"/>
    </row>
    <row r="440" ht="22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10">
        <f>IF(OR(N440="",P440=""),"",N440*P440)</f>
        <v/>
      </c>
      <c r="R440" s="9" t="n"/>
      <c r="S440" s="9" t="n"/>
      <c r="T440" s="9" t="n"/>
      <c r="U440" s="9">
        <f>IF(Q440="","",IF(W440=0,"已付款PAID",IF(V440&gt;0,"部分核销","未付款N/P")))</f>
        <v/>
      </c>
      <c r="V440" s="10">
        <f>IF(G440="","",SUMIFS(回款核销!$H:$H,回款核销!$C:$C,G440)+SUMIFS(回款核销!$H:$H,回款核销!$B:$B,D440,回款核销!$C:$C,""))</f>
        <v/>
      </c>
      <c r="W440" s="10">
        <f>IF(Q440="","",MAX(0,Q440-V440))</f>
        <v/>
      </c>
      <c r="X440" s="9" t="n"/>
      <c r="Y440" s="10">
        <f>IF(OR(N440="",X440=""),"",N440*X440)</f>
        <v/>
      </c>
      <c r="Z440" s="10">
        <f>IF(OR(Q440="",Y440=""),"",Q440-Y440)</f>
        <v/>
      </c>
      <c r="AA440" s="9" t="n"/>
      <c r="AB440" s="9" t="n"/>
    </row>
    <row r="441" ht="22" customHeight="1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10">
        <f>IF(OR(N441="",P441=""),"",N441*P441)</f>
        <v/>
      </c>
      <c r="R441" s="9" t="n"/>
      <c r="S441" s="9" t="n"/>
      <c r="T441" s="9" t="n"/>
      <c r="U441" s="9">
        <f>IF(Q441="","",IF(W441=0,"已付款PAID",IF(V441&gt;0,"部分核销","未付款N/P")))</f>
        <v/>
      </c>
      <c r="V441" s="10">
        <f>IF(G441="","",SUMIFS(回款核销!$H:$H,回款核销!$C:$C,G441)+SUMIFS(回款核销!$H:$H,回款核销!$B:$B,D441,回款核销!$C:$C,""))</f>
        <v/>
      </c>
      <c r="W441" s="10">
        <f>IF(Q441="","",MAX(0,Q441-V441))</f>
        <v/>
      </c>
      <c r="X441" s="9" t="n"/>
      <c r="Y441" s="10">
        <f>IF(OR(N441="",X441=""),"",N441*X441)</f>
        <v/>
      </c>
      <c r="Z441" s="10">
        <f>IF(OR(Q441="",Y441=""),"",Q441-Y441)</f>
        <v/>
      </c>
      <c r="AA441" s="9" t="n"/>
      <c r="AB441" s="9" t="n"/>
    </row>
    <row r="442" ht="22" customHeight="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10">
        <f>IF(OR(N442="",P442=""),"",N442*P442)</f>
        <v/>
      </c>
      <c r="R442" s="9" t="n"/>
      <c r="S442" s="9" t="n"/>
      <c r="T442" s="9" t="n"/>
      <c r="U442" s="9">
        <f>IF(Q442="","",IF(W442=0,"已付款PAID",IF(V442&gt;0,"部分核销","未付款N/P")))</f>
        <v/>
      </c>
      <c r="V442" s="10">
        <f>IF(G442="","",SUMIFS(回款核销!$H:$H,回款核销!$C:$C,G442)+SUMIFS(回款核销!$H:$H,回款核销!$B:$B,D442,回款核销!$C:$C,""))</f>
        <v/>
      </c>
      <c r="W442" s="10">
        <f>IF(Q442="","",MAX(0,Q442-V442))</f>
        <v/>
      </c>
      <c r="X442" s="9" t="n"/>
      <c r="Y442" s="10">
        <f>IF(OR(N442="",X442=""),"",N442*X442)</f>
        <v/>
      </c>
      <c r="Z442" s="10">
        <f>IF(OR(Q442="",Y442=""),"",Q442-Y442)</f>
        <v/>
      </c>
      <c r="AA442" s="9" t="n"/>
      <c r="AB442" s="9" t="n"/>
    </row>
    <row r="443" ht="22" customHeight="1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10">
        <f>IF(OR(N443="",P443=""),"",N443*P443)</f>
        <v/>
      </c>
      <c r="R443" s="9" t="n"/>
      <c r="S443" s="9" t="n"/>
      <c r="T443" s="9" t="n"/>
      <c r="U443" s="9">
        <f>IF(Q443="","",IF(W443=0,"已付款PAID",IF(V443&gt;0,"部分核销","未付款N/P")))</f>
        <v/>
      </c>
      <c r="V443" s="10">
        <f>IF(G443="","",SUMIFS(回款核销!$H:$H,回款核销!$C:$C,G443)+SUMIFS(回款核销!$H:$H,回款核销!$B:$B,D443,回款核销!$C:$C,""))</f>
        <v/>
      </c>
      <c r="W443" s="10">
        <f>IF(Q443="","",MAX(0,Q443-V443))</f>
        <v/>
      </c>
      <c r="X443" s="9" t="n"/>
      <c r="Y443" s="10">
        <f>IF(OR(N443="",X443=""),"",N443*X443)</f>
        <v/>
      </c>
      <c r="Z443" s="10">
        <f>IF(OR(Q443="",Y443=""),"",Q443-Y443)</f>
        <v/>
      </c>
      <c r="AA443" s="9" t="n"/>
      <c r="AB443" s="9" t="n"/>
    </row>
    <row r="444" ht="22" customHeight="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10">
        <f>IF(OR(N444="",P444=""),"",N444*P444)</f>
        <v/>
      </c>
      <c r="R444" s="9" t="n"/>
      <c r="S444" s="9" t="n"/>
      <c r="T444" s="9" t="n"/>
      <c r="U444" s="9">
        <f>IF(Q444="","",IF(W444=0,"已付款PAID",IF(V444&gt;0,"部分核销","未付款N/P")))</f>
        <v/>
      </c>
      <c r="V444" s="10">
        <f>IF(G444="","",SUMIFS(回款核销!$H:$H,回款核销!$C:$C,G444)+SUMIFS(回款核销!$H:$H,回款核销!$B:$B,D444,回款核销!$C:$C,""))</f>
        <v/>
      </c>
      <c r="W444" s="10">
        <f>IF(Q444="","",MAX(0,Q444-V444))</f>
        <v/>
      </c>
      <c r="X444" s="9" t="n"/>
      <c r="Y444" s="10">
        <f>IF(OR(N444="",X444=""),"",N444*X444)</f>
        <v/>
      </c>
      <c r="Z444" s="10">
        <f>IF(OR(Q444="",Y444=""),"",Q444-Y444)</f>
        <v/>
      </c>
      <c r="AA444" s="9" t="n"/>
      <c r="AB444" s="9" t="n"/>
    </row>
    <row r="445" ht="22" customHeight="1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10">
        <f>IF(OR(N445="",P445=""),"",N445*P445)</f>
        <v/>
      </c>
      <c r="R445" s="9" t="n"/>
      <c r="S445" s="9" t="n"/>
      <c r="T445" s="9" t="n"/>
      <c r="U445" s="9">
        <f>IF(Q445="","",IF(W445=0,"已付款PAID",IF(V445&gt;0,"部分核销","未付款N/P")))</f>
        <v/>
      </c>
      <c r="V445" s="10">
        <f>IF(G445="","",SUMIFS(回款核销!$H:$H,回款核销!$C:$C,G445)+SUMIFS(回款核销!$H:$H,回款核销!$B:$B,D445,回款核销!$C:$C,""))</f>
        <v/>
      </c>
      <c r="W445" s="10">
        <f>IF(Q445="","",MAX(0,Q445-V445))</f>
        <v/>
      </c>
      <c r="X445" s="9" t="n"/>
      <c r="Y445" s="10">
        <f>IF(OR(N445="",X445=""),"",N445*X445)</f>
        <v/>
      </c>
      <c r="Z445" s="10">
        <f>IF(OR(Q445="",Y445=""),"",Q445-Y445)</f>
        <v/>
      </c>
      <c r="AA445" s="9" t="n"/>
      <c r="AB445" s="9" t="n"/>
    </row>
    <row r="446" ht="22" customHeight="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10">
        <f>IF(OR(N446="",P446=""),"",N446*P446)</f>
        <v/>
      </c>
      <c r="R446" s="9" t="n"/>
      <c r="S446" s="9" t="n"/>
      <c r="T446" s="9" t="n"/>
      <c r="U446" s="9">
        <f>IF(Q446="","",IF(W446=0,"已付款PAID",IF(V446&gt;0,"部分核销","未付款N/P")))</f>
        <v/>
      </c>
      <c r="V446" s="10">
        <f>IF(G446="","",SUMIFS(回款核销!$H:$H,回款核销!$C:$C,G446)+SUMIFS(回款核销!$H:$H,回款核销!$B:$B,D446,回款核销!$C:$C,""))</f>
        <v/>
      </c>
      <c r="W446" s="10">
        <f>IF(Q446="","",MAX(0,Q446-V446))</f>
        <v/>
      </c>
      <c r="X446" s="9" t="n"/>
      <c r="Y446" s="10">
        <f>IF(OR(N446="",X446=""),"",N446*X446)</f>
        <v/>
      </c>
      <c r="Z446" s="10">
        <f>IF(OR(Q446="",Y446=""),"",Q446-Y446)</f>
        <v/>
      </c>
      <c r="AA446" s="9" t="n"/>
      <c r="AB446" s="9" t="n"/>
    </row>
    <row r="447" ht="22" customHeight="1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10">
        <f>IF(OR(N447="",P447=""),"",N447*P447)</f>
        <v/>
      </c>
      <c r="R447" s="9" t="n"/>
      <c r="S447" s="9" t="n"/>
      <c r="T447" s="9" t="n"/>
      <c r="U447" s="9">
        <f>IF(Q447="","",IF(W447=0,"已付款PAID",IF(V447&gt;0,"部分核销","未付款N/P")))</f>
        <v/>
      </c>
      <c r="V447" s="10">
        <f>IF(G447="","",SUMIFS(回款核销!$H:$H,回款核销!$C:$C,G447)+SUMIFS(回款核销!$H:$H,回款核销!$B:$B,D447,回款核销!$C:$C,""))</f>
        <v/>
      </c>
      <c r="W447" s="10">
        <f>IF(Q447="","",MAX(0,Q447-V447))</f>
        <v/>
      </c>
      <c r="X447" s="9" t="n"/>
      <c r="Y447" s="10">
        <f>IF(OR(N447="",X447=""),"",N447*X447)</f>
        <v/>
      </c>
      <c r="Z447" s="10">
        <f>IF(OR(Q447="",Y447=""),"",Q447-Y447)</f>
        <v/>
      </c>
      <c r="AA447" s="9" t="n"/>
      <c r="AB447" s="9" t="n"/>
    </row>
    <row r="448" ht="22" customHeight="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10">
        <f>IF(OR(N448="",P448=""),"",N448*P448)</f>
        <v/>
      </c>
      <c r="R448" s="9" t="n"/>
      <c r="S448" s="9" t="n"/>
      <c r="T448" s="9" t="n"/>
      <c r="U448" s="9">
        <f>IF(Q448="","",IF(W448=0,"已付款PAID",IF(V448&gt;0,"部分核销","未付款N/P")))</f>
        <v/>
      </c>
      <c r="V448" s="10">
        <f>IF(G448="","",SUMIFS(回款核销!$H:$H,回款核销!$C:$C,G448)+SUMIFS(回款核销!$H:$H,回款核销!$B:$B,D448,回款核销!$C:$C,""))</f>
        <v/>
      </c>
      <c r="W448" s="10">
        <f>IF(Q448="","",MAX(0,Q448-V448))</f>
        <v/>
      </c>
      <c r="X448" s="9" t="n"/>
      <c r="Y448" s="10">
        <f>IF(OR(N448="",X448=""),"",N448*X448)</f>
        <v/>
      </c>
      <c r="Z448" s="10">
        <f>IF(OR(Q448="",Y448=""),"",Q448-Y448)</f>
        <v/>
      </c>
      <c r="AA448" s="9" t="n"/>
      <c r="AB448" s="9" t="n"/>
    </row>
    <row r="449" ht="22" customHeight="1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10">
        <f>IF(OR(N449="",P449=""),"",N449*P449)</f>
        <v/>
      </c>
      <c r="R449" s="9" t="n"/>
      <c r="S449" s="9" t="n"/>
      <c r="T449" s="9" t="n"/>
      <c r="U449" s="9">
        <f>IF(Q449="","",IF(W449=0,"已付款PAID",IF(V449&gt;0,"部分核销","未付款N/P")))</f>
        <v/>
      </c>
      <c r="V449" s="10">
        <f>IF(G449="","",SUMIFS(回款核销!$H:$H,回款核销!$C:$C,G449)+SUMIFS(回款核销!$H:$H,回款核销!$B:$B,D449,回款核销!$C:$C,""))</f>
        <v/>
      </c>
      <c r="W449" s="10">
        <f>IF(Q449="","",MAX(0,Q449-V449))</f>
        <v/>
      </c>
      <c r="X449" s="9" t="n"/>
      <c r="Y449" s="10">
        <f>IF(OR(N449="",X449=""),"",N449*X449)</f>
        <v/>
      </c>
      <c r="Z449" s="10">
        <f>IF(OR(Q449="",Y449=""),"",Q449-Y449)</f>
        <v/>
      </c>
      <c r="AA449" s="9" t="n"/>
      <c r="AB449" s="9" t="n"/>
    </row>
    <row r="450" ht="22" customHeight="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10">
        <f>IF(OR(N450="",P450=""),"",N450*P450)</f>
        <v/>
      </c>
      <c r="R450" s="9" t="n"/>
      <c r="S450" s="9" t="n"/>
      <c r="T450" s="9" t="n"/>
      <c r="U450" s="9">
        <f>IF(Q450="","",IF(W450=0,"已付款PAID",IF(V450&gt;0,"部分核销","未付款N/P")))</f>
        <v/>
      </c>
      <c r="V450" s="10">
        <f>IF(G450="","",SUMIFS(回款核销!$H:$H,回款核销!$C:$C,G450)+SUMIFS(回款核销!$H:$H,回款核销!$B:$B,D450,回款核销!$C:$C,""))</f>
        <v/>
      </c>
      <c r="W450" s="10">
        <f>IF(Q450="","",MAX(0,Q450-V450))</f>
        <v/>
      </c>
      <c r="X450" s="9" t="n"/>
      <c r="Y450" s="10">
        <f>IF(OR(N450="",X450=""),"",N450*X450)</f>
        <v/>
      </c>
      <c r="Z450" s="10">
        <f>IF(OR(Q450="",Y450=""),"",Q450-Y450)</f>
        <v/>
      </c>
      <c r="AA450" s="9" t="n"/>
      <c r="AB450" s="9" t="n"/>
    </row>
    <row r="451" ht="22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10">
        <f>IF(OR(N451="",P451=""),"",N451*P451)</f>
        <v/>
      </c>
      <c r="R451" s="9" t="n"/>
      <c r="S451" s="9" t="n"/>
      <c r="T451" s="9" t="n"/>
      <c r="U451" s="9">
        <f>IF(Q451="","",IF(W451=0,"已付款PAID",IF(V451&gt;0,"部分核销","未付款N/P")))</f>
        <v/>
      </c>
      <c r="V451" s="10">
        <f>IF(G451="","",SUMIFS(回款核销!$H:$H,回款核销!$C:$C,G451)+SUMIFS(回款核销!$H:$H,回款核销!$B:$B,D451,回款核销!$C:$C,""))</f>
        <v/>
      </c>
      <c r="W451" s="10">
        <f>IF(Q451="","",MAX(0,Q451-V451))</f>
        <v/>
      </c>
      <c r="X451" s="9" t="n"/>
      <c r="Y451" s="10">
        <f>IF(OR(N451="",X451=""),"",N451*X451)</f>
        <v/>
      </c>
      <c r="Z451" s="10">
        <f>IF(OR(Q451="",Y451=""),"",Q451-Y451)</f>
        <v/>
      </c>
      <c r="AA451" s="9" t="n"/>
      <c r="AB451" s="9" t="n"/>
    </row>
    <row r="452" ht="22" customHeight="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10">
        <f>IF(OR(N452="",P452=""),"",N452*P452)</f>
        <v/>
      </c>
      <c r="R452" s="9" t="n"/>
      <c r="S452" s="9" t="n"/>
      <c r="T452" s="9" t="n"/>
      <c r="U452" s="9">
        <f>IF(Q452="","",IF(W452=0,"已付款PAID",IF(V452&gt;0,"部分核销","未付款N/P")))</f>
        <v/>
      </c>
      <c r="V452" s="10">
        <f>IF(G452="","",SUMIFS(回款核销!$H:$H,回款核销!$C:$C,G452)+SUMIFS(回款核销!$H:$H,回款核销!$B:$B,D452,回款核销!$C:$C,""))</f>
        <v/>
      </c>
      <c r="W452" s="10">
        <f>IF(Q452="","",MAX(0,Q452-V452))</f>
        <v/>
      </c>
      <c r="X452" s="9" t="n"/>
      <c r="Y452" s="10">
        <f>IF(OR(N452="",X452=""),"",N452*X452)</f>
        <v/>
      </c>
      <c r="Z452" s="10">
        <f>IF(OR(Q452="",Y452=""),"",Q452-Y452)</f>
        <v/>
      </c>
      <c r="AA452" s="9" t="n"/>
      <c r="AB452" s="9" t="n"/>
    </row>
    <row r="453" ht="22" customHeight="1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10">
        <f>IF(OR(N453="",P453=""),"",N453*P453)</f>
        <v/>
      </c>
      <c r="R453" s="9" t="n"/>
      <c r="S453" s="9" t="n"/>
      <c r="T453" s="9" t="n"/>
      <c r="U453" s="9">
        <f>IF(Q453="","",IF(W453=0,"已付款PAID",IF(V453&gt;0,"部分核销","未付款N/P")))</f>
        <v/>
      </c>
      <c r="V453" s="10">
        <f>IF(G453="","",SUMIFS(回款核销!$H:$H,回款核销!$C:$C,G453)+SUMIFS(回款核销!$H:$H,回款核销!$B:$B,D453,回款核销!$C:$C,""))</f>
        <v/>
      </c>
      <c r="W453" s="10">
        <f>IF(Q453="","",MAX(0,Q453-V453))</f>
        <v/>
      </c>
      <c r="X453" s="9" t="n"/>
      <c r="Y453" s="10">
        <f>IF(OR(N453="",X453=""),"",N453*X453)</f>
        <v/>
      </c>
      <c r="Z453" s="10">
        <f>IF(OR(Q453="",Y453=""),"",Q453-Y453)</f>
        <v/>
      </c>
      <c r="AA453" s="9" t="n"/>
      <c r="AB453" s="9" t="n"/>
    </row>
    <row r="454" ht="22" customHeight="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10">
        <f>IF(OR(N454="",P454=""),"",N454*P454)</f>
        <v/>
      </c>
      <c r="R454" s="9" t="n"/>
      <c r="S454" s="9" t="n"/>
      <c r="T454" s="9" t="n"/>
      <c r="U454" s="9">
        <f>IF(Q454="","",IF(W454=0,"已付款PAID",IF(V454&gt;0,"部分核销","未付款N/P")))</f>
        <v/>
      </c>
      <c r="V454" s="10">
        <f>IF(G454="","",SUMIFS(回款核销!$H:$H,回款核销!$C:$C,G454)+SUMIFS(回款核销!$H:$H,回款核销!$B:$B,D454,回款核销!$C:$C,""))</f>
        <v/>
      </c>
      <c r="W454" s="10">
        <f>IF(Q454="","",MAX(0,Q454-V454))</f>
        <v/>
      </c>
      <c r="X454" s="9" t="n"/>
      <c r="Y454" s="10">
        <f>IF(OR(N454="",X454=""),"",N454*X454)</f>
        <v/>
      </c>
      <c r="Z454" s="10">
        <f>IF(OR(Q454="",Y454=""),"",Q454-Y454)</f>
        <v/>
      </c>
      <c r="AA454" s="9" t="n"/>
      <c r="AB454" s="9" t="n"/>
    </row>
    <row r="455" ht="22" customHeight="1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10">
        <f>IF(OR(N455="",P455=""),"",N455*P455)</f>
        <v/>
      </c>
      <c r="R455" s="9" t="n"/>
      <c r="S455" s="9" t="n"/>
      <c r="T455" s="9" t="n"/>
      <c r="U455" s="9">
        <f>IF(Q455="","",IF(W455=0,"已付款PAID",IF(V455&gt;0,"部分核销","未付款N/P")))</f>
        <v/>
      </c>
      <c r="V455" s="10">
        <f>IF(G455="","",SUMIFS(回款核销!$H:$H,回款核销!$C:$C,G455)+SUMIFS(回款核销!$H:$H,回款核销!$B:$B,D455,回款核销!$C:$C,""))</f>
        <v/>
      </c>
      <c r="W455" s="10">
        <f>IF(Q455="","",MAX(0,Q455-V455))</f>
        <v/>
      </c>
      <c r="X455" s="9" t="n"/>
      <c r="Y455" s="10">
        <f>IF(OR(N455="",X455=""),"",N455*X455)</f>
        <v/>
      </c>
      <c r="Z455" s="10">
        <f>IF(OR(Q455="",Y455=""),"",Q455-Y455)</f>
        <v/>
      </c>
      <c r="AA455" s="9" t="n"/>
      <c r="AB455" s="9" t="n"/>
    </row>
    <row r="456" ht="22" customHeight="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10">
        <f>IF(OR(N456="",P456=""),"",N456*P456)</f>
        <v/>
      </c>
      <c r="R456" s="9" t="n"/>
      <c r="S456" s="9" t="n"/>
      <c r="T456" s="9" t="n"/>
      <c r="U456" s="9">
        <f>IF(Q456="","",IF(W456=0,"已付款PAID",IF(V456&gt;0,"部分核销","未付款N/P")))</f>
        <v/>
      </c>
      <c r="V456" s="10">
        <f>IF(G456="","",SUMIFS(回款核销!$H:$H,回款核销!$C:$C,G456)+SUMIFS(回款核销!$H:$H,回款核销!$B:$B,D456,回款核销!$C:$C,""))</f>
        <v/>
      </c>
      <c r="W456" s="10">
        <f>IF(Q456="","",MAX(0,Q456-V456))</f>
        <v/>
      </c>
      <c r="X456" s="9" t="n"/>
      <c r="Y456" s="10">
        <f>IF(OR(N456="",X456=""),"",N456*X456)</f>
        <v/>
      </c>
      <c r="Z456" s="10">
        <f>IF(OR(Q456="",Y456=""),"",Q456-Y456)</f>
        <v/>
      </c>
      <c r="AA456" s="9" t="n"/>
      <c r="AB456" s="9" t="n"/>
    </row>
    <row r="457" ht="22" customHeight="1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10">
        <f>IF(OR(N457="",P457=""),"",N457*P457)</f>
        <v/>
      </c>
      <c r="R457" s="9" t="n"/>
      <c r="S457" s="9" t="n"/>
      <c r="T457" s="9" t="n"/>
      <c r="U457" s="9">
        <f>IF(Q457="","",IF(W457=0,"已付款PAID",IF(V457&gt;0,"部分核销","未付款N/P")))</f>
        <v/>
      </c>
      <c r="V457" s="10">
        <f>IF(G457="","",SUMIFS(回款核销!$H:$H,回款核销!$C:$C,G457)+SUMIFS(回款核销!$H:$H,回款核销!$B:$B,D457,回款核销!$C:$C,""))</f>
        <v/>
      </c>
      <c r="W457" s="10">
        <f>IF(Q457="","",MAX(0,Q457-V457))</f>
        <v/>
      </c>
      <c r="X457" s="9" t="n"/>
      <c r="Y457" s="10">
        <f>IF(OR(N457="",X457=""),"",N457*X457)</f>
        <v/>
      </c>
      <c r="Z457" s="10">
        <f>IF(OR(Q457="",Y457=""),"",Q457-Y457)</f>
        <v/>
      </c>
      <c r="AA457" s="9" t="n"/>
      <c r="AB457" s="9" t="n"/>
    </row>
    <row r="458" ht="22" customHeight="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10">
        <f>IF(OR(N458="",P458=""),"",N458*P458)</f>
        <v/>
      </c>
      <c r="R458" s="9" t="n"/>
      <c r="S458" s="9" t="n"/>
      <c r="T458" s="9" t="n"/>
      <c r="U458" s="9">
        <f>IF(Q458="","",IF(W458=0,"已付款PAID",IF(V458&gt;0,"部分核销","未付款N/P")))</f>
        <v/>
      </c>
      <c r="V458" s="10">
        <f>IF(G458="","",SUMIFS(回款核销!$H:$H,回款核销!$C:$C,G458)+SUMIFS(回款核销!$H:$H,回款核销!$B:$B,D458,回款核销!$C:$C,""))</f>
        <v/>
      </c>
      <c r="W458" s="10">
        <f>IF(Q458="","",MAX(0,Q458-V458))</f>
        <v/>
      </c>
      <c r="X458" s="9" t="n"/>
      <c r="Y458" s="10">
        <f>IF(OR(N458="",X458=""),"",N458*X458)</f>
        <v/>
      </c>
      <c r="Z458" s="10">
        <f>IF(OR(Q458="",Y458=""),"",Q458-Y458)</f>
        <v/>
      </c>
      <c r="AA458" s="9" t="n"/>
      <c r="AB458" s="9" t="n"/>
    </row>
    <row r="459" ht="22" customHeight="1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10">
        <f>IF(OR(N459="",P459=""),"",N459*P459)</f>
        <v/>
      </c>
      <c r="R459" s="9" t="n"/>
      <c r="S459" s="9" t="n"/>
      <c r="T459" s="9" t="n"/>
      <c r="U459" s="9">
        <f>IF(Q459="","",IF(W459=0,"已付款PAID",IF(V459&gt;0,"部分核销","未付款N/P")))</f>
        <v/>
      </c>
      <c r="V459" s="10">
        <f>IF(G459="","",SUMIFS(回款核销!$H:$H,回款核销!$C:$C,G459)+SUMIFS(回款核销!$H:$H,回款核销!$B:$B,D459,回款核销!$C:$C,""))</f>
        <v/>
      </c>
      <c r="W459" s="10">
        <f>IF(Q459="","",MAX(0,Q459-V459))</f>
        <v/>
      </c>
      <c r="X459" s="9" t="n"/>
      <c r="Y459" s="10">
        <f>IF(OR(N459="",X459=""),"",N459*X459)</f>
        <v/>
      </c>
      <c r="Z459" s="10">
        <f>IF(OR(Q459="",Y459=""),"",Q459-Y459)</f>
        <v/>
      </c>
      <c r="AA459" s="9" t="n"/>
      <c r="AB459" s="9" t="n"/>
    </row>
    <row r="460" ht="22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10">
        <f>IF(OR(N460="",P460=""),"",N460*P460)</f>
        <v/>
      </c>
      <c r="R460" s="9" t="n"/>
      <c r="S460" s="9" t="n"/>
      <c r="T460" s="9" t="n"/>
      <c r="U460" s="9">
        <f>IF(Q460="","",IF(W460=0,"已付款PAID",IF(V460&gt;0,"部分核销","未付款N/P")))</f>
        <v/>
      </c>
      <c r="V460" s="10">
        <f>IF(G460="","",SUMIFS(回款核销!$H:$H,回款核销!$C:$C,G460)+SUMIFS(回款核销!$H:$H,回款核销!$B:$B,D460,回款核销!$C:$C,""))</f>
        <v/>
      </c>
      <c r="W460" s="10">
        <f>IF(Q460="","",MAX(0,Q460-V460))</f>
        <v/>
      </c>
      <c r="X460" s="9" t="n"/>
      <c r="Y460" s="10">
        <f>IF(OR(N460="",X460=""),"",N460*X460)</f>
        <v/>
      </c>
      <c r="Z460" s="10">
        <f>IF(OR(Q460="",Y460=""),"",Q460-Y460)</f>
        <v/>
      </c>
      <c r="AA460" s="9" t="n"/>
      <c r="AB460" s="9" t="n"/>
    </row>
    <row r="461" ht="22" customHeight="1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10">
        <f>IF(OR(N461="",P461=""),"",N461*P461)</f>
        <v/>
      </c>
      <c r="R461" s="9" t="n"/>
      <c r="S461" s="9" t="n"/>
      <c r="T461" s="9" t="n"/>
      <c r="U461" s="9">
        <f>IF(Q461="","",IF(W461=0,"已付款PAID",IF(V461&gt;0,"部分核销","未付款N/P")))</f>
        <v/>
      </c>
      <c r="V461" s="10">
        <f>IF(G461="","",SUMIFS(回款核销!$H:$H,回款核销!$C:$C,G461)+SUMIFS(回款核销!$H:$H,回款核销!$B:$B,D461,回款核销!$C:$C,""))</f>
        <v/>
      </c>
      <c r="W461" s="10">
        <f>IF(Q461="","",MAX(0,Q461-V461))</f>
        <v/>
      </c>
      <c r="X461" s="9" t="n"/>
      <c r="Y461" s="10">
        <f>IF(OR(N461="",X461=""),"",N461*X461)</f>
        <v/>
      </c>
      <c r="Z461" s="10">
        <f>IF(OR(Q461="",Y461=""),"",Q461-Y461)</f>
        <v/>
      </c>
      <c r="AA461" s="9" t="n"/>
      <c r="AB461" s="9" t="n"/>
    </row>
    <row r="462" ht="22" customHeight="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10">
        <f>IF(OR(N462="",P462=""),"",N462*P462)</f>
        <v/>
      </c>
      <c r="R462" s="9" t="n"/>
      <c r="S462" s="9" t="n"/>
      <c r="T462" s="9" t="n"/>
      <c r="U462" s="9">
        <f>IF(Q462="","",IF(W462=0,"已付款PAID",IF(V462&gt;0,"部分核销","未付款N/P")))</f>
        <v/>
      </c>
      <c r="V462" s="10">
        <f>IF(G462="","",SUMIFS(回款核销!$H:$H,回款核销!$C:$C,G462)+SUMIFS(回款核销!$H:$H,回款核销!$B:$B,D462,回款核销!$C:$C,""))</f>
        <v/>
      </c>
      <c r="W462" s="10">
        <f>IF(Q462="","",MAX(0,Q462-V462))</f>
        <v/>
      </c>
      <c r="X462" s="9" t="n"/>
      <c r="Y462" s="10">
        <f>IF(OR(N462="",X462=""),"",N462*X462)</f>
        <v/>
      </c>
      <c r="Z462" s="10">
        <f>IF(OR(Q462="",Y462=""),"",Q462-Y462)</f>
        <v/>
      </c>
      <c r="AA462" s="9" t="n"/>
      <c r="AB462" s="9" t="n"/>
    </row>
    <row r="463" ht="22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10">
        <f>IF(OR(N463="",P463=""),"",N463*P463)</f>
        <v/>
      </c>
      <c r="R463" s="9" t="n"/>
      <c r="S463" s="9" t="n"/>
      <c r="T463" s="9" t="n"/>
      <c r="U463" s="9">
        <f>IF(Q463="","",IF(W463=0,"已付款PAID",IF(V463&gt;0,"部分核销","未付款N/P")))</f>
        <v/>
      </c>
      <c r="V463" s="10">
        <f>IF(G463="","",SUMIFS(回款核销!$H:$H,回款核销!$C:$C,G463)+SUMIFS(回款核销!$H:$H,回款核销!$B:$B,D463,回款核销!$C:$C,""))</f>
        <v/>
      </c>
      <c r="W463" s="10">
        <f>IF(Q463="","",MAX(0,Q463-V463))</f>
        <v/>
      </c>
      <c r="X463" s="9" t="n"/>
      <c r="Y463" s="10">
        <f>IF(OR(N463="",X463=""),"",N463*X463)</f>
        <v/>
      </c>
      <c r="Z463" s="10">
        <f>IF(OR(Q463="",Y463=""),"",Q463-Y463)</f>
        <v/>
      </c>
      <c r="AA463" s="9" t="n"/>
      <c r="AB463" s="9" t="n"/>
    </row>
    <row r="464" ht="22" customHeight="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10">
        <f>IF(OR(N464="",P464=""),"",N464*P464)</f>
        <v/>
      </c>
      <c r="R464" s="9" t="n"/>
      <c r="S464" s="9" t="n"/>
      <c r="T464" s="9" t="n"/>
      <c r="U464" s="9">
        <f>IF(Q464="","",IF(W464=0,"已付款PAID",IF(V464&gt;0,"部分核销","未付款N/P")))</f>
        <v/>
      </c>
      <c r="V464" s="10">
        <f>IF(G464="","",SUMIFS(回款核销!$H:$H,回款核销!$C:$C,G464)+SUMIFS(回款核销!$H:$H,回款核销!$B:$B,D464,回款核销!$C:$C,""))</f>
        <v/>
      </c>
      <c r="W464" s="10">
        <f>IF(Q464="","",MAX(0,Q464-V464))</f>
        <v/>
      </c>
      <c r="X464" s="9" t="n"/>
      <c r="Y464" s="10">
        <f>IF(OR(N464="",X464=""),"",N464*X464)</f>
        <v/>
      </c>
      <c r="Z464" s="10">
        <f>IF(OR(Q464="",Y464=""),"",Q464-Y464)</f>
        <v/>
      </c>
      <c r="AA464" s="9" t="n"/>
      <c r="AB464" s="9" t="n"/>
    </row>
    <row r="465" ht="22" customHeight="1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10">
        <f>IF(OR(N465="",P465=""),"",N465*P465)</f>
        <v/>
      </c>
      <c r="R465" s="9" t="n"/>
      <c r="S465" s="9" t="n"/>
      <c r="T465" s="9" t="n"/>
      <c r="U465" s="9">
        <f>IF(Q465="","",IF(W465=0,"已付款PAID",IF(V465&gt;0,"部分核销","未付款N/P")))</f>
        <v/>
      </c>
      <c r="V465" s="10">
        <f>IF(G465="","",SUMIFS(回款核销!$H:$H,回款核销!$C:$C,G465)+SUMIFS(回款核销!$H:$H,回款核销!$B:$B,D465,回款核销!$C:$C,""))</f>
        <v/>
      </c>
      <c r="W465" s="10">
        <f>IF(Q465="","",MAX(0,Q465-V465))</f>
        <v/>
      </c>
      <c r="X465" s="9" t="n"/>
      <c r="Y465" s="10">
        <f>IF(OR(N465="",X465=""),"",N465*X465)</f>
        <v/>
      </c>
      <c r="Z465" s="10">
        <f>IF(OR(Q465="",Y465=""),"",Q465-Y465)</f>
        <v/>
      </c>
      <c r="AA465" s="9" t="n"/>
      <c r="AB465" s="9" t="n"/>
    </row>
    <row r="466" ht="22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10">
        <f>IF(OR(N466="",P466=""),"",N466*P466)</f>
        <v/>
      </c>
      <c r="R466" s="9" t="n"/>
      <c r="S466" s="9" t="n"/>
      <c r="T466" s="9" t="n"/>
      <c r="U466" s="9">
        <f>IF(Q466="","",IF(W466=0,"已付款PAID",IF(V466&gt;0,"部分核销","未付款N/P")))</f>
        <v/>
      </c>
      <c r="V466" s="10">
        <f>IF(G466="","",SUMIFS(回款核销!$H:$H,回款核销!$C:$C,G466)+SUMIFS(回款核销!$H:$H,回款核销!$B:$B,D466,回款核销!$C:$C,""))</f>
        <v/>
      </c>
      <c r="W466" s="10">
        <f>IF(Q466="","",MAX(0,Q466-V466))</f>
        <v/>
      </c>
      <c r="X466" s="9" t="n"/>
      <c r="Y466" s="10">
        <f>IF(OR(N466="",X466=""),"",N466*X466)</f>
        <v/>
      </c>
      <c r="Z466" s="10">
        <f>IF(OR(Q466="",Y466=""),"",Q466-Y466)</f>
        <v/>
      </c>
      <c r="AA466" s="9" t="n"/>
      <c r="AB466" s="9" t="n"/>
    </row>
    <row r="467" ht="22" customHeight="1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10">
        <f>IF(OR(N467="",P467=""),"",N467*P467)</f>
        <v/>
      </c>
      <c r="R467" s="9" t="n"/>
      <c r="S467" s="9" t="n"/>
      <c r="T467" s="9" t="n"/>
      <c r="U467" s="9">
        <f>IF(Q467="","",IF(W467=0,"已付款PAID",IF(V467&gt;0,"部分核销","未付款N/P")))</f>
        <v/>
      </c>
      <c r="V467" s="10">
        <f>IF(G467="","",SUMIFS(回款核销!$H:$H,回款核销!$C:$C,G467)+SUMIFS(回款核销!$H:$H,回款核销!$B:$B,D467,回款核销!$C:$C,""))</f>
        <v/>
      </c>
      <c r="W467" s="10">
        <f>IF(Q467="","",MAX(0,Q467-V467))</f>
        <v/>
      </c>
      <c r="X467" s="9" t="n"/>
      <c r="Y467" s="10">
        <f>IF(OR(N467="",X467=""),"",N467*X467)</f>
        <v/>
      </c>
      <c r="Z467" s="10">
        <f>IF(OR(Q467="",Y467=""),"",Q467-Y467)</f>
        <v/>
      </c>
      <c r="AA467" s="9" t="n"/>
      <c r="AB467" s="9" t="n"/>
    </row>
    <row r="468" ht="22" customHeight="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10">
        <f>IF(OR(N468="",P468=""),"",N468*P468)</f>
        <v/>
      </c>
      <c r="R468" s="9" t="n"/>
      <c r="S468" s="9" t="n"/>
      <c r="T468" s="9" t="n"/>
      <c r="U468" s="9">
        <f>IF(Q468="","",IF(W468=0,"已付款PAID",IF(V468&gt;0,"部分核销","未付款N/P")))</f>
        <v/>
      </c>
      <c r="V468" s="10">
        <f>IF(G468="","",SUMIFS(回款核销!$H:$H,回款核销!$C:$C,G468)+SUMIFS(回款核销!$H:$H,回款核销!$B:$B,D468,回款核销!$C:$C,""))</f>
        <v/>
      </c>
      <c r="W468" s="10">
        <f>IF(Q468="","",MAX(0,Q468-V468))</f>
        <v/>
      </c>
      <c r="X468" s="9" t="n"/>
      <c r="Y468" s="10">
        <f>IF(OR(N468="",X468=""),"",N468*X468)</f>
        <v/>
      </c>
      <c r="Z468" s="10">
        <f>IF(OR(Q468="",Y468=""),"",Q468-Y468)</f>
        <v/>
      </c>
      <c r="AA468" s="9" t="n"/>
      <c r="AB468" s="9" t="n"/>
    </row>
    <row r="469" ht="22" customHeight="1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10">
        <f>IF(OR(N469="",P469=""),"",N469*P469)</f>
        <v/>
      </c>
      <c r="R469" s="9" t="n"/>
      <c r="S469" s="9" t="n"/>
      <c r="T469" s="9" t="n"/>
      <c r="U469" s="9">
        <f>IF(Q469="","",IF(W469=0,"已付款PAID",IF(V469&gt;0,"部分核销","未付款N/P")))</f>
        <v/>
      </c>
      <c r="V469" s="10">
        <f>IF(G469="","",SUMIFS(回款核销!$H:$H,回款核销!$C:$C,G469)+SUMIFS(回款核销!$H:$H,回款核销!$B:$B,D469,回款核销!$C:$C,""))</f>
        <v/>
      </c>
      <c r="W469" s="10">
        <f>IF(Q469="","",MAX(0,Q469-V469))</f>
        <v/>
      </c>
      <c r="X469" s="9" t="n"/>
      <c r="Y469" s="10">
        <f>IF(OR(N469="",X469=""),"",N469*X469)</f>
        <v/>
      </c>
      <c r="Z469" s="10">
        <f>IF(OR(Q469="",Y469=""),"",Q469-Y469)</f>
        <v/>
      </c>
      <c r="AA469" s="9" t="n"/>
      <c r="AB469" s="9" t="n"/>
    </row>
    <row r="470" ht="22" customHeight="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10">
        <f>IF(OR(N470="",P470=""),"",N470*P470)</f>
        <v/>
      </c>
      <c r="R470" s="9" t="n"/>
      <c r="S470" s="9" t="n"/>
      <c r="T470" s="9" t="n"/>
      <c r="U470" s="9">
        <f>IF(Q470="","",IF(W470=0,"已付款PAID",IF(V470&gt;0,"部分核销","未付款N/P")))</f>
        <v/>
      </c>
      <c r="V470" s="10">
        <f>IF(G470="","",SUMIFS(回款核销!$H:$H,回款核销!$C:$C,G470)+SUMIFS(回款核销!$H:$H,回款核销!$B:$B,D470,回款核销!$C:$C,""))</f>
        <v/>
      </c>
      <c r="W470" s="10">
        <f>IF(Q470="","",MAX(0,Q470-V470))</f>
        <v/>
      </c>
      <c r="X470" s="9" t="n"/>
      <c r="Y470" s="10">
        <f>IF(OR(N470="",X470=""),"",N470*X470)</f>
        <v/>
      </c>
      <c r="Z470" s="10">
        <f>IF(OR(Q470="",Y470=""),"",Q470-Y470)</f>
        <v/>
      </c>
      <c r="AA470" s="9" t="n"/>
      <c r="AB470" s="9" t="n"/>
    </row>
    <row r="471" ht="22" customHeight="1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10">
        <f>IF(OR(N471="",P471=""),"",N471*P471)</f>
        <v/>
      </c>
      <c r="R471" s="9" t="n"/>
      <c r="S471" s="9" t="n"/>
      <c r="T471" s="9" t="n"/>
      <c r="U471" s="9">
        <f>IF(Q471="","",IF(W471=0,"已付款PAID",IF(V471&gt;0,"部分核销","未付款N/P")))</f>
        <v/>
      </c>
      <c r="V471" s="10">
        <f>IF(G471="","",SUMIFS(回款核销!$H:$H,回款核销!$C:$C,G471)+SUMIFS(回款核销!$H:$H,回款核销!$B:$B,D471,回款核销!$C:$C,""))</f>
        <v/>
      </c>
      <c r="W471" s="10">
        <f>IF(Q471="","",MAX(0,Q471-V471))</f>
        <v/>
      </c>
      <c r="X471" s="9" t="n"/>
      <c r="Y471" s="10">
        <f>IF(OR(N471="",X471=""),"",N471*X471)</f>
        <v/>
      </c>
      <c r="Z471" s="10">
        <f>IF(OR(Q471="",Y471=""),"",Q471-Y471)</f>
        <v/>
      </c>
      <c r="AA471" s="9" t="n"/>
      <c r="AB471" s="9" t="n"/>
    </row>
    <row r="472" ht="22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10">
        <f>IF(OR(N472="",P472=""),"",N472*P472)</f>
        <v/>
      </c>
      <c r="R472" s="9" t="n"/>
      <c r="S472" s="9" t="n"/>
      <c r="T472" s="9" t="n"/>
      <c r="U472" s="9">
        <f>IF(Q472="","",IF(W472=0,"已付款PAID",IF(V472&gt;0,"部分核销","未付款N/P")))</f>
        <v/>
      </c>
      <c r="V472" s="10">
        <f>IF(G472="","",SUMIFS(回款核销!$H:$H,回款核销!$C:$C,G472)+SUMIFS(回款核销!$H:$H,回款核销!$B:$B,D472,回款核销!$C:$C,""))</f>
        <v/>
      </c>
      <c r="W472" s="10">
        <f>IF(Q472="","",MAX(0,Q472-V472))</f>
        <v/>
      </c>
      <c r="X472" s="9" t="n"/>
      <c r="Y472" s="10">
        <f>IF(OR(N472="",X472=""),"",N472*X472)</f>
        <v/>
      </c>
      <c r="Z472" s="10">
        <f>IF(OR(Q472="",Y472=""),"",Q472-Y472)</f>
        <v/>
      </c>
      <c r="AA472" s="9" t="n"/>
      <c r="AB472" s="9" t="n"/>
    </row>
    <row r="473" ht="22" customHeight="1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10">
        <f>IF(OR(N473="",P473=""),"",N473*P473)</f>
        <v/>
      </c>
      <c r="R473" s="9" t="n"/>
      <c r="S473" s="9" t="n"/>
      <c r="T473" s="9" t="n"/>
      <c r="U473" s="9">
        <f>IF(Q473="","",IF(W473=0,"已付款PAID",IF(V473&gt;0,"部分核销","未付款N/P")))</f>
        <v/>
      </c>
      <c r="V473" s="10">
        <f>IF(G473="","",SUMIFS(回款核销!$H:$H,回款核销!$C:$C,G473)+SUMIFS(回款核销!$H:$H,回款核销!$B:$B,D473,回款核销!$C:$C,""))</f>
        <v/>
      </c>
      <c r="W473" s="10">
        <f>IF(Q473="","",MAX(0,Q473-V473))</f>
        <v/>
      </c>
      <c r="X473" s="9" t="n"/>
      <c r="Y473" s="10">
        <f>IF(OR(N473="",X473=""),"",N473*X473)</f>
        <v/>
      </c>
      <c r="Z473" s="10">
        <f>IF(OR(Q473="",Y473=""),"",Q473-Y473)</f>
        <v/>
      </c>
      <c r="AA473" s="9" t="n"/>
      <c r="AB473" s="9" t="n"/>
    </row>
    <row r="474" ht="22" customHeight="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10">
        <f>IF(OR(N474="",P474=""),"",N474*P474)</f>
        <v/>
      </c>
      <c r="R474" s="9" t="n"/>
      <c r="S474" s="9" t="n"/>
      <c r="T474" s="9" t="n"/>
      <c r="U474" s="9">
        <f>IF(Q474="","",IF(W474=0,"已付款PAID",IF(V474&gt;0,"部分核销","未付款N/P")))</f>
        <v/>
      </c>
      <c r="V474" s="10">
        <f>IF(G474="","",SUMIFS(回款核销!$H:$H,回款核销!$C:$C,G474)+SUMIFS(回款核销!$H:$H,回款核销!$B:$B,D474,回款核销!$C:$C,""))</f>
        <v/>
      </c>
      <c r="W474" s="10">
        <f>IF(Q474="","",MAX(0,Q474-V474))</f>
        <v/>
      </c>
      <c r="X474" s="9" t="n"/>
      <c r="Y474" s="10">
        <f>IF(OR(N474="",X474=""),"",N474*X474)</f>
        <v/>
      </c>
      <c r="Z474" s="10">
        <f>IF(OR(Q474="",Y474=""),"",Q474-Y474)</f>
        <v/>
      </c>
      <c r="AA474" s="9" t="n"/>
      <c r="AB474" s="9" t="n"/>
    </row>
    <row r="475" ht="22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10">
        <f>IF(OR(N475="",P475=""),"",N475*P475)</f>
        <v/>
      </c>
      <c r="R475" s="9" t="n"/>
      <c r="S475" s="9" t="n"/>
      <c r="T475" s="9" t="n"/>
      <c r="U475" s="9">
        <f>IF(Q475="","",IF(W475=0,"已付款PAID",IF(V475&gt;0,"部分核销","未付款N/P")))</f>
        <v/>
      </c>
      <c r="V475" s="10">
        <f>IF(G475="","",SUMIFS(回款核销!$H:$H,回款核销!$C:$C,G475)+SUMIFS(回款核销!$H:$H,回款核销!$B:$B,D475,回款核销!$C:$C,""))</f>
        <v/>
      </c>
      <c r="W475" s="10">
        <f>IF(Q475="","",MAX(0,Q475-V475))</f>
        <v/>
      </c>
      <c r="X475" s="9" t="n"/>
      <c r="Y475" s="10">
        <f>IF(OR(N475="",X475=""),"",N475*X475)</f>
        <v/>
      </c>
      <c r="Z475" s="10">
        <f>IF(OR(Q475="",Y475=""),"",Q475-Y475)</f>
        <v/>
      </c>
      <c r="AA475" s="9" t="n"/>
      <c r="AB475" s="9" t="n"/>
    </row>
    <row r="476" ht="22" customHeight="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10">
        <f>IF(OR(N476="",P476=""),"",N476*P476)</f>
        <v/>
      </c>
      <c r="R476" s="9" t="n"/>
      <c r="S476" s="9" t="n"/>
      <c r="T476" s="9" t="n"/>
      <c r="U476" s="9">
        <f>IF(Q476="","",IF(W476=0,"已付款PAID",IF(V476&gt;0,"部分核销","未付款N/P")))</f>
        <v/>
      </c>
      <c r="V476" s="10">
        <f>IF(G476="","",SUMIFS(回款核销!$H:$H,回款核销!$C:$C,G476)+SUMIFS(回款核销!$H:$H,回款核销!$B:$B,D476,回款核销!$C:$C,""))</f>
        <v/>
      </c>
      <c r="W476" s="10">
        <f>IF(Q476="","",MAX(0,Q476-V476))</f>
        <v/>
      </c>
      <c r="X476" s="9" t="n"/>
      <c r="Y476" s="10">
        <f>IF(OR(N476="",X476=""),"",N476*X476)</f>
        <v/>
      </c>
      <c r="Z476" s="10">
        <f>IF(OR(Q476="",Y476=""),"",Q476-Y476)</f>
        <v/>
      </c>
      <c r="AA476" s="9" t="n"/>
      <c r="AB476" s="9" t="n"/>
    </row>
    <row r="477" ht="22" customHeight="1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10">
        <f>IF(OR(N477="",P477=""),"",N477*P477)</f>
        <v/>
      </c>
      <c r="R477" s="9" t="n"/>
      <c r="S477" s="9" t="n"/>
      <c r="T477" s="9" t="n"/>
      <c r="U477" s="9">
        <f>IF(Q477="","",IF(W477=0,"已付款PAID",IF(V477&gt;0,"部分核销","未付款N/P")))</f>
        <v/>
      </c>
      <c r="V477" s="10">
        <f>IF(G477="","",SUMIFS(回款核销!$H:$H,回款核销!$C:$C,G477)+SUMIFS(回款核销!$H:$H,回款核销!$B:$B,D477,回款核销!$C:$C,""))</f>
        <v/>
      </c>
      <c r="W477" s="10">
        <f>IF(Q477="","",MAX(0,Q477-V477))</f>
        <v/>
      </c>
      <c r="X477" s="9" t="n"/>
      <c r="Y477" s="10">
        <f>IF(OR(N477="",X477=""),"",N477*X477)</f>
        <v/>
      </c>
      <c r="Z477" s="10">
        <f>IF(OR(Q477="",Y477=""),"",Q477-Y477)</f>
        <v/>
      </c>
      <c r="AA477" s="9" t="n"/>
      <c r="AB477" s="9" t="n"/>
    </row>
    <row r="478" ht="22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10">
        <f>IF(OR(N478="",P478=""),"",N478*P478)</f>
        <v/>
      </c>
      <c r="R478" s="9" t="n"/>
      <c r="S478" s="9" t="n"/>
      <c r="T478" s="9" t="n"/>
      <c r="U478" s="9">
        <f>IF(Q478="","",IF(W478=0,"已付款PAID",IF(V478&gt;0,"部分核销","未付款N/P")))</f>
        <v/>
      </c>
      <c r="V478" s="10">
        <f>IF(G478="","",SUMIFS(回款核销!$H:$H,回款核销!$C:$C,G478)+SUMIFS(回款核销!$H:$H,回款核销!$B:$B,D478,回款核销!$C:$C,""))</f>
        <v/>
      </c>
      <c r="W478" s="10">
        <f>IF(Q478="","",MAX(0,Q478-V478))</f>
        <v/>
      </c>
      <c r="X478" s="9" t="n"/>
      <c r="Y478" s="10">
        <f>IF(OR(N478="",X478=""),"",N478*X478)</f>
        <v/>
      </c>
      <c r="Z478" s="10">
        <f>IF(OR(Q478="",Y478=""),"",Q478-Y478)</f>
        <v/>
      </c>
      <c r="AA478" s="9" t="n"/>
      <c r="AB478" s="9" t="n"/>
    </row>
    <row r="479" ht="22" customHeight="1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10">
        <f>IF(OR(N479="",P479=""),"",N479*P479)</f>
        <v/>
      </c>
      <c r="R479" s="9" t="n"/>
      <c r="S479" s="9" t="n"/>
      <c r="T479" s="9" t="n"/>
      <c r="U479" s="9">
        <f>IF(Q479="","",IF(W479=0,"已付款PAID",IF(V479&gt;0,"部分核销","未付款N/P")))</f>
        <v/>
      </c>
      <c r="V479" s="10">
        <f>IF(G479="","",SUMIFS(回款核销!$H:$H,回款核销!$C:$C,G479)+SUMIFS(回款核销!$H:$H,回款核销!$B:$B,D479,回款核销!$C:$C,""))</f>
        <v/>
      </c>
      <c r="W479" s="10">
        <f>IF(Q479="","",MAX(0,Q479-V479))</f>
        <v/>
      </c>
      <c r="X479" s="9" t="n"/>
      <c r="Y479" s="10">
        <f>IF(OR(N479="",X479=""),"",N479*X479)</f>
        <v/>
      </c>
      <c r="Z479" s="10">
        <f>IF(OR(Q479="",Y479=""),"",Q479-Y479)</f>
        <v/>
      </c>
      <c r="AA479" s="9" t="n"/>
      <c r="AB479" s="9" t="n"/>
    </row>
    <row r="480" ht="22" customHeight="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10">
        <f>IF(OR(N480="",P480=""),"",N480*P480)</f>
        <v/>
      </c>
      <c r="R480" s="9" t="n"/>
      <c r="S480" s="9" t="n"/>
      <c r="T480" s="9" t="n"/>
      <c r="U480" s="9">
        <f>IF(Q480="","",IF(W480=0,"已付款PAID",IF(V480&gt;0,"部分核销","未付款N/P")))</f>
        <v/>
      </c>
      <c r="V480" s="10">
        <f>IF(G480="","",SUMIFS(回款核销!$H:$H,回款核销!$C:$C,G480)+SUMIFS(回款核销!$H:$H,回款核销!$B:$B,D480,回款核销!$C:$C,""))</f>
        <v/>
      </c>
      <c r="W480" s="10">
        <f>IF(Q480="","",MAX(0,Q480-V480))</f>
        <v/>
      </c>
      <c r="X480" s="9" t="n"/>
      <c r="Y480" s="10">
        <f>IF(OR(N480="",X480=""),"",N480*X480)</f>
        <v/>
      </c>
      <c r="Z480" s="10">
        <f>IF(OR(Q480="",Y480=""),"",Q480-Y480)</f>
        <v/>
      </c>
      <c r="AA480" s="9" t="n"/>
      <c r="AB480" s="9" t="n"/>
    </row>
    <row r="481" ht="22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10">
        <f>IF(OR(N481="",P481=""),"",N481*P481)</f>
        <v/>
      </c>
      <c r="R481" s="9" t="n"/>
      <c r="S481" s="9" t="n"/>
      <c r="T481" s="9" t="n"/>
      <c r="U481" s="9">
        <f>IF(Q481="","",IF(W481=0,"已付款PAID",IF(V481&gt;0,"部分核销","未付款N/P")))</f>
        <v/>
      </c>
      <c r="V481" s="10">
        <f>IF(G481="","",SUMIFS(回款核销!$H:$H,回款核销!$C:$C,G481)+SUMIFS(回款核销!$H:$H,回款核销!$B:$B,D481,回款核销!$C:$C,""))</f>
        <v/>
      </c>
      <c r="W481" s="10">
        <f>IF(Q481="","",MAX(0,Q481-V481))</f>
        <v/>
      </c>
      <c r="X481" s="9" t="n"/>
      <c r="Y481" s="10">
        <f>IF(OR(N481="",X481=""),"",N481*X481)</f>
        <v/>
      </c>
      <c r="Z481" s="10">
        <f>IF(OR(Q481="",Y481=""),"",Q481-Y481)</f>
        <v/>
      </c>
      <c r="AA481" s="9" t="n"/>
      <c r="AB481" s="9" t="n"/>
    </row>
    <row r="482" ht="22" customHeight="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10">
        <f>IF(OR(N482="",P482=""),"",N482*P482)</f>
        <v/>
      </c>
      <c r="R482" s="9" t="n"/>
      <c r="S482" s="9" t="n"/>
      <c r="T482" s="9" t="n"/>
      <c r="U482" s="9">
        <f>IF(Q482="","",IF(W482=0,"已付款PAID",IF(V482&gt;0,"部分核销","未付款N/P")))</f>
        <v/>
      </c>
      <c r="V482" s="10">
        <f>IF(G482="","",SUMIFS(回款核销!$H:$H,回款核销!$C:$C,G482)+SUMIFS(回款核销!$H:$H,回款核销!$B:$B,D482,回款核销!$C:$C,""))</f>
        <v/>
      </c>
      <c r="W482" s="10">
        <f>IF(Q482="","",MAX(0,Q482-V482))</f>
        <v/>
      </c>
      <c r="X482" s="9" t="n"/>
      <c r="Y482" s="10">
        <f>IF(OR(N482="",X482=""),"",N482*X482)</f>
        <v/>
      </c>
      <c r="Z482" s="10">
        <f>IF(OR(Q482="",Y482=""),"",Q482-Y482)</f>
        <v/>
      </c>
      <c r="AA482" s="9" t="n"/>
      <c r="AB482" s="9" t="n"/>
    </row>
    <row r="483" ht="22" customHeight="1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10">
        <f>IF(OR(N483="",P483=""),"",N483*P483)</f>
        <v/>
      </c>
      <c r="R483" s="9" t="n"/>
      <c r="S483" s="9" t="n"/>
      <c r="T483" s="9" t="n"/>
      <c r="U483" s="9">
        <f>IF(Q483="","",IF(W483=0,"已付款PAID",IF(V483&gt;0,"部分核销","未付款N/P")))</f>
        <v/>
      </c>
      <c r="V483" s="10">
        <f>IF(G483="","",SUMIFS(回款核销!$H:$H,回款核销!$C:$C,G483)+SUMIFS(回款核销!$H:$H,回款核销!$B:$B,D483,回款核销!$C:$C,""))</f>
        <v/>
      </c>
      <c r="W483" s="10">
        <f>IF(Q483="","",MAX(0,Q483-V483))</f>
        <v/>
      </c>
      <c r="X483" s="9" t="n"/>
      <c r="Y483" s="10">
        <f>IF(OR(N483="",X483=""),"",N483*X483)</f>
        <v/>
      </c>
      <c r="Z483" s="10">
        <f>IF(OR(Q483="",Y483=""),"",Q483-Y483)</f>
        <v/>
      </c>
      <c r="AA483" s="9" t="n"/>
      <c r="AB483" s="9" t="n"/>
    </row>
    <row r="484" ht="22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10">
        <f>IF(OR(N484="",P484=""),"",N484*P484)</f>
        <v/>
      </c>
      <c r="R484" s="9" t="n"/>
      <c r="S484" s="9" t="n"/>
      <c r="T484" s="9" t="n"/>
      <c r="U484" s="9">
        <f>IF(Q484="","",IF(W484=0,"已付款PAID",IF(V484&gt;0,"部分核销","未付款N/P")))</f>
        <v/>
      </c>
      <c r="V484" s="10">
        <f>IF(G484="","",SUMIFS(回款核销!$H:$H,回款核销!$C:$C,G484)+SUMIFS(回款核销!$H:$H,回款核销!$B:$B,D484,回款核销!$C:$C,""))</f>
        <v/>
      </c>
      <c r="W484" s="10">
        <f>IF(Q484="","",MAX(0,Q484-V484))</f>
        <v/>
      </c>
      <c r="X484" s="9" t="n"/>
      <c r="Y484" s="10">
        <f>IF(OR(N484="",X484=""),"",N484*X484)</f>
        <v/>
      </c>
      <c r="Z484" s="10">
        <f>IF(OR(Q484="",Y484=""),"",Q484-Y484)</f>
        <v/>
      </c>
      <c r="AA484" s="9" t="n"/>
      <c r="AB484" s="9" t="n"/>
    </row>
    <row r="485" ht="22" customHeight="1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10">
        <f>IF(OR(N485="",P485=""),"",N485*P485)</f>
        <v/>
      </c>
      <c r="R485" s="9" t="n"/>
      <c r="S485" s="9" t="n"/>
      <c r="T485" s="9" t="n"/>
      <c r="U485" s="9">
        <f>IF(Q485="","",IF(W485=0,"已付款PAID",IF(V485&gt;0,"部分核销","未付款N/P")))</f>
        <v/>
      </c>
      <c r="V485" s="10">
        <f>IF(G485="","",SUMIFS(回款核销!$H:$H,回款核销!$C:$C,G485)+SUMIFS(回款核销!$H:$H,回款核销!$B:$B,D485,回款核销!$C:$C,""))</f>
        <v/>
      </c>
      <c r="W485" s="10">
        <f>IF(Q485="","",MAX(0,Q485-V485))</f>
        <v/>
      </c>
      <c r="X485" s="9" t="n"/>
      <c r="Y485" s="10">
        <f>IF(OR(N485="",X485=""),"",N485*X485)</f>
        <v/>
      </c>
      <c r="Z485" s="10">
        <f>IF(OR(Q485="",Y485=""),"",Q485-Y485)</f>
        <v/>
      </c>
      <c r="AA485" s="9" t="n"/>
      <c r="AB485" s="9" t="n"/>
    </row>
    <row r="486" ht="22" customHeight="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10">
        <f>IF(OR(N486="",P486=""),"",N486*P486)</f>
        <v/>
      </c>
      <c r="R486" s="9" t="n"/>
      <c r="S486" s="9" t="n"/>
      <c r="T486" s="9" t="n"/>
      <c r="U486" s="9">
        <f>IF(Q486="","",IF(W486=0,"已付款PAID",IF(V486&gt;0,"部分核销","未付款N/P")))</f>
        <v/>
      </c>
      <c r="V486" s="10">
        <f>IF(G486="","",SUMIFS(回款核销!$H:$H,回款核销!$C:$C,G486)+SUMIFS(回款核销!$H:$H,回款核销!$B:$B,D486,回款核销!$C:$C,""))</f>
        <v/>
      </c>
      <c r="W486" s="10">
        <f>IF(Q486="","",MAX(0,Q486-V486))</f>
        <v/>
      </c>
      <c r="X486" s="9" t="n"/>
      <c r="Y486" s="10">
        <f>IF(OR(N486="",X486=""),"",N486*X486)</f>
        <v/>
      </c>
      <c r="Z486" s="10">
        <f>IF(OR(Q486="",Y486=""),"",Q486-Y486)</f>
        <v/>
      </c>
      <c r="AA486" s="9" t="n"/>
      <c r="AB486" s="9" t="n"/>
    </row>
    <row r="487" ht="22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10">
        <f>IF(OR(N487="",P487=""),"",N487*P487)</f>
        <v/>
      </c>
      <c r="R487" s="9" t="n"/>
      <c r="S487" s="9" t="n"/>
      <c r="T487" s="9" t="n"/>
      <c r="U487" s="9">
        <f>IF(Q487="","",IF(W487=0,"已付款PAID",IF(V487&gt;0,"部分核销","未付款N/P")))</f>
        <v/>
      </c>
      <c r="V487" s="10">
        <f>IF(G487="","",SUMIFS(回款核销!$H:$H,回款核销!$C:$C,G487)+SUMIFS(回款核销!$H:$H,回款核销!$B:$B,D487,回款核销!$C:$C,""))</f>
        <v/>
      </c>
      <c r="W487" s="10">
        <f>IF(Q487="","",MAX(0,Q487-V487))</f>
        <v/>
      </c>
      <c r="X487" s="9" t="n"/>
      <c r="Y487" s="10">
        <f>IF(OR(N487="",X487=""),"",N487*X487)</f>
        <v/>
      </c>
      <c r="Z487" s="10">
        <f>IF(OR(Q487="",Y487=""),"",Q487-Y487)</f>
        <v/>
      </c>
      <c r="AA487" s="9" t="n"/>
      <c r="AB487" s="9" t="n"/>
    </row>
    <row r="488" ht="22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10">
        <f>IF(OR(N488="",P488=""),"",N488*P488)</f>
        <v/>
      </c>
      <c r="R488" s="9" t="n"/>
      <c r="S488" s="9" t="n"/>
      <c r="T488" s="9" t="n"/>
      <c r="U488" s="9">
        <f>IF(Q488="","",IF(W488=0,"已付款PAID",IF(V488&gt;0,"部分核销","未付款N/P")))</f>
        <v/>
      </c>
      <c r="V488" s="10">
        <f>IF(G488="","",SUMIFS(回款核销!$H:$H,回款核销!$C:$C,G488)+SUMIFS(回款核销!$H:$H,回款核销!$B:$B,D488,回款核销!$C:$C,""))</f>
        <v/>
      </c>
      <c r="W488" s="10">
        <f>IF(Q488="","",MAX(0,Q488-V488))</f>
        <v/>
      </c>
      <c r="X488" s="9" t="n"/>
      <c r="Y488" s="10">
        <f>IF(OR(N488="",X488=""),"",N488*X488)</f>
        <v/>
      </c>
      <c r="Z488" s="10">
        <f>IF(OR(Q488="",Y488=""),"",Q488-Y488)</f>
        <v/>
      </c>
      <c r="AA488" s="9" t="n"/>
      <c r="AB488" s="9" t="n"/>
    </row>
    <row r="489" ht="22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10">
        <f>IF(OR(N489="",P489=""),"",N489*P489)</f>
        <v/>
      </c>
      <c r="R489" s="9" t="n"/>
      <c r="S489" s="9" t="n"/>
      <c r="T489" s="9" t="n"/>
      <c r="U489" s="9">
        <f>IF(Q489="","",IF(W489=0,"已付款PAID",IF(V489&gt;0,"部分核销","未付款N/P")))</f>
        <v/>
      </c>
      <c r="V489" s="10">
        <f>IF(G489="","",SUMIFS(回款核销!$H:$H,回款核销!$C:$C,G489)+SUMIFS(回款核销!$H:$H,回款核销!$B:$B,D489,回款核销!$C:$C,""))</f>
        <v/>
      </c>
      <c r="W489" s="10">
        <f>IF(Q489="","",MAX(0,Q489-V489))</f>
        <v/>
      </c>
      <c r="X489" s="9" t="n"/>
      <c r="Y489" s="10">
        <f>IF(OR(N489="",X489=""),"",N489*X489)</f>
        <v/>
      </c>
      <c r="Z489" s="10">
        <f>IF(OR(Q489="",Y489=""),"",Q489-Y489)</f>
        <v/>
      </c>
      <c r="AA489" s="9" t="n"/>
      <c r="AB489" s="9" t="n"/>
    </row>
    <row r="490" ht="22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10">
        <f>IF(OR(N490="",P490=""),"",N490*P490)</f>
        <v/>
      </c>
      <c r="R490" s="9" t="n"/>
      <c r="S490" s="9" t="n"/>
      <c r="T490" s="9" t="n"/>
      <c r="U490" s="9">
        <f>IF(Q490="","",IF(W490=0,"已付款PAID",IF(V490&gt;0,"部分核销","未付款N/P")))</f>
        <v/>
      </c>
      <c r="V490" s="10">
        <f>IF(G490="","",SUMIFS(回款核销!$H:$H,回款核销!$C:$C,G490)+SUMIFS(回款核销!$H:$H,回款核销!$B:$B,D490,回款核销!$C:$C,""))</f>
        <v/>
      </c>
      <c r="W490" s="10">
        <f>IF(Q490="","",MAX(0,Q490-V490))</f>
        <v/>
      </c>
      <c r="X490" s="9" t="n"/>
      <c r="Y490" s="10">
        <f>IF(OR(N490="",X490=""),"",N490*X490)</f>
        <v/>
      </c>
      <c r="Z490" s="10">
        <f>IF(OR(Q490="",Y490=""),"",Q490-Y490)</f>
        <v/>
      </c>
      <c r="AA490" s="9" t="n"/>
      <c r="AB490" s="9" t="n"/>
    </row>
    <row r="491" ht="22" customHeight="1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10">
        <f>IF(OR(N491="",P491=""),"",N491*P491)</f>
        <v/>
      </c>
      <c r="R491" s="9" t="n"/>
      <c r="S491" s="9" t="n"/>
      <c r="T491" s="9" t="n"/>
      <c r="U491" s="9">
        <f>IF(Q491="","",IF(W491=0,"已付款PAID",IF(V491&gt;0,"部分核销","未付款N/P")))</f>
        <v/>
      </c>
      <c r="V491" s="10">
        <f>IF(G491="","",SUMIFS(回款核销!$H:$H,回款核销!$C:$C,G491)+SUMIFS(回款核销!$H:$H,回款核销!$B:$B,D491,回款核销!$C:$C,""))</f>
        <v/>
      </c>
      <c r="W491" s="10">
        <f>IF(Q491="","",MAX(0,Q491-V491))</f>
        <v/>
      </c>
      <c r="X491" s="9" t="n"/>
      <c r="Y491" s="10">
        <f>IF(OR(N491="",X491=""),"",N491*X491)</f>
        <v/>
      </c>
      <c r="Z491" s="10">
        <f>IF(OR(Q491="",Y491=""),"",Q491-Y491)</f>
        <v/>
      </c>
      <c r="AA491" s="9" t="n"/>
      <c r="AB491" s="9" t="n"/>
    </row>
    <row r="492" ht="22" customHeight="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10">
        <f>IF(OR(N492="",P492=""),"",N492*P492)</f>
        <v/>
      </c>
      <c r="R492" s="9" t="n"/>
      <c r="S492" s="9" t="n"/>
      <c r="T492" s="9" t="n"/>
      <c r="U492" s="9">
        <f>IF(Q492="","",IF(W492=0,"已付款PAID",IF(V492&gt;0,"部分核销","未付款N/P")))</f>
        <v/>
      </c>
      <c r="V492" s="10">
        <f>IF(G492="","",SUMIFS(回款核销!$H:$H,回款核销!$C:$C,G492)+SUMIFS(回款核销!$H:$H,回款核销!$B:$B,D492,回款核销!$C:$C,""))</f>
        <v/>
      </c>
      <c r="W492" s="10">
        <f>IF(Q492="","",MAX(0,Q492-V492))</f>
        <v/>
      </c>
      <c r="X492" s="9" t="n"/>
      <c r="Y492" s="10">
        <f>IF(OR(N492="",X492=""),"",N492*X492)</f>
        <v/>
      </c>
      <c r="Z492" s="10">
        <f>IF(OR(Q492="",Y492=""),"",Q492-Y492)</f>
        <v/>
      </c>
      <c r="AA492" s="9" t="n"/>
      <c r="AB492" s="9" t="n"/>
    </row>
    <row r="493" ht="22" customHeight="1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10">
        <f>IF(OR(N493="",P493=""),"",N493*P493)</f>
        <v/>
      </c>
      <c r="R493" s="9" t="n"/>
      <c r="S493" s="9" t="n"/>
      <c r="T493" s="9" t="n"/>
      <c r="U493" s="9">
        <f>IF(Q493="","",IF(W493=0,"已付款PAID",IF(V493&gt;0,"部分核销","未付款N/P")))</f>
        <v/>
      </c>
      <c r="V493" s="10">
        <f>IF(G493="","",SUMIFS(回款核销!$H:$H,回款核销!$C:$C,G493)+SUMIFS(回款核销!$H:$H,回款核销!$B:$B,D493,回款核销!$C:$C,""))</f>
        <v/>
      </c>
      <c r="W493" s="10">
        <f>IF(Q493="","",MAX(0,Q493-V493))</f>
        <v/>
      </c>
      <c r="X493" s="9" t="n"/>
      <c r="Y493" s="10">
        <f>IF(OR(N493="",X493=""),"",N493*X493)</f>
        <v/>
      </c>
      <c r="Z493" s="10">
        <f>IF(OR(Q493="",Y493=""),"",Q493-Y493)</f>
        <v/>
      </c>
      <c r="AA493" s="9" t="n"/>
      <c r="AB493" s="9" t="n"/>
    </row>
    <row r="494" ht="22" customHeight="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10">
        <f>IF(OR(N494="",P494=""),"",N494*P494)</f>
        <v/>
      </c>
      <c r="R494" s="9" t="n"/>
      <c r="S494" s="9" t="n"/>
      <c r="T494" s="9" t="n"/>
      <c r="U494" s="9">
        <f>IF(Q494="","",IF(W494=0,"已付款PAID",IF(V494&gt;0,"部分核销","未付款N/P")))</f>
        <v/>
      </c>
      <c r="V494" s="10">
        <f>IF(G494="","",SUMIFS(回款核销!$H:$H,回款核销!$C:$C,G494)+SUMIFS(回款核销!$H:$H,回款核销!$B:$B,D494,回款核销!$C:$C,""))</f>
        <v/>
      </c>
      <c r="W494" s="10">
        <f>IF(Q494="","",MAX(0,Q494-V494))</f>
        <v/>
      </c>
      <c r="X494" s="9" t="n"/>
      <c r="Y494" s="10">
        <f>IF(OR(N494="",X494=""),"",N494*X494)</f>
        <v/>
      </c>
      <c r="Z494" s="10">
        <f>IF(OR(Q494="",Y494=""),"",Q494-Y494)</f>
        <v/>
      </c>
      <c r="AA494" s="9" t="n"/>
      <c r="AB494" s="9" t="n"/>
    </row>
    <row r="495" ht="22" customHeight="1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10">
        <f>IF(OR(N495="",P495=""),"",N495*P495)</f>
        <v/>
      </c>
      <c r="R495" s="9" t="n"/>
      <c r="S495" s="9" t="n"/>
      <c r="T495" s="9" t="n"/>
      <c r="U495" s="9">
        <f>IF(Q495="","",IF(W495=0,"已付款PAID",IF(V495&gt;0,"部分核销","未付款N/P")))</f>
        <v/>
      </c>
      <c r="V495" s="10">
        <f>IF(G495="","",SUMIFS(回款核销!$H:$H,回款核销!$C:$C,G495)+SUMIFS(回款核销!$H:$H,回款核销!$B:$B,D495,回款核销!$C:$C,""))</f>
        <v/>
      </c>
      <c r="W495" s="10">
        <f>IF(Q495="","",MAX(0,Q495-V495))</f>
        <v/>
      </c>
      <c r="X495" s="9" t="n"/>
      <c r="Y495" s="10">
        <f>IF(OR(N495="",X495=""),"",N495*X495)</f>
        <v/>
      </c>
      <c r="Z495" s="10">
        <f>IF(OR(Q495="",Y495=""),"",Q495-Y495)</f>
        <v/>
      </c>
      <c r="AA495" s="9" t="n"/>
      <c r="AB495" s="9" t="n"/>
    </row>
    <row r="496" ht="22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10">
        <f>IF(OR(N496="",P496=""),"",N496*P496)</f>
        <v/>
      </c>
      <c r="R496" s="9" t="n"/>
      <c r="S496" s="9" t="n"/>
      <c r="T496" s="9" t="n"/>
      <c r="U496" s="9">
        <f>IF(Q496="","",IF(W496=0,"已付款PAID",IF(V496&gt;0,"部分核销","未付款N/P")))</f>
        <v/>
      </c>
      <c r="V496" s="10">
        <f>IF(G496="","",SUMIFS(回款核销!$H:$H,回款核销!$C:$C,G496)+SUMIFS(回款核销!$H:$H,回款核销!$B:$B,D496,回款核销!$C:$C,""))</f>
        <v/>
      </c>
      <c r="W496" s="10">
        <f>IF(Q496="","",MAX(0,Q496-V496))</f>
        <v/>
      </c>
      <c r="X496" s="9" t="n"/>
      <c r="Y496" s="10">
        <f>IF(OR(N496="",X496=""),"",N496*X496)</f>
        <v/>
      </c>
      <c r="Z496" s="10">
        <f>IF(OR(Q496="",Y496=""),"",Q496-Y496)</f>
        <v/>
      </c>
      <c r="AA496" s="9" t="n"/>
      <c r="AB496" s="9" t="n"/>
    </row>
    <row r="497" ht="22" customHeight="1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10">
        <f>IF(OR(N497="",P497=""),"",N497*P497)</f>
        <v/>
      </c>
      <c r="R497" s="9" t="n"/>
      <c r="S497" s="9" t="n"/>
      <c r="T497" s="9" t="n"/>
      <c r="U497" s="9">
        <f>IF(Q497="","",IF(W497=0,"已付款PAID",IF(V497&gt;0,"部分核销","未付款N/P")))</f>
        <v/>
      </c>
      <c r="V497" s="10">
        <f>IF(G497="","",SUMIFS(回款核销!$H:$H,回款核销!$C:$C,G497)+SUMIFS(回款核销!$H:$H,回款核销!$B:$B,D497,回款核销!$C:$C,""))</f>
        <v/>
      </c>
      <c r="W497" s="10">
        <f>IF(Q497="","",MAX(0,Q497-V497))</f>
        <v/>
      </c>
      <c r="X497" s="9" t="n"/>
      <c r="Y497" s="10">
        <f>IF(OR(N497="",X497=""),"",N497*X497)</f>
        <v/>
      </c>
      <c r="Z497" s="10">
        <f>IF(OR(Q497="",Y497=""),"",Q497-Y497)</f>
        <v/>
      </c>
      <c r="AA497" s="9" t="n"/>
      <c r="AB497" s="9" t="n"/>
    </row>
    <row r="498" ht="22" customHeight="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10">
        <f>IF(OR(N498="",P498=""),"",N498*P498)</f>
        <v/>
      </c>
      <c r="R498" s="9" t="n"/>
      <c r="S498" s="9" t="n"/>
      <c r="T498" s="9" t="n"/>
      <c r="U498" s="9">
        <f>IF(Q498="","",IF(W498=0,"已付款PAID",IF(V498&gt;0,"部分核销","未付款N/P")))</f>
        <v/>
      </c>
      <c r="V498" s="10">
        <f>IF(G498="","",SUMIFS(回款核销!$H:$H,回款核销!$C:$C,G498)+SUMIFS(回款核销!$H:$H,回款核销!$B:$B,D498,回款核销!$C:$C,""))</f>
        <v/>
      </c>
      <c r="W498" s="10">
        <f>IF(Q498="","",MAX(0,Q498-V498))</f>
        <v/>
      </c>
      <c r="X498" s="9" t="n"/>
      <c r="Y498" s="10">
        <f>IF(OR(N498="",X498=""),"",N498*X498)</f>
        <v/>
      </c>
      <c r="Z498" s="10">
        <f>IF(OR(Q498="",Y498=""),"",Q498-Y498)</f>
        <v/>
      </c>
      <c r="AA498" s="9" t="n"/>
      <c r="AB498" s="9" t="n"/>
    </row>
    <row r="499" ht="22" customHeight="1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10">
        <f>IF(OR(N499="",P499=""),"",N499*P499)</f>
        <v/>
      </c>
      <c r="R499" s="9" t="n"/>
      <c r="S499" s="9" t="n"/>
      <c r="T499" s="9" t="n"/>
      <c r="U499" s="9">
        <f>IF(Q499="","",IF(W499=0,"已付款PAID",IF(V499&gt;0,"部分核销","未付款N/P")))</f>
        <v/>
      </c>
      <c r="V499" s="10">
        <f>IF(G499="","",SUMIFS(回款核销!$H:$H,回款核销!$C:$C,G499)+SUMIFS(回款核销!$H:$H,回款核销!$B:$B,D499,回款核销!$C:$C,""))</f>
        <v/>
      </c>
      <c r="W499" s="10">
        <f>IF(Q499="","",MAX(0,Q499-V499))</f>
        <v/>
      </c>
      <c r="X499" s="9" t="n"/>
      <c r="Y499" s="10">
        <f>IF(OR(N499="",X499=""),"",N499*X499)</f>
        <v/>
      </c>
      <c r="Z499" s="10">
        <f>IF(OR(Q499="",Y499=""),"",Q499-Y499)</f>
        <v/>
      </c>
      <c r="AA499" s="9" t="n"/>
      <c r="AB499" s="9" t="n"/>
    </row>
    <row r="500" ht="22" customHeight="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10">
        <f>IF(OR(N500="",P500=""),"",N500*P500)</f>
        <v/>
      </c>
      <c r="R500" s="9" t="n"/>
      <c r="S500" s="9" t="n"/>
      <c r="T500" s="9" t="n"/>
      <c r="U500" s="9">
        <f>IF(Q500="","",IF(W500=0,"已付款PAID",IF(V500&gt;0,"部分核销","未付款N/P")))</f>
        <v/>
      </c>
      <c r="V500" s="10">
        <f>IF(G500="","",SUMIFS(回款核销!$H:$H,回款核销!$C:$C,G500)+SUMIFS(回款核销!$H:$H,回款核销!$B:$B,D500,回款核销!$C:$C,""))</f>
        <v/>
      </c>
      <c r="W500" s="10">
        <f>IF(Q500="","",MAX(0,Q500-V500))</f>
        <v/>
      </c>
      <c r="X500" s="9" t="n"/>
      <c r="Y500" s="10">
        <f>IF(OR(N500="",X500=""),"",N500*X500)</f>
        <v/>
      </c>
      <c r="Z500" s="10">
        <f>IF(OR(Q500="",Y500=""),"",Q500-Y500)</f>
        <v/>
      </c>
      <c r="AA500" s="9" t="n"/>
      <c r="AB500" s="9" t="n"/>
    </row>
    <row r="501" ht="22" customHeight="1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10">
        <f>IF(OR(N501="",P501=""),"",N501*P501)</f>
        <v/>
      </c>
      <c r="R501" s="9" t="n"/>
      <c r="S501" s="9" t="n"/>
      <c r="T501" s="9" t="n"/>
      <c r="U501" s="9">
        <f>IF(Q501="","",IF(W501=0,"已付款PAID",IF(V501&gt;0,"部分核销","未付款N/P")))</f>
        <v/>
      </c>
      <c r="V501" s="10">
        <f>IF(G501="","",SUMIFS(回款核销!$H:$H,回款核销!$C:$C,G501)+SUMIFS(回款核销!$H:$H,回款核销!$B:$B,D501,回款核销!$C:$C,""))</f>
        <v/>
      </c>
      <c r="W501" s="10">
        <f>IF(Q501="","",MAX(0,Q501-V501))</f>
        <v/>
      </c>
      <c r="X501" s="9" t="n"/>
      <c r="Y501" s="10">
        <f>IF(OR(N501="",X501=""),"",N501*X501)</f>
        <v/>
      </c>
      <c r="Z501" s="10">
        <f>IF(OR(Q501="",Y501=""),"",Q501-Y501)</f>
        <v/>
      </c>
      <c r="AA501" s="9" t="n"/>
      <c r="AB501" s="9" t="n"/>
    </row>
    <row r="502" ht="22" customHeight="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10">
        <f>IF(OR(N502="",P502=""),"",N502*P502)</f>
        <v/>
      </c>
      <c r="R502" s="9" t="n"/>
      <c r="S502" s="9" t="n"/>
      <c r="T502" s="9" t="n"/>
      <c r="U502" s="9">
        <f>IF(Q502="","",IF(W502=0,"已付款PAID",IF(V502&gt;0,"部分核销","未付款N/P")))</f>
        <v/>
      </c>
      <c r="V502" s="10">
        <f>IF(G502="","",SUMIFS(回款核销!$H:$H,回款核销!$C:$C,G502)+SUMIFS(回款核销!$H:$H,回款核销!$B:$B,D502,回款核销!$C:$C,""))</f>
        <v/>
      </c>
      <c r="W502" s="10">
        <f>IF(Q502="","",MAX(0,Q502-V502))</f>
        <v/>
      </c>
      <c r="X502" s="9" t="n"/>
      <c r="Y502" s="10">
        <f>IF(OR(N502="",X502=""),"",N502*X502)</f>
        <v/>
      </c>
      <c r="Z502" s="10">
        <f>IF(OR(Q502="",Y502=""),"",Q502-Y502)</f>
        <v/>
      </c>
      <c r="AA502" s="9" t="n"/>
      <c r="AB502" s="9" t="n"/>
    </row>
    <row r="503" ht="22" customHeight="1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10">
        <f>IF(OR(N503="",P503=""),"",N503*P503)</f>
        <v/>
      </c>
      <c r="R503" s="9" t="n"/>
      <c r="S503" s="9" t="n"/>
      <c r="T503" s="9" t="n"/>
      <c r="U503" s="9">
        <f>IF(Q503="","",IF(W503=0,"已付款PAID",IF(V503&gt;0,"部分核销","未付款N/P")))</f>
        <v/>
      </c>
      <c r="V503" s="10">
        <f>IF(G503="","",SUMIFS(回款核销!$H:$H,回款核销!$C:$C,G503)+SUMIFS(回款核销!$H:$H,回款核销!$B:$B,D503,回款核销!$C:$C,""))</f>
        <v/>
      </c>
      <c r="W503" s="10">
        <f>IF(Q503="","",MAX(0,Q503-V503))</f>
        <v/>
      </c>
      <c r="X503" s="9" t="n"/>
      <c r="Y503" s="10">
        <f>IF(OR(N503="",X503=""),"",N503*X503)</f>
        <v/>
      </c>
      <c r="Z503" s="10">
        <f>IF(OR(Q503="",Y503=""),"",Q503-Y503)</f>
        <v/>
      </c>
      <c r="AA503" s="9" t="n"/>
      <c r="AB503" s="9" t="n"/>
    </row>
    <row r="504" ht="22" customHeight="1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10">
        <f>IF(OR(N504="",P504=""),"",N504*P504)</f>
        <v/>
      </c>
      <c r="R504" s="9" t="n"/>
      <c r="S504" s="9" t="n"/>
      <c r="T504" s="9" t="n"/>
      <c r="U504" s="9">
        <f>IF(Q504="","",IF(W504=0,"已付款PAID",IF(V504&gt;0,"部分核销","未付款N/P")))</f>
        <v/>
      </c>
      <c r="V504" s="10">
        <f>IF(G504="","",SUMIFS(回款核销!$H:$H,回款核销!$C:$C,G504)+SUMIFS(回款核销!$H:$H,回款核销!$B:$B,D504,回款核销!$C:$C,""))</f>
        <v/>
      </c>
      <c r="W504" s="10">
        <f>IF(Q504="","",MAX(0,Q504-V504))</f>
        <v/>
      </c>
      <c r="X504" s="9" t="n"/>
      <c r="Y504" s="10">
        <f>IF(OR(N504="",X504=""),"",N504*X504)</f>
        <v/>
      </c>
      <c r="Z504" s="10">
        <f>IF(OR(Q504="",Y504=""),"",Q504-Y504)</f>
        <v/>
      </c>
      <c r="AA504" s="9" t="n"/>
      <c r="AB504" s="9" t="n"/>
    </row>
    <row r="505" ht="22" customHeight="1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10">
        <f>IF(OR(N505="",P505=""),"",N505*P505)</f>
        <v/>
      </c>
      <c r="R505" s="9" t="n"/>
      <c r="S505" s="9" t="n"/>
      <c r="T505" s="9" t="n"/>
      <c r="U505" s="9">
        <f>IF(Q505="","",IF(W505=0,"已付款PAID",IF(V505&gt;0,"部分核销","未付款N/P")))</f>
        <v/>
      </c>
      <c r="V505" s="10">
        <f>IF(G505="","",SUMIFS(回款核销!$H:$H,回款核销!$C:$C,G505)+SUMIFS(回款核销!$H:$H,回款核销!$B:$B,D505,回款核销!$C:$C,""))</f>
        <v/>
      </c>
      <c r="W505" s="10">
        <f>IF(Q505="","",MAX(0,Q505-V505))</f>
        <v/>
      </c>
      <c r="X505" s="9" t="n"/>
      <c r="Y505" s="10">
        <f>IF(OR(N505="",X505=""),"",N505*X505)</f>
        <v/>
      </c>
      <c r="Z505" s="10">
        <f>IF(OR(Q505="",Y505=""),"",Q505-Y505)</f>
        <v/>
      </c>
      <c r="AA505" s="9" t="n"/>
      <c r="AB505" s="9" t="n"/>
    </row>
    <row r="506" ht="22" customHeight="1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10">
        <f>IF(OR(N506="",P506=""),"",N506*P506)</f>
        <v/>
      </c>
      <c r="R506" s="9" t="n"/>
      <c r="S506" s="9" t="n"/>
      <c r="T506" s="9" t="n"/>
      <c r="U506" s="9">
        <f>IF(Q506="","",IF(W506=0,"已付款PAID",IF(V506&gt;0,"部分核销","未付款N/P")))</f>
        <v/>
      </c>
      <c r="V506" s="10">
        <f>IF(G506="","",SUMIFS(回款核销!$H:$H,回款核销!$C:$C,G506)+SUMIFS(回款核销!$H:$H,回款核销!$B:$B,D506,回款核销!$C:$C,""))</f>
        <v/>
      </c>
      <c r="W506" s="10">
        <f>IF(Q506="","",MAX(0,Q506-V506))</f>
        <v/>
      </c>
      <c r="X506" s="9" t="n"/>
      <c r="Y506" s="10">
        <f>IF(OR(N506="",X506=""),"",N506*X506)</f>
        <v/>
      </c>
      <c r="Z506" s="10">
        <f>IF(OR(Q506="",Y506=""),"",Q506-Y506)</f>
        <v/>
      </c>
      <c r="AA506" s="9" t="n"/>
      <c r="AB506" s="9" t="n"/>
    </row>
    <row r="507" ht="22" customHeight="1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10">
        <f>IF(OR(N507="",P507=""),"",N507*P507)</f>
        <v/>
      </c>
      <c r="R507" s="9" t="n"/>
      <c r="S507" s="9" t="n"/>
      <c r="T507" s="9" t="n"/>
      <c r="U507" s="9">
        <f>IF(Q507="","",IF(W507=0,"已付款PAID",IF(V507&gt;0,"部分核销","未付款N/P")))</f>
        <v/>
      </c>
      <c r="V507" s="10">
        <f>IF(G507="","",SUMIFS(回款核销!$H:$H,回款核销!$C:$C,G507)+SUMIFS(回款核销!$H:$H,回款核销!$B:$B,D507,回款核销!$C:$C,""))</f>
        <v/>
      </c>
      <c r="W507" s="10">
        <f>IF(Q507="","",MAX(0,Q507-V507))</f>
        <v/>
      </c>
      <c r="X507" s="9" t="n"/>
      <c r="Y507" s="10">
        <f>IF(OR(N507="",X507=""),"",N507*X507)</f>
        <v/>
      </c>
      <c r="Z507" s="10">
        <f>IF(OR(Q507="",Y507=""),"",Q507-Y507)</f>
        <v/>
      </c>
      <c r="AA507" s="9" t="n"/>
      <c r="AB507" s="9" t="n"/>
    </row>
    <row r="508" ht="22" customHeight="1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10">
        <f>IF(OR(N508="",P508=""),"",N508*P508)</f>
        <v/>
      </c>
      <c r="R508" s="9" t="n"/>
      <c r="S508" s="9" t="n"/>
      <c r="T508" s="9" t="n"/>
      <c r="U508" s="9">
        <f>IF(Q508="","",IF(W508=0,"已付款PAID",IF(V508&gt;0,"部分核销","未付款N/P")))</f>
        <v/>
      </c>
      <c r="V508" s="10">
        <f>IF(G508="","",SUMIFS(回款核销!$H:$H,回款核销!$C:$C,G508)+SUMIFS(回款核销!$H:$H,回款核销!$B:$B,D508,回款核销!$C:$C,""))</f>
        <v/>
      </c>
      <c r="W508" s="10">
        <f>IF(Q508="","",MAX(0,Q508-V508))</f>
        <v/>
      </c>
      <c r="X508" s="9" t="n"/>
      <c r="Y508" s="10">
        <f>IF(OR(N508="",X508=""),"",N508*X508)</f>
        <v/>
      </c>
      <c r="Z508" s="10">
        <f>IF(OR(Q508="",Y508=""),"",Q508-Y508)</f>
        <v/>
      </c>
      <c r="AA508" s="9" t="n"/>
      <c r="AB508" s="9" t="n"/>
    </row>
    <row r="509" ht="22" customHeight="1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10">
        <f>IF(OR(N509="",P509=""),"",N509*P509)</f>
        <v/>
      </c>
      <c r="R509" s="9" t="n"/>
      <c r="S509" s="9" t="n"/>
      <c r="T509" s="9" t="n"/>
      <c r="U509" s="9">
        <f>IF(Q509="","",IF(W509=0,"已付款PAID",IF(V509&gt;0,"部分核销","未付款N/P")))</f>
        <v/>
      </c>
      <c r="V509" s="10">
        <f>IF(G509="","",SUMIFS(回款核销!$H:$H,回款核销!$C:$C,G509)+SUMIFS(回款核销!$H:$H,回款核销!$B:$B,D509,回款核销!$C:$C,""))</f>
        <v/>
      </c>
      <c r="W509" s="10">
        <f>IF(Q509="","",MAX(0,Q509-V509))</f>
        <v/>
      </c>
      <c r="X509" s="9" t="n"/>
      <c r="Y509" s="10">
        <f>IF(OR(N509="",X509=""),"",N509*X509)</f>
        <v/>
      </c>
      <c r="Z509" s="10">
        <f>IF(OR(Q509="",Y509=""),"",Q509-Y509)</f>
        <v/>
      </c>
      <c r="AA509" s="9" t="n"/>
      <c r="AB509" s="9" t="n"/>
    </row>
    <row r="510" ht="22" customHeight="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10">
        <f>IF(OR(N510="",P510=""),"",N510*P510)</f>
        <v/>
      </c>
      <c r="R510" s="9" t="n"/>
      <c r="S510" s="9" t="n"/>
      <c r="T510" s="9" t="n"/>
      <c r="U510" s="9">
        <f>IF(Q510="","",IF(W510=0,"已付款PAID",IF(V510&gt;0,"部分核销","未付款N/P")))</f>
        <v/>
      </c>
      <c r="V510" s="10">
        <f>IF(G510="","",SUMIFS(回款核销!$H:$H,回款核销!$C:$C,G510)+SUMIFS(回款核销!$H:$H,回款核销!$B:$B,D510,回款核销!$C:$C,""))</f>
        <v/>
      </c>
      <c r="W510" s="10">
        <f>IF(Q510="","",MAX(0,Q510-V510))</f>
        <v/>
      </c>
      <c r="X510" s="9" t="n"/>
      <c r="Y510" s="10">
        <f>IF(OR(N510="",X510=""),"",N510*X510)</f>
        <v/>
      </c>
      <c r="Z510" s="10">
        <f>IF(OR(Q510="",Y510=""),"",Q510-Y510)</f>
        <v/>
      </c>
      <c r="AA510" s="9" t="n"/>
      <c r="AB510" s="9" t="n"/>
    </row>
    <row r="511" ht="22" customHeight="1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10">
        <f>IF(OR(N511="",P511=""),"",N511*P511)</f>
        <v/>
      </c>
      <c r="R511" s="9" t="n"/>
      <c r="S511" s="9" t="n"/>
      <c r="T511" s="9" t="n"/>
      <c r="U511" s="9">
        <f>IF(Q511="","",IF(W511=0,"已付款PAID",IF(V511&gt;0,"部分核销","未付款N/P")))</f>
        <v/>
      </c>
      <c r="V511" s="10">
        <f>IF(G511="","",SUMIFS(回款核销!$H:$H,回款核销!$C:$C,G511)+SUMIFS(回款核销!$H:$H,回款核销!$B:$B,D511,回款核销!$C:$C,""))</f>
        <v/>
      </c>
      <c r="W511" s="10">
        <f>IF(Q511="","",MAX(0,Q511-V511))</f>
        <v/>
      </c>
      <c r="X511" s="9" t="n"/>
      <c r="Y511" s="10">
        <f>IF(OR(N511="",X511=""),"",N511*X511)</f>
        <v/>
      </c>
      <c r="Z511" s="10">
        <f>IF(OR(Q511="",Y511=""),"",Q511-Y511)</f>
        <v/>
      </c>
      <c r="AA511" s="9" t="n"/>
      <c r="AB511" s="9" t="n"/>
    </row>
    <row r="512" ht="22" customHeight="1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10">
        <f>IF(OR(N512="",P512=""),"",N512*P512)</f>
        <v/>
      </c>
      <c r="R512" s="9" t="n"/>
      <c r="S512" s="9" t="n"/>
      <c r="T512" s="9" t="n"/>
      <c r="U512" s="9">
        <f>IF(Q512="","",IF(W512=0,"已付款PAID",IF(V512&gt;0,"部分核销","未付款N/P")))</f>
        <v/>
      </c>
      <c r="V512" s="10">
        <f>IF(G512="","",SUMIFS(回款核销!$H:$H,回款核销!$C:$C,G512)+SUMIFS(回款核销!$H:$H,回款核销!$B:$B,D512,回款核销!$C:$C,""))</f>
        <v/>
      </c>
      <c r="W512" s="10">
        <f>IF(Q512="","",MAX(0,Q512-V512))</f>
        <v/>
      </c>
      <c r="X512" s="9" t="n"/>
      <c r="Y512" s="10">
        <f>IF(OR(N512="",X512=""),"",N512*X512)</f>
        <v/>
      </c>
      <c r="Z512" s="10">
        <f>IF(OR(Q512="",Y512=""),"",Q512-Y512)</f>
        <v/>
      </c>
      <c r="AA512" s="9" t="n"/>
      <c r="AB512" s="9" t="n"/>
    </row>
    <row r="513" ht="22" customHeight="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10">
        <f>IF(OR(N513="",P513=""),"",N513*P513)</f>
        <v/>
      </c>
      <c r="R513" s="9" t="n"/>
      <c r="S513" s="9" t="n"/>
      <c r="T513" s="9" t="n"/>
      <c r="U513" s="9">
        <f>IF(Q513="","",IF(W513=0,"已付款PAID",IF(V513&gt;0,"部分核销","未付款N/P")))</f>
        <v/>
      </c>
      <c r="V513" s="10">
        <f>IF(G513="","",SUMIFS(回款核销!$H:$H,回款核销!$C:$C,G513)+SUMIFS(回款核销!$H:$H,回款核销!$B:$B,D513,回款核销!$C:$C,""))</f>
        <v/>
      </c>
      <c r="W513" s="10">
        <f>IF(Q513="","",MAX(0,Q513-V513))</f>
        <v/>
      </c>
      <c r="X513" s="9" t="n"/>
      <c r="Y513" s="10">
        <f>IF(OR(N513="",X513=""),"",N513*X513)</f>
        <v/>
      </c>
      <c r="Z513" s="10">
        <f>IF(OR(Q513="",Y513=""),"",Q513-Y513)</f>
        <v/>
      </c>
      <c r="AA513" s="9" t="n"/>
      <c r="AB513" s="9" t="n"/>
    </row>
    <row r="514" ht="22" customHeight="1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10">
        <f>IF(OR(N514="",P514=""),"",N514*P514)</f>
        <v/>
      </c>
      <c r="R514" s="9" t="n"/>
      <c r="S514" s="9" t="n"/>
      <c r="T514" s="9" t="n"/>
      <c r="U514" s="9">
        <f>IF(Q514="","",IF(W514=0,"已付款PAID",IF(V514&gt;0,"部分核销","未付款N/P")))</f>
        <v/>
      </c>
      <c r="V514" s="10">
        <f>IF(G514="","",SUMIFS(回款核销!$H:$H,回款核销!$C:$C,G514)+SUMIFS(回款核销!$H:$H,回款核销!$B:$B,D514,回款核销!$C:$C,""))</f>
        <v/>
      </c>
      <c r="W514" s="10">
        <f>IF(Q514="","",MAX(0,Q514-V514))</f>
        <v/>
      </c>
      <c r="X514" s="9" t="n"/>
      <c r="Y514" s="10">
        <f>IF(OR(N514="",X514=""),"",N514*X514)</f>
        <v/>
      </c>
      <c r="Z514" s="10">
        <f>IF(OR(Q514="",Y514=""),"",Q514-Y514)</f>
        <v/>
      </c>
      <c r="AA514" s="9" t="n"/>
      <c r="AB514" s="9" t="n"/>
    </row>
    <row r="515" ht="22" customHeight="1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10">
        <f>IF(OR(N515="",P515=""),"",N515*P515)</f>
        <v/>
      </c>
      <c r="R515" s="9" t="n"/>
      <c r="S515" s="9" t="n"/>
      <c r="T515" s="9" t="n"/>
      <c r="U515" s="9">
        <f>IF(Q515="","",IF(W515=0,"已付款PAID",IF(V515&gt;0,"部分核销","未付款N/P")))</f>
        <v/>
      </c>
      <c r="V515" s="10">
        <f>IF(G515="","",SUMIFS(回款核销!$H:$H,回款核销!$C:$C,G515)+SUMIFS(回款核销!$H:$H,回款核销!$B:$B,D515,回款核销!$C:$C,""))</f>
        <v/>
      </c>
      <c r="W515" s="10">
        <f>IF(Q515="","",MAX(0,Q515-V515))</f>
        <v/>
      </c>
      <c r="X515" s="9" t="n"/>
      <c r="Y515" s="10">
        <f>IF(OR(N515="",X515=""),"",N515*X515)</f>
        <v/>
      </c>
      <c r="Z515" s="10">
        <f>IF(OR(Q515="",Y515=""),"",Q515-Y515)</f>
        <v/>
      </c>
      <c r="AA515" s="9" t="n"/>
      <c r="AB515" s="9" t="n"/>
    </row>
    <row r="516" ht="22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10">
        <f>IF(OR(N516="",P516=""),"",N516*P516)</f>
        <v/>
      </c>
      <c r="R516" s="9" t="n"/>
      <c r="S516" s="9" t="n"/>
      <c r="T516" s="9" t="n"/>
      <c r="U516" s="9">
        <f>IF(Q516="","",IF(W516=0,"已付款PAID",IF(V516&gt;0,"部分核销","未付款N/P")))</f>
        <v/>
      </c>
      <c r="V516" s="10">
        <f>IF(G516="","",SUMIFS(回款核销!$H:$H,回款核销!$C:$C,G516)+SUMIFS(回款核销!$H:$H,回款核销!$B:$B,D516,回款核销!$C:$C,""))</f>
        <v/>
      </c>
      <c r="W516" s="10">
        <f>IF(Q516="","",MAX(0,Q516-V516))</f>
        <v/>
      </c>
      <c r="X516" s="9" t="n"/>
      <c r="Y516" s="10">
        <f>IF(OR(N516="",X516=""),"",N516*X516)</f>
        <v/>
      </c>
      <c r="Z516" s="10">
        <f>IF(OR(Q516="",Y516=""),"",Q516-Y516)</f>
        <v/>
      </c>
      <c r="AA516" s="9" t="n"/>
      <c r="AB516" s="9" t="n"/>
    </row>
    <row r="517" ht="22" customHeight="1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10">
        <f>IF(OR(N517="",P517=""),"",N517*P517)</f>
        <v/>
      </c>
      <c r="R517" s="9" t="n"/>
      <c r="S517" s="9" t="n"/>
      <c r="T517" s="9" t="n"/>
      <c r="U517" s="9">
        <f>IF(Q517="","",IF(W517=0,"已付款PAID",IF(V517&gt;0,"部分核销","未付款N/P")))</f>
        <v/>
      </c>
      <c r="V517" s="10">
        <f>IF(G517="","",SUMIFS(回款核销!$H:$H,回款核销!$C:$C,G517)+SUMIFS(回款核销!$H:$H,回款核销!$B:$B,D517,回款核销!$C:$C,""))</f>
        <v/>
      </c>
      <c r="W517" s="10">
        <f>IF(Q517="","",MAX(0,Q517-V517))</f>
        <v/>
      </c>
      <c r="X517" s="9" t="n"/>
      <c r="Y517" s="10">
        <f>IF(OR(N517="",X517=""),"",N517*X517)</f>
        <v/>
      </c>
      <c r="Z517" s="10">
        <f>IF(OR(Q517="",Y517=""),"",Q517-Y517)</f>
        <v/>
      </c>
      <c r="AA517" s="9" t="n"/>
      <c r="AB517" s="9" t="n"/>
    </row>
    <row r="518" ht="22" customHeight="1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10">
        <f>IF(OR(N518="",P518=""),"",N518*P518)</f>
        <v/>
      </c>
      <c r="R518" s="9" t="n"/>
      <c r="S518" s="9" t="n"/>
      <c r="T518" s="9" t="n"/>
      <c r="U518" s="9">
        <f>IF(Q518="","",IF(W518=0,"已付款PAID",IF(V518&gt;0,"部分核销","未付款N/P")))</f>
        <v/>
      </c>
      <c r="V518" s="10">
        <f>IF(G518="","",SUMIFS(回款核销!$H:$H,回款核销!$C:$C,G518)+SUMIFS(回款核销!$H:$H,回款核销!$B:$B,D518,回款核销!$C:$C,""))</f>
        <v/>
      </c>
      <c r="W518" s="10">
        <f>IF(Q518="","",MAX(0,Q518-V518))</f>
        <v/>
      </c>
      <c r="X518" s="9" t="n"/>
      <c r="Y518" s="10">
        <f>IF(OR(N518="",X518=""),"",N518*X518)</f>
        <v/>
      </c>
      <c r="Z518" s="10">
        <f>IF(OR(Q518="",Y518=""),"",Q518-Y518)</f>
        <v/>
      </c>
      <c r="AA518" s="9" t="n"/>
      <c r="AB518" s="9" t="n"/>
    </row>
    <row r="519" ht="22" customHeight="1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10">
        <f>IF(OR(N519="",P519=""),"",N519*P519)</f>
        <v/>
      </c>
      <c r="R519" s="9" t="n"/>
      <c r="S519" s="9" t="n"/>
      <c r="T519" s="9" t="n"/>
      <c r="U519" s="9">
        <f>IF(Q519="","",IF(W519=0,"已付款PAID",IF(V519&gt;0,"部分核销","未付款N/P")))</f>
        <v/>
      </c>
      <c r="V519" s="10">
        <f>IF(G519="","",SUMIFS(回款核销!$H:$H,回款核销!$C:$C,G519)+SUMIFS(回款核销!$H:$H,回款核销!$B:$B,D519,回款核销!$C:$C,""))</f>
        <v/>
      </c>
      <c r="W519" s="10">
        <f>IF(Q519="","",MAX(0,Q519-V519))</f>
        <v/>
      </c>
      <c r="X519" s="9" t="n"/>
      <c r="Y519" s="10">
        <f>IF(OR(N519="",X519=""),"",N519*X519)</f>
        <v/>
      </c>
      <c r="Z519" s="10">
        <f>IF(OR(Q519="",Y519=""),"",Q519-Y519)</f>
        <v/>
      </c>
      <c r="AA519" s="9" t="n"/>
      <c r="AB519" s="9" t="n"/>
    </row>
    <row r="520" ht="22" customHeight="1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10">
        <f>IF(OR(N520="",P520=""),"",N520*P520)</f>
        <v/>
      </c>
      <c r="R520" s="9" t="n"/>
      <c r="S520" s="9" t="n"/>
      <c r="T520" s="9" t="n"/>
      <c r="U520" s="9">
        <f>IF(Q520="","",IF(W520=0,"已付款PAID",IF(V520&gt;0,"部分核销","未付款N/P")))</f>
        <v/>
      </c>
      <c r="V520" s="10">
        <f>IF(G520="","",SUMIFS(回款核销!$H:$H,回款核销!$C:$C,G520)+SUMIFS(回款核销!$H:$H,回款核销!$B:$B,D520,回款核销!$C:$C,""))</f>
        <v/>
      </c>
      <c r="W520" s="10">
        <f>IF(Q520="","",MAX(0,Q520-V520))</f>
        <v/>
      </c>
      <c r="X520" s="9" t="n"/>
      <c r="Y520" s="10">
        <f>IF(OR(N520="",X520=""),"",N520*X520)</f>
        <v/>
      </c>
      <c r="Z520" s="10">
        <f>IF(OR(Q520="",Y520=""),"",Q520-Y520)</f>
        <v/>
      </c>
      <c r="AA520" s="9" t="n"/>
      <c r="AB520" s="9" t="n"/>
    </row>
    <row r="521" ht="22" customHeight="1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10">
        <f>IF(OR(N521="",P521=""),"",N521*P521)</f>
        <v/>
      </c>
      <c r="R521" s="9" t="n"/>
      <c r="S521" s="9" t="n"/>
      <c r="T521" s="9" t="n"/>
      <c r="U521" s="9">
        <f>IF(Q521="","",IF(W521=0,"已付款PAID",IF(V521&gt;0,"部分核销","未付款N/P")))</f>
        <v/>
      </c>
      <c r="V521" s="10">
        <f>IF(G521="","",SUMIFS(回款核销!$H:$H,回款核销!$C:$C,G521)+SUMIFS(回款核销!$H:$H,回款核销!$B:$B,D521,回款核销!$C:$C,""))</f>
        <v/>
      </c>
      <c r="W521" s="10">
        <f>IF(Q521="","",MAX(0,Q521-V521))</f>
        <v/>
      </c>
      <c r="X521" s="9" t="n"/>
      <c r="Y521" s="10">
        <f>IF(OR(N521="",X521=""),"",N521*X521)</f>
        <v/>
      </c>
      <c r="Z521" s="10">
        <f>IF(OR(Q521="",Y521=""),"",Q521-Y521)</f>
        <v/>
      </c>
      <c r="AA521" s="9" t="n"/>
      <c r="AB521" s="9" t="n"/>
    </row>
    <row r="522" ht="22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10">
        <f>IF(OR(N522="",P522=""),"",N522*P522)</f>
        <v/>
      </c>
      <c r="R522" s="9" t="n"/>
      <c r="S522" s="9" t="n"/>
      <c r="T522" s="9" t="n"/>
      <c r="U522" s="9">
        <f>IF(Q522="","",IF(W522=0,"已付款PAID",IF(V522&gt;0,"部分核销","未付款N/P")))</f>
        <v/>
      </c>
      <c r="V522" s="10">
        <f>IF(G522="","",SUMIFS(回款核销!$H:$H,回款核销!$C:$C,G522)+SUMIFS(回款核销!$H:$H,回款核销!$B:$B,D522,回款核销!$C:$C,""))</f>
        <v/>
      </c>
      <c r="W522" s="10">
        <f>IF(Q522="","",MAX(0,Q522-V522))</f>
        <v/>
      </c>
      <c r="X522" s="9" t="n"/>
      <c r="Y522" s="10">
        <f>IF(OR(N522="",X522=""),"",N522*X522)</f>
        <v/>
      </c>
      <c r="Z522" s="10">
        <f>IF(OR(Q522="",Y522=""),"",Q522-Y522)</f>
        <v/>
      </c>
      <c r="AA522" s="9" t="n"/>
      <c r="AB522" s="9" t="n"/>
    </row>
    <row r="523" ht="22" customHeight="1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10">
        <f>IF(OR(N523="",P523=""),"",N523*P523)</f>
        <v/>
      </c>
      <c r="R523" s="9" t="n"/>
      <c r="S523" s="9" t="n"/>
      <c r="T523" s="9" t="n"/>
      <c r="U523" s="9">
        <f>IF(Q523="","",IF(W523=0,"已付款PAID",IF(V523&gt;0,"部分核销","未付款N/P")))</f>
        <v/>
      </c>
      <c r="V523" s="10">
        <f>IF(G523="","",SUMIFS(回款核销!$H:$H,回款核销!$C:$C,G523)+SUMIFS(回款核销!$H:$H,回款核销!$B:$B,D523,回款核销!$C:$C,""))</f>
        <v/>
      </c>
      <c r="W523" s="10">
        <f>IF(Q523="","",MAX(0,Q523-V523))</f>
        <v/>
      </c>
      <c r="X523" s="9" t="n"/>
      <c r="Y523" s="10">
        <f>IF(OR(N523="",X523=""),"",N523*X523)</f>
        <v/>
      </c>
      <c r="Z523" s="10">
        <f>IF(OR(Q523="",Y523=""),"",Q523-Y523)</f>
        <v/>
      </c>
      <c r="AA523" s="9" t="n"/>
      <c r="AB523" s="9" t="n"/>
    </row>
    <row r="524" ht="22" customHeight="1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10">
        <f>IF(OR(N524="",P524=""),"",N524*P524)</f>
        <v/>
      </c>
      <c r="R524" s="9" t="n"/>
      <c r="S524" s="9" t="n"/>
      <c r="T524" s="9" t="n"/>
      <c r="U524" s="9">
        <f>IF(Q524="","",IF(W524=0,"已付款PAID",IF(V524&gt;0,"部分核销","未付款N/P")))</f>
        <v/>
      </c>
      <c r="V524" s="10">
        <f>IF(G524="","",SUMIFS(回款核销!$H:$H,回款核销!$C:$C,G524)+SUMIFS(回款核销!$H:$H,回款核销!$B:$B,D524,回款核销!$C:$C,""))</f>
        <v/>
      </c>
      <c r="W524" s="10">
        <f>IF(Q524="","",MAX(0,Q524-V524))</f>
        <v/>
      </c>
      <c r="X524" s="9" t="n"/>
      <c r="Y524" s="10">
        <f>IF(OR(N524="",X524=""),"",N524*X524)</f>
        <v/>
      </c>
      <c r="Z524" s="10">
        <f>IF(OR(Q524="",Y524=""),"",Q524-Y524)</f>
        <v/>
      </c>
      <c r="AA524" s="9" t="n"/>
      <c r="AB524" s="9" t="n"/>
    </row>
    <row r="525" ht="22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10">
        <f>IF(OR(N525="",P525=""),"",N525*P525)</f>
        <v/>
      </c>
      <c r="R525" s="9" t="n"/>
      <c r="S525" s="9" t="n"/>
      <c r="T525" s="9" t="n"/>
      <c r="U525" s="9">
        <f>IF(Q525="","",IF(W525=0,"已付款PAID",IF(V525&gt;0,"部分核销","未付款N/P")))</f>
        <v/>
      </c>
      <c r="V525" s="10">
        <f>IF(G525="","",SUMIFS(回款核销!$H:$H,回款核销!$C:$C,G525)+SUMIFS(回款核销!$H:$H,回款核销!$B:$B,D525,回款核销!$C:$C,""))</f>
        <v/>
      </c>
      <c r="W525" s="10">
        <f>IF(Q525="","",MAX(0,Q525-V525))</f>
        <v/>
      </c>
      <c r="X525" s="9" t="n"/>
      <c r="Y525" s="10">
        <f>IF(OR(N525="",X525=""),"",N525*X525)</f>
        <v/>
      </c>
      <c r="Z525" s="10">
        <f>IF(OR(Q525="",Y525=""),"",Q525-Y525)</f>
        <v/>
      </c>
      <c r="AA525" s="9" t="n"/>
      <c r="AB525" s="9" t="n"/>
    </row>
    <row r="526" ht="22" customHeight="1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10">
        <f>IF(OR(N526="",P526=""),"",N526*P526)</f>
        <v/>
      </c>
      <c r="R526" s="9" t="n"/>
      <c r="S526" s="9" t="n"/>
      <c r="T526" s="9" t="n"/>
      <c r="U526" s="9">
        <f>IF(Q526="","",IF(W526=0,"已付款PAID",IF(V526&gt;0,"部分核销","未付款N/P")))</f>
        <v/>
      </c>
      <c r="V526" s="10">
        <f>IF(G526="","",SUMIFS(回款核销!$H:$H,回款核销!$C:$C,G526)+SUMIFS(回款核销!$H:$H,回款核销!$B:$B,D526,回款核销!$C:$C,""))</f>
        <v/>
      </c>
      <c r="W526" s="10">
        <f>IF(Q526="","",MAX(0,Q526-V526))</f>
        <v/>
      </c>
      <c r="X526" s="9" t="n"/>
      <c r="Y526" s="10">
        <f>IF(OR(N526="",X526=""),"",N526*X526)</f>
        <v/>
      </c>
      <c r="Z526" s="10">
        <f>IF(OR(Q526="",Y526=""),"",Q526-Y526)</f>
        <v/>
      </c>
      <c r="AA526" s="9" t="n"/>
      <c r="AB526" s="9" t="n"/>
    </row>
    <row r="527" ht="22" customHeight="1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10">
        <f>IF(OR(N527="",P527=""),"",N527*P527)</f>
        <v/>
      </c>
      <c r="R527" s="9" t="n"/>
      <c r="S527" s="9" t="n"/>
      <c r="T527" s="9" t="n"/>
      <c r="U527" s="9">
        <f>IF(Q527="","",IF(W527=0,"已付款PAID",IF(V527&gt;0,"部分核销","未付款N/P")))</f>
        <v/>
      </c>
      <c r="V527" s="10">
        <f>IF(G527="","",SUMIFS(回款核销!$H:$H,回款核销!$C:$C,G527)+SUMIFS(回款核销!$H:$H,回款核销!$B:$B,D527,回款核销!$C:$C,""))</f>
        <v/>
      </c>
      <c r="W527" s="10">
        <f>IF(Q527="","",MAX(0,Q527-V527))</f>
        <v/>
      </c>
      <c r="X527" s="9" t="n"/>
      <c r="Y527" s="10">
        <f>IF(OR(N527="",X527=""),"",N527*X527)</f>
        <v/>
      </c>
      <c r="Z527" s="10">
        <f>IF(OR(Q527="",Y527=""),"",Q527-Y527)</f>
        <v/>
      </c>
      <c r="AA527" s="9" t="n"/>
      <c r="AB527" s="9" t="n"/>
    </row>
    <row r="528" ht="22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10">
        <f>IF(OR(N528="",P528=""),"",N528*P528)</f>
        <v/>
      </c>
      <c r="R528" s="9" t="n"/>
      <c r="S528" s="9" t="n"/>
      <c r="T528" s="9" t="n"/>
      <c r="U528" s="9">
        <f>IF(Q528="","",IF(W528=0,"已付款PAID",IF(V528&gt;0,"部分核销","未付款N/P")))</f>
        <v/>
      </c>
      <c r="V528" s="10">
        <f>IF(G528="","",SUMIFS(回款核销!$H:$H,回款核销!$C:$C,G528)+SUMIFS(回款核销!$H:$H,回款核销!$B:$B,D528,回款核销!$C:$C,""))</f>
        <v/>
      </c>
      <c r="W528" s="10">
        <f>IF(Q528="","",MAX(0,Q528-V528))</f>
        <v/>
      </c>
      <c r="X528" s="9" t="n"/>
      <c r="Y528" s="10">
        <f>IF(OR(N528="",X528=""),"",N528*X528)</f>
        <v/>
      </c>
      <c r="Z528" s="10">
        <f>IF(OR(Q528="",Y528=""),"",Q528-Y528)</f>
        <v/>
      </c>
      <c r="AA528" s="9" t="n"/>
      <c r="AB528" s="9" t="n"/>
    </row>
    <row r="529" ht="22" customHeight="1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10">
        <f>IF(OR(N529="",P529=""),"",N529*P529)</f>
        <v/>
      </c>
      <c r="R529" s="9" t="n"/>
      <c r="S529" s="9" t="n"/>
      <c r="T529" s="9" t="n"/>
      <c r="U529" s="9">
        <f>IF(Q529="","",IF(W529=0,"已付款PAID",IF(V529&gt;0,"部分核销","未付款N/P")))</f>
        <v/>
      </c>
      <c r="V529" s="10">
        <f>IF(G529="","",SUMIFS(回款核销!$H:$H,回款核销!$C:$C,G529)+SUMIFS(回款核销!$H:$H,回款核销!$B:$B,D529,回款核销!$C:$C,""))</f>
        <v/>
      </c>
      <c r="W529" s="10">
        <f>IF(Q529="","",MAX(0,Q529-V529))</f>
        <v/>
      </c>
      <c r="X529" s="9" t="n"/>
      <c r="Y529" s="10">
        <f>IF(OR(N529="",X529=""),"",N529*X529)</f>
        <v/>
      </c>
      <c r="Z529" s="10">
        <f>IF(OR(Q529="",Y529=""),"",Q529-Y529)</f>
        <v/>
      </c>
      <c r="AA529" s="9" t="n"/>
      <c r="AB529" s="9" t="n"/>
    </row>
    <row r="530" ht="22" customHeight="1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10">
        <f>IF(OR(N530="",P530=""),"",N530*P530)</f>
        <v/>
      </c>
      <c r="R530" s="9" t="n"/>
      <c r="S530" s="9" t="n"/>
      <c r="T530" s="9" t="n"/>
      <c r="U530" s="9">
        <f>IF(Q530="","",IF(W530=0,"已付款PAID",IF(V530&gt;0,"部分核销","未付款N/P")))</f>
        <v/>
      </c>
      <c r="V530" s="10">
        <f>IF(G530="","",SUMIFS(回款核销!$H:$H,回款核销!$C:$C,G530)+SUMIFS(回款核销!$H:$H,回款核销!$B:$B,D530,回款核销!$C:$C,""))</f>
        <v/>
      </c>
      <c r="W530" s="10">
        <f>IF(Q530="","",MAX(0,Q530-V530))</f>
        <v/>
      </c>
      <c r="X530" s="9" t="n"/>
      <c r="Y530" s="10">
        <f>IF(OR(N530="",X530=""),"",N530*X530)</f>
        <v/>
      </c>
      <c r="Z530" s="10">
        <f>IF(OR(Q530="",Y530=""),"",Q530-Y530)</f>
        <v/>
      </c>
      <c r="AA530" s="9" t="n"/>
      <c r="AB530" s="9" t="n"/>
    </row>
    <row r="531" ht="22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10">
        <f>IF(OR(N531="",P531=""),"",N531*P531)</f>
        <v/>
      </c>
      <c r="R531" s="9" t="n"/>
      <c r="S531" s="9" t="n"/>
      <c r="T531" s="9" t="n"/>
      <c r="U531" s="9">
        <f>IF(Q531="","",IF(W531=0,"已付款PAID",IF(V531&gt;0,"部分核销","未付款N/P")))</f>
        <v/>
      </c>
      <c r="V531" s="10">
        <f>IF(G531="","",SUMIFS(回款核销!$H:$H,回款核销!$C:$C,G531)+SUMIFS(回款核销!$H:$H,回款核销!$B:$B,D531,回款核销!$C:$C,""))</f>
        <v/>
      </c>
      <c r="W531" s="10">
        <f>IF(Q531="","",MAX(0,Q531-V531))</f>
        <v/>
      </c>
      <c r="X531" s="9" t="n"/>
      <c r="Y531" s="10">
        <f>IF(OR(N531="",X531=""),"",N531*X531)</f>
        <v/>
      </c>
      <c r="Z531" s="10">
        <f>IF(OR(Q531="",Y531=""),"",Q531-Y531)</f>
        <v/>
      </c>
      <c r="AA531" s="9" t="n"/>
      <c r="AB531" s="9" t="n"/>
    </row>
    <row r="532" ht="22" customHeight="1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10">
        <f>IF(OR(N532="",P532=""),"",N532*P532)</f>
        <v/>
      </c>
      <c r="R532" s="9" t="n"/>
      <c r="S532" s="9" t="n"/>
      <c r="T532" s="9" t="n"/>
      <c r="U532" s="9">
        <f>IF(Q532="","",IF(W532=0,"已付款PAID",IF(V532&gt;0,"部分核销","未付款N/P")))</f>
        <v/>
      </c>
      <c r="V532" s="10">
        <f>IF(G532="","",SUMIFS(回款核销!$H:$H,回款核销!$C:$C,G532)+SUMIFS(回款核销!$H:$H,回款核销!$B:$B,D532,回款核销!$C:$C,""))</f>
        <v/>
      </c>
      <c r="W532" s="10">
        <f>IF(Q532="","",MAX(0,Q532-V532))</f>
        <v/>
      </c>
      <c r="X532" s="9" t="n"/>
      <c r="Y532" s="10">
        <f>IF(OR(N532="",X532=""),"",N532*X532)</f>
        <v/>
      </c>
      <c r="Z532" s="10">
        <f>IF(OR(Q532="",Y532=""),"",Q532-Y532)</f>
        <v/>
      </c>
      <c r="AA532" s="9" t="n"/>
      <c r="AB532" s="9" t="n"/>
    </row>
    <row r="533" ht="22" customHeight="1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10">
        <f>IF(OR(N533="",P533=""),"",N533*P533)</f>
        <v/>
      </c>
      <c r="R533" s="9" t="n"/>
      <c r="S533" s="9" t="n"/>
      <c r="T533" s="9" t="n"/>
      <c r="U533" s="9">
        <f>IF(Q533="","",IF(W533=0,"已付款PAID",IF(V533&gt;0,"部分核销","未付款N/P")))</f>
        <v/>
      </c>
      <c r="V533" s="10">
        <f>IF(G533="","",SUMIFS(回款核销!$H:$H,回款核销!$C:$C,G533)+SUMIFS(回款核销!$H:$H,回款核销!$B:$B,D533,回款核销!$C:$C,""))</f>
        <v/>
      </c>
      <c r="W533" s="10">
        <f>IF(Q533="","",MAX(0,Q533-V533))</f>
        <v/>
      </c>
      <c r="X533" s="9" t="n"/>
      <c r="Y533" s="10">
        <f>IF(OR(N533="",X533=""),"",N533*X533)</f>
        <v/>
      </c>
      <c r="Z533" s="10">
        <f>IF(OR(Q533="",Y533=""),"",Q533-Y533)</f>
        <v/>
      </c>
      <c r="AA533" s="9" t="n"/>
      <c r="AB533" s="9" t="n"/>
    </row>
    <row r="534" ht="22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10">
        <f>IF(OR(N534="",P534=""),"",N534*P534)</f>
        <v/>
      </c>
      <c r="R534" s="9" t="n"/>
      <c r="S534" s="9" t="n"/>
      <c r="T534" s="9" t="n"/>
      <c r="U534" s="9">
        <f>IF(Q534="","",IF(W534=0,"已付款PAID",IF(V534&gt;0,"部分核销","未付款N/P")))</f>
        <v/>
      </c>
      <c r="V534" s="10">
        <f>IF(G534="","",SUMIFS(回款核销!$H:$H,回款核销!$C:$C,G534)+SUMIFS(回款核销!$H:$H,回款核销!$B:$B,D534,回款核销!$C:$C,""))</f>
        <v/>
      </c>
      <c r="W534" s="10">
        <f>IF(Q534="","",MAX(0,Q534-V534))</f>
        <v/>
      </c>
      <c r="X534" s="9" t="n"/>
      <c r="Y534" s="10">
        <f>IF(OR(N534="",X534=""),"",N534*X534)</f>
        <v/>
      </c>
      <c r="Z534" s="10">
        <f>IF(OR(Q534="",Y534=""),"",Q534-Y534)</f>
        <v/>
      </c>
      <c r="AA534" s="9" t="n"/>
      <c r="AB534" s="9" t="n"/>
    </row>
    <row r="535" ht="22" customHeight="1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10">
        <f>IF(OR(N535="",P535=""),"",N535*P535)</f>
        <v/>
      </c>
      <c r="R535" s="9" t="n"/>
      <c r="S535" s="9" t="n"/>
      <c r="T535" s="9" t="n"/>
      <c r="U535" s="9">
        <f>IF(Q535="","",IF(W535=0,"已付款PAID",IF(V535&gt;0,"部分核销","未付款N/P")))</f>
        <v/>
      </c>
      <c r="V535" s="10">
        <f>IF(G535="","",SUMIFS(回款核销!$H:$H,回款核销!$C:$C,G535)+SUMIFS(回款核销!$H:$H,回款核销!$B:$B,D535,回款核销!$C:$C,""))</f>
        <v/>
      </c>
      <c r="W535" s="10">
        <f>IF(Q535="","",MAX(0,Q535-V535))</f>
        <v/>
      </c>
      <c r="X535" s="9" t="n"/>
      <c r="Y535" s="10">
        <f>IF(OR(N535="",X535=""),"",N535*X535)</f>
        <v/>
      </c>
      <c r="Z535" s="10">
        <f>IF(OR(Q535="",Y535=""),"",Q535-Y535)</f>
        <v/>
      </c>
      <c r="AA535" s="9" t="n"/>
      <c r="AB535" s="9" t="n"/>
    </row>
    <row r="536" ht="22" customHeight="1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10">
        <f>IF(OR(N536="",P536=""),"",N536*P536)</f>
        <v/>
      </c>
      <c r="R536" s="9" t="n"/>
      <c r="S536" s="9" t="n"/>
      <c r="T536" s="9" t="n"/>
      <c r="U536" s="9">
        <f>IF(Q536="","",IF(W536=0,"已付款PAID",IF(V536&gt;0,"部分核销","未付款N/P")))</f>
        <v/>
      </c>
      <c r="V536" s="10">
        <f>IF(G536="","",SUMIFS(回款核销!$H:$H,回款核销!$C:$C,G536)+SUMIFS(回款核销!$H:$H,回款核销!$B:$B,D536,回款核销!$C:$C,""))</f>
        <v/>
      </c>
      <c r="W536" s="10">
        <f>IF(Q536="","",MAX(0,Q536-V536))</f>
        <v/>
      </c>
      <c r="X536" s="9" t="n"/>
      <c r="Y536" s="10">
        <f>IF(OR(N536="",X536=""),"",N536*X536)</f>
        <v/>
      </c>
      <c r="Z536" s="10">
        <f>IF(OR(Q536="",Y536=""),"",Q536-Y536)</f>
        <v/>
      </c>
      <c r="AA536" s="9" t="n"/>
      <c r="AB536" s="9" t="n"/>
    </row>
    <row r="537" ht="22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10">
        <f>IF(OR(N537="",P537=""),"",N537*P537)</f>
        <v/>
      </c>
      <c r="R537" s="9" t="n"/>
      <c r="S537" s="9" t="n"/>
      <c r="T537" s="9" t="n"/>
      <c r="U537" s="9">
        <f>IF(Q537="","",IF(W537=0,"已付款PAID",IF(V537&gt;0,"部分核销","未付款N/P")))</f>
        <v/>
      </c>
      <c r="V537" s="10">
        <f>IF(G537="","",SUMIFS(回款核销!$H:$H,回款核销!$C:$C,G537)+SUMIFS(回款核销!$H:$H,回款核销!$B:$B,D537,回款核销!$C:$C,""))</f>
        <v/>
      </c>
      <c r="W537" s="10">
        <f>IF(Q537="","",MAX(0,Q537-V537))</f>
        <v/>
      </c>
      <c r="X537" s="9" t="n"/>
      <c r="Y537" s="10">
        <f>IF(OR(N537="",X537=""),"",N537*X537)</f>
        <v/>
      </c>
      <c r="Z537" s="10">
        <f>IF(OR(Q537="",Y537=""),"",Q537-Y537)</f>
        <v/>
      </c>
      <c r="AA537" s="9" t="n"/>
      <c r="AB537" s="9" t="n"/>
    </row>
    <row r="538" ht="22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10">
        <f>IF(OR(N538="",P538=""),"",N538*P538)</f>
        <v/>
      </c>
      <c r="R538" s="9" t="n"/>
      <c r="S538" s="9" t="n"/>
      <c r="T538" s="9" t="n"/>
      <c r="U538" s="9">
        <f>IF(Q538="","",IF(W538=0,"已付款PAID",IF(V538&gt;0,"部分核销","未付款N/P")))</f>
        <v/>
      </c>
      <c r="V538" s="10">
        <f>IF(G538="","",SUMIFS(回款核销!$H:$H,回款核销!$C:$C,G538)+SUMIFS(回款核销!$H:$H,回款核销!$B:$B,D538,回款核销!$C:$C,""))</f>
        <v/>
      </c>
      <c r="W538" s="10">
        <f>IF(Q538="","",MAX(0,Q538-V538))</f>
        <v/>
      </c>
      <c r="X538" s="9" t="n"/>
      <c r="Y538" s="10">
        <f>IF(OR(N538="",X538=""),"",N538*X538)</f>
        <v/>
      </c>
      <c r="Z538" s="10">
        <f>IF(OR(Q538="",Y538=""),"",Q538-Y538)</f>
        <v/>
      </c>
      <c r="AA538" s="9" t="n"/>
      <c r="AB538" s="9" t="n"/>
    </row>
    <row r="539" ht="22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10">
        <f>IF(OR(N539="",P539=""),"",N539*P539)</f>
        <v/>
      </c>
      <c r="R539" s="9" t="n"/>
      <c r="S539" s="9" t="n"/>
      <c r="T539" s="9" t="n"/>
      <c r="U539" s="9">
        <f>IF(Q539="","",IF(W539=0,"已付款PAID",IF(V539&gt;0,"部分核销","未付款N/P")))</f>
        <v/>
      </c>
      <c r="V539" s="10">
        <f>IF(G539="","",SUMIFS(回款核销!$H:$H,回款核销!$C:$C,G539)+SUMIFS(回款核销!$H:$H,回款核销!$B:$B,D539,回款核销!$C:$C,""))</f>
        <v/>
      </c>
      <c r="W539" s="10">
        <f>IF(Q539="","",MAX(0,Q539-V539))</f>
        <v/>
      </c>
      <c r="X539" s="9" t="n"/>
      <c r="Y539" s="10">
        <f>IF(OR(N539="",X539=""),"",N539*X539)</f>
        <v/>
      </c>
      <c r="Z539" s="10">
        <f>IF(OR(Q539="",Y539=""),"",Q539-Y539)</f>
        <v/>
      </c>
      <c r="AA539" s="9" t="n"/>
      <c r="AB539" s="9" t="n"/>
    </row>
    <row r="540" ht="22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10">
        <f>IF(OR(N540="",P540=""),"",N540*P540)</f>
        <v/>
      </c>
      <c r="R540" s="9" t="n"/>
      <c r="S540" s="9" t="n"/>
      <c r="T540" s="9" t="n"/>
      <c r="U540" s="9">
        <f>IF(Q540="","",IF(W540=0,"已付款PAID",IF(V540&gt;0,"部分核销","未付款N/P")))</f>
        <v/>
      </c>
      <c r="V540" s="10">
        <f>IF(G540="","",SUMIFS(回款核销!$H:$H,回款核销!$C:$C,G540)+SUMIFS(回款核销!$H:$H,回款核销!$B:$B,D540,回款核销!$C:$C,""))</f>
        <v/>
      </c>
      <c r="W540" s="10">
        <f>IF(Q540="","",MAX(0,Q540-V540))</f>
        <v/>
      </c>
      <c r="X540" s="9" t="n"/>
      <c r="Y540" s="10">
        <f>IF(OR(N540="",X540=""),"",N540*X540)</f>
        <v/>
      </c>
      <c r="Z540" s="10">
        <f>IF(OR(Q540="",Y540=""),"",Q540-Y540)</f>
        <v/>
      </c>
      <c r="AA540" s="9" t="n"/>
      <c r="AB540" s="9" t="n"/>
    </row>
    <row r="541" ht="22" customHeight="1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10">
        <f>IF(OR(N541="",P541=""),"",N541*P541)</f>
        <v/>
      </c>
      <c r="R541" s="9" t="n"/>
      <c r="S541" s="9" t="n"/>
      <c r="T541" s="9" t="n"/>
      <c r="U541" s="9">
        <f>IF(Q541="","",IF(W541=0,"已付款PAID",IF(V541&gt;0,"部分核销","未付款N/P")))</f>
        <v/>
      </c>
      <c r="V541" s="10">
        <f>IF(G541="","",SUMIFS(回款核销!$H:$H,回款核销!$C:$C,G541)+SUMIFS(回款核销!$H:$H,回款核销!$B:$B,D541,回款核销!$C:$C,""))</f>
        <v/>
      </c>
      <c r="W541" s="10">
        <f>IF(Q541="","",MAX(0,Q541-V541))</f>
        <v/>
      </c>
      <c r="X541" s="9" t="n"/>
      <c r="Y541" s="10">
        <f>IF(OR(N541="",X541=""),"",N541*X541)</f>
        <v/>
      </c>
      <c r="Z541" s="10">
        <f>IF(OR(Q541="",Y541=""),"",Q541-Y541)</f>
        <v/>
      </c>
      <c r="AA541" s="9" t="n"/>
      <c r="AB541" s="9" t="n"/>
    </row>
    <row r="542" ht="22" customHeight="1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10">
        <f>IF(OR(N542="",P542=""),"",N542*P542)</f>
        <v/>
      </c>
      <c r="R542" s="9" t="n"/>
      <c r="S542" s="9" t="n"/>
      <c r="T542" s="9" t="n"/>
      <c r="U542" s="9">
        <f>IF(Q542="","",IF(W542=0,"已付款PAID",IF(V542&gt;0,"部分核销","未付款N/P")))</f>
        <v/>
      </c>
      <c r="V542" s="10">
        <f>IF(G542="","",SUMIFS(回款核销!$H:$H,回款核销!$C:$C,G542)+SUMIFS(回款核销!$H:$H,回款核销!$B:$B,D542,回款核销!$C:$C,""))</f>
        <v/>
      </c>
      <c r="W542" s="10">
        <f>IF(Q542="","",MAX(0,Q542-V542))</f>
        <v/>
      </c>
      <c r="X542" s="9" t="n"/>
      <c r="Y542" s="10">
        <f>IF(OR(N542="",X542=""),"",N542*X542)</f>
        <v/>
      </c>
      <c r="Z542" s="10">
        <f>IF(OR(Q542="",Y542=""),"",Q542-Y542)</f>
        <v/>
      </c>
      <c r="AA542" s="9" t="n"/>
      <c r="AB542" s="9" t="n"/>
    </row>
    <row r="543" ht="22" customHeight="1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10">
        <f>IF(OR(N543="",P543=""),"",N543*P543)</f>
        <v/>
      </c>
      <c r="R543" s="9" t="n"/>
      <c r="S543" s="9" t="n"/>
      <c r="T543" s="9" t="n"/>
      <c r="U543" s="9">
        <f>IF(Q543="","",IF(W543=0,"已付款PAID",IF(V543&gt;0,"部分核销","未付款N/P")))</f>
        <v/>
      </c>
      <c r="V543" s="10">
        <f>IF(G543="","",SUMIFS(回款核销!$H:$H,回款核销!$C:$C,G543)+SUMIFS(回款核销!$H:$H,回款核销!$B:$B,D543,回款核销!$C:$C,""))</f>
        <v/>
      </c>
      <c r="W543" s="10">
        <f>IF(Q543="","",MAX(0,Q543-V543))</f>
        <v/>
      </c>
      <c r="X543" s="9" t="n"/>
      <c r="Y543" s="10">
        <f>IF(OR(N543="",X543=""),"",N543*X543)</f>
        <v/>
      </c>
      <c r="Z543" s="10">
        <f>IF(OR(Q543="",Y543=""),"",Q543-Y543)</f>
        <v/>
      </c>
      <c r="AA543" s="9" t="n"/>
      <c r="AB543" s="9" t="n"/>
    </row>
    <row r="544" ht="22" customHeight="1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10">
        <f>IF(OR(N544="",P544=""),"",N544*P544)</f>
        <v/>
      </c>
      <c r="R544" s="9" t="n"/>
      <c r="S544" s="9" t="n"/>
      <c r="T544" s="9" t="n"/>
      <c r="U544" s="9">
        <f>IF(Q544="","",IF(W544=0,"已付款PAID",IF(V544&gt;0,"部分核销","未付款N/P")))</f>
        <v/>
      </c>
      <c r="V544" s="10">
        <f>IF(G544="","",SUMIFS(回款核销!$H:$H,回款核销!$C:$C,G544)+SUMIFS(回款核销!$H:$H,回款核销!$B:$B,D544,回款核销!$C:$C,""))</f>
        <v/>
      </c>
      <c r="W544" s="10">
        <f>IF(Q544="","",MAX(0,Q544-V544))</f>
        <v/>
      </c>
      <c r="X544" s="9" t="n"/>
      <c r="Y544" s="10">
        <f>IF(OR(N544="",X544=""),"",N544*X544)</f>
        <v/>
      </c>
      <c r="Z544" s="10">
        <f>IF(OR(Q544="",Y544=""),"",Q544-Y544)</f>
        <v/>
      </c>
      <c r="AA544" s="9" t="n"/>
      <c r="AB544" s="9" t="n"/>
    </row>
    <row r="545" ht="22" customHeight="1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10">
        <f>IF(OR(N545="",P545=""),"",N545*P545)</f>
        <v/>
      </c>
      <c r="R545" s="9" t="n"/>
      <c r="S545" s="9" t="n"/>
      <c r="T545" s="9" t="n"/>
      <c r="U545" s="9">
        <f>IF(Q545="","",IF(W545=0,"已付款PAID",IF(V545&gt;0,"部分核销","未付款N/P")))</f>
        <v/>
      </c>
      <c r="V545" s="10">
        <f>IF(G545="","",SUMIFS(回款核销!$H:$H,回款核销!$C:$C,G545)+SUMIFS(回款核销!$H:$H,回款核销!$B:$B,D545,回款核销!$C:$C,""))</f>
        <v/>
      </c>
      <c r="W545" s="10">
        <f>IF(Q545="","",MAX(0,Q545-V545))</f>
        <v/>
      </c>
      <c r="X545" s="9" t="n"/>
      <c r="Y545" s="10">
        <f>IF(OR(N545="",X545=""),"",N545*X545)</f>
        <v/>
      </c>
      <c r="Z545" s="10">
        <f>IF(OR(Q545="",Y545=""),"",Q545-Y545)</f>
        <v/>
      </c>
      <c r="AA545" s="9" t="n"/>
      <c r="AB545" s="9" t="n"/>
    </row>
    <row r="546" ht="22" customHeight="1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10">
        <f>IF(OR(N546="",P546=""),"",N546*P546)</f>
        <v/>
      </c>
      <c r="R546" s="9" t="n"/>
      <c r="S546" s="9" t="n"/>
      <c r="T546" s="9" t="n"/>
      <c r="U546" s="9">
        <f>IF(Q546="","",IF(W546=0,"已付款PAID",IF(V546&gt;0,"部分核销","未付款N/P")))</f>
        <v/>
      </c>
      <c r="V546" s="10">
        <f>IF(G546="","",SUMIFS(回款核销!$H:$H,回款核销!$C:$C,G546)+SUMIFS(回款核销!$H:$H,回款核销!$B:$B,D546,回款核销!$C:$C,""))</f>
        <v/>
      </c>
      <c r="W546" s="10">
        <f>IF(Q546="","",MAX(0,Q546-V546))</f>
        <v/>
      </c>
      <c r="X546" s="9" t="n"/>
      <c r="Y546" s="10">
        <f>IF(OR(N546="",X546=""),"",N546*X546)</f>
        <v/>
      </c>
      <c r="Z546" s="10">
        <f>IF(OR(Q546="",Y546=""),"",Q546-Y546)</f>
        <v/>
      </c>
      <c r="AA546" s="9" t="n"/>
      <c r="AB546" s="9" t="n"/>
    </row>
    <row r="547" ht="22" customHeight="1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10">
        <f>IF(OR(N547="",P547=""),"",N547*P547)</f>
        <v/>
      </c>
      <c r="R547" s="9" t="n"/>
      <c r="S547" s="9" t="n"/>
      <c r="T547" s="9" t="n"/>
      <c r="U547" s="9">
        <f>IF(Q547="","",IF(W547=0,"已付款PAID",IF(V547&gt;0,"部分核销","未付款N/P")))</f>
        <v/>
      </c>
      <c r="V547" s="10">
        <f>IF(G547="","",SUMIFS(回款核销!$H:$H,回款核销!$C:$C,G547)+SUMIFS(回款核销!$H:$H,回款核销!$B:$B,D547,回款核销!$C:$C,""))</f>
        <v/>
      </c>
      <c r="W547" s="10">
        <f>IF(Q547="","",MAX(0,Q547-V547))</f>
        <v/>
      </c>
      <c r="X547" s="9" t="n"/>
      <c r="Y547" s="10">
        <f>IF(OR(N547="",X547=""),"",N547*X547)</f>
        <v/>
      </c>
      <c r="Z547" s="10">
        <f>IF(OR(Q547="",Y547=""),"",Q547-Y547)</f>
        <v/>
      </c>
      <c r="AA547" s="9" t="n"/>
      <c r="AB547" s="9" t="n"/>
    </row>
    <row r="548" ht="22" customHeight="1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10">
        <f>IF(OR(N548="",P548=""),"",N548*P548)</f>
        <v/>
      </c>
      <c r="R548" s="9" t="n"/>
      <c r="S548" s="9" t="n"/>
      <c r="T548" s="9" t="n"/>
      <c r="U548" s="9">
        <f>IF(Q548="","",IF(W548=0,"已付款PAID",IF(V548&gt;0,"部分核销","未付款N/P")))</f>
        <v/>
      </c>
      <c r="V548" s="10">
        <f>IF(G548="","",SUMIFS(回款核销!$H:$H,回款核销!$C:$C,G548)+SUMIFS(回款核销!$H:$H,回款核销!$B:$B,D548,回款核销!$C:$C,""))</f>
        <v/>
      </c>
      <c r="W548" s="10">
        <f>IF(Q548="","",MAX(0,Q548-V548))</f>
        <v/>
      </c>
      <c r="X548" s="9" t="n"/>
      <c r="Y548" s="10">
        <f>IF(OR(N548="",X548=""),"",N548*X548)</f>
        <v/>
      </c>
      <c r="Z548" s="10">
        <f>IF(OR(Q548="",Y548=""),"",Q548-Y548)</f>
        <v/>
      </c>
      <c r="AA548" s="9" t="n"/>
      <c r="AB548" s="9" t="n"/>
    </row>
    <row r="549" ht="22" customHeight="1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10">
        <f>IF(OR(N549="",P549=""),"",N549*P549)</f>
        <v/>
      </c>
      <c r="R549" s="9" t="n"/>
      <c r="S549" s="9" t="n"/>
      <c r="T549" s="9" t="n"/>
      <c r="U549" s="9">
        <f>IF(Q549="","",IF(W549=0,"已付款PAID",IF(V549&gt;0,"部分核销","未付款N/P")))</f>
        <v/>
      </c>
      <c r="V549" s="10">
        <f>IF(G549="","",SUMIFS(回款核销!$H:$H,回款核销!$C:$C,G549)+SUMIFS(回款核销!$H:$H,回款核销!$B:$B,D549,回款核销!$C:$C,""))</f>
        <v/>
      </c>
      <c r="W549" s="10">
        <f>IF(Q549="","",MAX(0,Q549-V549))</f>
        <v/>
      </c>
      <c r="X549" s="9" t="n"/>
      <c r="Y549" s="10">
        <f>IF(OR(N549="",X549=""),"",N549*X549)</f>
        <v/>
      </c>
      <c r="Z549" s="10">
        <f>IF(OR(Q549="",Y549=""),"",Q549-Y549)</f>
        <v/>
      </c>
      <c r="AA549" s="9" t="n"/>
      <c r="AB549" s="9" t="n"/>
    </row>
    <row r="550" ht="22" customHeight="1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10">
        <f>IF(OR(N550="",P550=""),"",N550*P550)</f>
        <v/>
      </c>
      <c r="R550" s="9" t="n"/>
      <c r="S550" s="9" t="n"/>
      <c r="T550" s="9" t="n"/>
      <c r="U550" s="9">
        <f>IF(Q550="","",IF(W550=0,"已付款PAID",IF(V550&gt;0,"部分核销","未付款N/P")))</f>
        <v/>
      </c>
      <c r="V550" s="10">
        <f>IF(G550="","",SUMIFS(回款核销!$H:$H,回款核销!$C:$C,G550)+SUMIFS(回款核销!$H:$H,回款核销!$B:$B,D550,回款核销!$C:$C,""))</f>
        <v/>
      </c>
      <c r="W550" s="10">
        <f>IF(Q550="","",MAX(0,Q550-V550))</f>
        <v/>
      </c>
      <c r="X550" s="9" t="n"/>
      <c r="Y550" s="10">
        <f>IF(OR(N550="",X550=""),"",N550*X550)</f>
        <v/>
      </c>
      <c r="Z550" s="10">
        <f>IF(OR(Q550="",Y550=""),"",Q550-Y550)</f>
        <v/>
      </c>
      <c r="AA550" s="9" t="n"/>
      <c r="AB550" s="9" t="n"/>
    </row>
    <row r="551" ht="22" customHeight="1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10">
        <f>IF(OR(N551="",P551=""),"",N551*P551)</f>
        <v/>
      </c>
      <c r="R551" s="9" t="n"/>
      <c r="S551" s="9" t="n"/>
      <c r="T551" s="9" t="n"/>
      <c r="U551" s="9">
        <f>IF(Q551="","",IF(W551=0,"已付款PAID",IF(V551&gt;0,"部分核销","未付款N/P")))</f>
        <v/>
      </c>
      <c r="V551" s="10">
        <f>IF(G551="","",SUMIFS(回款核销!$H:$H,回款核销!$C:$C,G551)+SUMIFS(回款核销!$H:$H,回款核销!$B:$B,D551,回款核销!$C:$C,""))</f>
        <v/>
      </c>
      <c r="W551" s="10">
        <f>IF(Q551="","",MAX(0,Q551-V551))</f>
        <v/>
      </c>
      <c r="X551" s="9" t="n"/>
      <c r="Y551" s="10">
        <f>IF(OR(N551="",X551=""),"",N551*X551)</f>
        <v/>
      </c>
      <c r="Z551" s="10">
        <f>IF(OR(Q551="",Y551=""),"",Q551-Y551)</f>
        <v/>
      </c>
      <c r="AA551" s="9" t="n"/>
      <c r="AB551" s="9" t="n"/>
    </row>
    <row r="552" ht="22" customHeight="1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10">
        <f>IF(OR(N552="",P552=""),"",N552*P552)</f>
        <v/>
      </c>
      <c r="R552" s="9" t="n"/>
      <c r="S552" s="9" t="n"/>
      <c r="T552" s="9" t="n"/>
      <c r="U552" s="9">
        <f>IF(Q552="","",IF(W552=0,"已付款PAID",IF(V552&gt;0,"部分核销","未付款N/P")))</f>
        <v/>
      </c>
      <c r="V552" s="10">
        <f>IF(G552="","",SUMIFS(回款核销!$H:$H,回款核销!$C:$C,G552)+SUMIFS(回款核销!$H:$H,回款核销!$B:$B,D552,回款核销!$C:$C,""))</f>
        <v/>
      </c>
      <c r="W552" s="10">
        <f>IF(Q552="","",MAX(0,Q552-V552))</f>
        <v/>
      </c>
      <c r="X552" s="9" t="n"/>
      <c r="Y552" s="10">
        <f>IF(OR(N552="",X552=""),"",N552*X552)</f>
        <v/>
      </c>
      <c r="Z552" s="10">
        <f>IF(OR(Q552="",Y552=""),"",Q552-Y552)</f>
        <v/>
      </c>
      <c r="AA552" s="9" t="n"/>
      <c r="AB552" s="9" t="n"/>
    </row>
    <row r="553" ht="22" customHeight="1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10">
        <f>IF(OR(N553="",P553=""),"",N553*P553)</f>
        <v/>
      </c>
      <c r="R553" s="9" t="n"/>
      <c r="S553" s="9" t="n"/>
      <c r="T553" s="9" t="n"/>
      <c r="U553" s="9">
        <f>IF(Q553="","",IF(W553=0,"已付款PAID",IF(V553&gt;0,"部分核销","未付款N/P")))</f>
        <v/>
      </c>
      <c r="V553" s="10">
        <f>IF(G553="","",SUMIFS(回款核销!$H:$H,回款核销!$C:$C,G553)+SUMIFS(回款核销!$H:$H,回款核销!$B:$B,D553,回款核销!$C:$C,""))</f>
        <v/>
      </c>
      <c r="W553" s="10">
        <f>IF(Q553="","",MAX(0,Q553-V553))</f>
        <v/>
      </c>
      <c r="X553" s="9" t="n"/>
      <c r="Y553" s="10">
        <f>IF(OR(N553="",X553=""),"",N553*X553)</f>
        <v/>
      </c>
      <c r="Z553" s="10">
        <f>IF(OR(Q553="",Y553=""),"",Q553-Y553)</f>
        <v/>
      </c>
      <c r="AA553" s="9" t="n"/>
      <c r="AB553" s="9" t="n"/>
    </row>
    <row r="554" ht="22" customHeight="1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10">
        <f>IF(OR(N554="",P554=""),"",N554*P554)</f>
        <v/>
      </c>
      <c r="R554" s="9" t="n"/>
      <c r="S554" s="9" t="n"/>
      <c r="T554" s="9" t="n"/>
      <c r="U554" s="9">
        <f>IF(Q554="","",IF(W554=0,"已付款PAID",IF(V554&gt;0,"部分核销","未付款N/P")))</f>
        <v/>
      </c>
      <c r="V554" s="10">
        <f>IF(G554="","",SUMIFS(回款核销!$H:$H,回款核销!$C:$C,G554)+SUMIFS(回款核销!$H:$H,回款核销!$B:$B,D554,回款核销!$C:$C,""))</f>
        <v/>
      </c>
      <c r="W554" s="10">
        <f>IF(Q554="","",MAX(0,Q554-V554))</f>
        <v/>
      </c>
      <c r="X554" s="9" t="n"/>
      <c r="Y554" s="10">
        <f>IF(OR(N554="",X554=""),"",N554*X554)</f>
        <v/>
      </c>
      <c r="Z554" s="10">
        <f>IF(OR(Q554="",Y554=""),"",Q554-Y554)</f>
        <v/>
      </c>
      <c r="AA554" s="9" t="n"/>
      <c r="AB554" s="9" t="n"/>
    </row>
    <row r="555" ht="22" customHeight="1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10">
        <f>IF(OR(N555="",P555=""),"",N555*P555)</f>
        <v/>
      </c>
      <c r="R555" s="9" t="n"/>
      <c r="S555" s="9" t="n"/>
      <c r="T555" s="9" t="n"/>
      <c r="U555" s="9">
        <f>IF(Q555="","",IF(W555=0,"已付款PAID",IF(V555&gt;0,"部分核销","未付款N/P")))</f>
        <v/>
      </c>
      <c r="V555" s="10">
        <f>IF(G555="","",SUMIFS(回款核销!$H:$H,回款核销!$C:$C,G555)+SUMIFS(回款核销!$H:$H,回款核销!$B:$B,D555,回款核销!$C:$C,""))</f>
        <v/>
      </c>
      <c r="W555" s="10">
        <f>IF(Q555="","",MAX(0,Q555-V555))</f>
        <v/>
      </c>
      <c r="X555" s="9" t="n"/>
      <c r="Y555" s="10">
        <f>IF(OR(N555="",X555=""),"",N555*X555)</f>
        <v/>
      </c>
      <c r="Z555" s="10">
        <f>IF(OR(Q555="",Y555=""),"",Q555-Y555)</f>
        <v/>
      </c>
      <c r="AA555" s="9" t="n"/>
      <c r="AB555" s="9" t="n"/>
    </row>
    <row r="556" ht="22" customHeight="1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10">
        <f>IF(OR(N556="",P556=""),"",N556*P556)</f>
        <v/>
      </c>
      <c r="R556" s="9" t="n"/>
      <c r="S556" s="9" t="n"/>
      <c r="T556" s="9" t="n"/>
      <c r="U556" s="9">
        <f>IF(Q556="","",IF(W556=0,"已付款PAID",IF(V556&gt;0,"部分核销","未付款N/P")))</f>
        <v/>
      </c>
      <c r="V556" s="10">
        <f>IF(G556="","",SUMIFS(回款核销!$H:$H,回款核销!$C:$C,G556)+SUMIFS(回款核销!$H:$H,回款核销!$B:$B,D556,回款核销!$C:$C,""))</f>
        <v/>
      </c>
      <c r="W556" s="10">
        <f>IF(Q556="","",MAX(0,Q556-V556))</f>
        <v/>
      </c>
      <c r="X556" s="9" t="n"/>
      <c r="Y556" s="10">
        <f>IF(OR(N556="",X556=""),"",N556*X556)</f>
        <v/>
      </c>
      <c r="Z556" s="10">
        <f>IF(OR(Q556="",Y556=""),"",Q556-Y556)</f>
        <v/>
      </c>
      <c r="AA556" s="9" t="n"/>
      <c r="AB556" s="9" t="n"/>
    </row>
    <row r="557" ht="22" customHeight="1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10">
        <f>IF(OR(N557="",P557=""),"",N557*P557)</f>
        <v/>
      </c>
      <c r="R557" s="9" t="n"/>
      <c r="S557" s="9" t="n"/>
      <c r="T557" s="9" t="n"/>
      <c r="U557" s="9">
        <f>IF(Q557="","",IF(W557=0,"已付款PAID",IF(V557&gt;0,"部分核销","未付款N/P")))</f>
        <v/>
      </c>
      <c r="V557" s="10">
        <f>IF(G557="","",SUMIFS(回款核销!$H:$H,回款核销!$C:$C,G557)+SUMIFS(回款核销!$H:$H,回款核销!$B:$B,D557,回款核销!$C:$C,""))</f>
        <v/>
      </c>
      <c r="W557" s="10">
        <f>IF(Q557="","",MAX(0,Q557-V557))</f>
        <v/>
      </c>
      <c r="X557" s="9" t="n"/>
      <c r="Y557" s="10">
        <f>IF(OR(N557="",X557=""),"",N557*X557)</f>
        <v/>
      </c>
      <c r="Z557" s="10">
        <f>IF(OR(Q557="",Y557=""),"",Q557-Y557)</f>
        <v/>
      </c>
      <c r="AA557" s="9" t="n"/>
      <c r="AB557" s="9" t="n"/>
    </row>
    <row r="558" ht="22" customHeight="1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10">
        <f>IF(OR(N558="",P558=""),"",N558*P558)</f>
        <v/>
      </c>
      <c r="R558" s="9" t="n"/>
      <c r="S558" s="9" t="n"/>
      <c r="T558" s="9" t="n"/>
      <c r="U558" s="9">
        <f>IF(Q558="","",IF(W558=0,"已付款PAID",IF(V558&gt;0,"部分核销","未付款N/P")))</f>
        <v/>
      </c>
      <c r="V558" s="10">
        <f>IF(G558="","",SUMIFS(回款核销!$H:$H,回款核销!$C:$C,G558)+SUMIFS(回款核销!$H:$H,回款核销!$B:$B,D558,回款核销!$C:$C,""))</f>
        <v/>
      </c>
      <c r="W558" s="10">
        <f>IF(Q558="","",MAX(0,Q558-V558))</f>
        <v/>
      </c>
      <c r="X558" s="9" t="n"/>
      <c r="Y558" s="10">
        <f>IF(OR(N558="",X558=""),"",N558*X558)</f>
        <v/>
      </c>
      <c r="Z558" s="10">
        <f>IF(OR(Q558="",Y558=""),"",Q558-Y558)</f>
        <v/>
      </c>
      <c r="AA558" s="9" t="n"/>
      <c r="AB558" s="9" t="n"/>
    </row>
    <row r="559" ht="22" customHeight="1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10">
        <f>IF(OR(N559="",P559=""),"",N559*P559)</f>
        <v/>
      </c>
      <c r="R559" s="9" t="n"/>
      <c r="S559" s="9" t="n"/>
      <c r="T559" s="9" t="n"/>
      <c r="U559" s="9">
        <f>IF(Q559="","",IF(W559=0,"已付款PAID",IF(V559&gt;0,"部分核销","未付款N/P")))</f>
        <v/>
      </c>
      <c r="V559" s="10">
        <f>IF(G559="","",SUMIFS(回款核销!$H:$H,回款核销!$C:$C,G559)+SUMIFS(回款核销!$H:$H,回款核销!$B:$B,D559,回款核销!$C:$C,""))</f>
        <v/>
      </c>
      <c r="W559" s="10">
        <f>IF(Q559="","",MAX(0,Q559-V559))</f>
        <v/>
      </c>
      <c r="X559" s="9" t="n"/>
      <c r="Y559" s="10">
        <f>IF(OR(N559="",X559=""),"",N559*X559)</f>
        <v/>
      </c>
      <c r="Z559" s="10">
        <f>IF(OR(Q559="",Y559=""),"",Q559-Y559)</f>
        <v/>
      </c>
      <c r="AA559" s="9" t="n"/>
      <c r="AB559" s="9" t="n"/>
    </row>
    <row r="560" ht="22" customHeight="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10">
        <f>IF(OR(N560="",P560=""),"",N560*P560)</f>
        <v/>
      </c>
      <c r="R560" s="9" t="n"/>
      <c r="S560" s="9" t="n"/>
      <c r="T560" s="9" t="n"/>
      <c r="U560" s="9">
        <f>IF(Q560="","",IF(W560=0,"已付款PAID",IF(V560&gt;0,"部分核销","未付款N/P")))</f>
        <v/>
      </c>
      <c r="V560" s="10">
        <f>IF(G560="","",SUMIFS(回款核销!$H:$H,回款核销!$C:$C,G560)+SUMIFS(回款核销!$H:$H,回款核销!$B:$B,D560,回款核销!$C:$C,""))</f>
        <v/>
      </c>
      <c r="W560" s="10">
        <f>IF(Q560="","",MAX(0,Q560-V560))</f>
        <v/>
      </c>
      <c r="X560" s="9" t="n"/>
      <c r="Y560" s="10">
        <f>IF(OR(N560="",X560=""),"",N560*X560)</f>
        <v/>
      </c>
      <c r="Z560" s="10">
        <f>IF(OR(Q560="",Y560=""),"",Q560-Y560)</f>
        <v/>
      </c>
      <c r="AA560" s="9" t="n"/>
      <c r="AB560" s="9" t="n"/>
    </row>
    <row r="561" ht="22" customHeight="1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10">
        <f>IF(OR(N561="",P561=""),"",N561*P561)</f>
        <v/>
      </c>
      <c r="R561" s="9" t="n"/>
      <c r="S561" s="9" t="n"/>
      <c r="T561" s="9" t="n"/>
      <c r="U561" s="9">
        <f>IF(Q561="","",IF(W561=0,"已付款PAID",IF(V561&gt;0,"部分核销","未付款N/P")))</f>
        <v/>
      </c>
      <c r="V561" s="10">
        <f>IF(G561="","",SUMIFS(回款核销!$H:$H,回款核销!$C:$C,G561)+SUMIFS(回款核销!$H:$H,回款核销!$B:$B,D561,回款核销!$C:$C,""))</f>
        <v/>
      </c>
      <c r="W561" s="10">
        <f>IF(Q561="","",MAX(0,Q561-V561))</f>
        <v/>
      </c>
      <c r="X561" s="9" t="n"/>
      <c r="Y561" s="10">
        <f>IF(OR(N561="",X561=""),"",N561*X561)</f>
        <v/>
      </c>
      <c r="Z561" s="10">
        <f>IF(OR(Q561="",Y561=""),"",Q561-Y561)</f>
        <v/>
      </c>
      <c r="AA561" s="9" t="n"/>
      <c r="AB561" s="9" t="n"/>
    </row>
    <row r="562" ht="22" customHeight="1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10">
        <f>IF(OR(N562="",P562=""),"",N562*P562)</f>
        <v/>
      </c>
      <c r="R562" s="9" t="n"/>
      <c r="S562" s="9" t="n"/>
      <c r="T562" s="9" t="n"/>
      <c r="U562" s="9">
        <f>IF(Q562="","",IF(W562=0,"已付款PAID",IF(V562&gt;0,"部分核销","未付款N/P")))</f>
        <v/>
      </c>
      <c r="V562" s="10">
        <f>IF(G562="","",SUMIFS(回款核销!$H:$H,回款核销!$C:$C,G562)+SUMIFS(回款核销!$H:$H,回款核销!$B:$B,D562,回款核销!$C:$C,""))</f>
        <v/>
      </c>
      <c r="W562" s="10">
        <f>IF(Q562="","",MAX(0,Q562-V562))</f>
        <v/>
      </c>
      <c r="X562" s="9" t="n"/>
      <c r="Y562" s="10">
        <f>IF(OR(N562="",X562=""),"",N562*X562)</f>
        <v/>
      </c>
      <c r="Z562" s="10">
        <f>IF(OR(Q562="",Y562=""),"",Q562-Y562)</f>
        <v/>
      </c>
      <c r="AA562" s="9" t="n"/>
      <c r="AB562" s="9" t="n"/>
    </row>
    <row r="563" ht="22" customHeight="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10">
        <f>IF(OR(N563="",P563=""),"",N563*P563)</f>
        <v/>
      </c>
      <c r="R563" s="9" t="n"/>
      <c r="S563" s="9" t="n"/>
      <c r="T563" s="9" t="n"/>
      <c r="U563" s="9">
        <f>IF(Q563="","",IF(W563=0,"已付款PAID",IF(V563&gt;0,"部分核销","未付款N/P")))</f>
        <v/>
      </c>
      <c r="V563" s="10">
        <f>IF(G563="","",SUMIFS(回款核销!$H:$H,回款核销!$C:$C,G563)+SUMIFS(回款核销!$H:$H,回款核销!$B:$B,D563,回款核销!$C:$C,""))</f>
        <v/>
      </c>
      <c r="W563" s="10">
        <f>IF(Q563="","",MAX(0,Q563-V563))</f>
        <v/>
      </c>
      <c r="X563" s="9" t="n"/>
      <c r="Y563" s="10">
        <f>IF(OR(N563="",X563=""),"",N563*X563)</f>
        <v/>
      </c>
      <c r="Z563" s="10">
        <f>IF(OR(Q563="",Y563=""),"",Q563-Y563)</f>
        <v/>
      </c>
      <c r="AA563" s="9" t="n"/>
      <c r="AB563" s="9" t="n"/>
    </row>
    <row r="564" ht="22" customHeight="1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10">
        <f>IF(OR(N564="",P564=""),"",N564*P564)</f>
        <v/>
      </c>
      <c r="R564" s="9" t="n"/>
      <c r="S564" s="9" t="n"/>
      <c r="T564" s="9" t="n"/>
      <c r="U564" s="9">
        <f>IF(Q564="","",IF(W564=0,"已付款PAID",IF(V564&gt;0,"部分核销","未付款N/P")))</f>
        <v/>
      </c>
      <c r="V564" s="10">
        <f>IF(G564="","",SUMIFS(回款核销!$H:$H,回款核销!$C:$C,G564)+SUMIFS(回款核销!$H:$H,回款核销!$B:$B,D564,回款核销!$C:$C,""))</f>
        <v/>
      </c>
      <c r="W564" s="10">
        <f>IF(Q564="","",MAX(0,Q564-V564))</f>
        <v/>
      </c>
      <c r="X564" s="9" t="n"/>
      <c r="Y564" s="10">
        <f>IF(OR(N564="",X564=""),"",N564*X564)</f>
        <v/>
      </c>
      <c r="Z564" s="10">
        <f>IF(OR(Q564="",Y564=""),"",Q564-Y564)</f>
        <v/>
      </c>
      <c r="AA564" s="9" t="n"/>
      <c r="AB564" s="9" t="n"/>
    </row>
    <row r="565" ht="22" customHeight="1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10">
        <f>IF(OR(N565="",P565=""),"",N565*P565)</f>
        <v/>
      </c>
      <c r="R565" s="9" t="n"/>
      <c r="S565" s="9" t="n"/>
      <c r="T565" s="9" t="n"/>
      <c r="U565" s="9">
        <f>IF(Q565="","",IF(W565=0,"已付款PAID",IF(V565&gt;0,"部分核销","未付款N/P")))</f>
        <v/>
      </c>
      <c r="V565" s="10">
        <f>IF(G565="","",SUMIFS(回款核销!$H:$H,回款核销!$C:$C,G565)+SUMIFS(回款核销!$H:$H,回款核销!$B:$B,D565,回款核销!$C:$C,""))</f>
        <v/>
      </c>
      <c r="W565" s="10">
        <f>IF(Q565="","",MAX(0,Q565-V565))</f>
        <v/>
      </c>
      <c r="X565" s="9" t="n"/>
      <c r="Y565" s="10">
        <f>IF(OR(N565="",X565=""),"",N565*X565)</f>
        <v/>
      </c>
      <c r="Z565" s="10">
        <f>IF(OR(Q565="",Y565=""),"",Q565-Y565)</f>
        <v/>
      </c>
      <c r="AA565" s="9" t="n"/>
      <c r="AB565" s="9" t="n"/>
    </row>
    <row r="566" ht="22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10">
        <f>IF(OR(N566="",P566=""),"",N566*P566)</f>
        <v/>
      </c>
      <c r="R566" s="9" t="n"/>
      <c r="S566" s="9" t="n"/>
      <c r="T566" s="9" t="n"/>
      <c r="U566" s="9">
        <f>IF(Q566="","",IF(W566=0,"已付款PAID",IF(V566&gt;0,"部分核销","未付款N/P")))</f>
        <v/>
      </c>
      <c r="V566" s="10">
        <f>IF(G566="","",SUMIFS(回款核销!$H:$H,回款核销!$C:$C,G566)+SUMIFS(回款核销!$H:$H,回款核销!$B:$B,D566,回款核销!$C:$C,""))</f>
        <v/>
      </c>
      <c r="W566" s="10">
        <f>IF(Q566="","",MAX(0,Q566-V566))</f>
        <v/>
      </c>
      <c r="X566" s="9" t="n"/>
      <c r="Y566" s="10">
        <f>IF(OR(N566="",X566=""),"",N566*X566)</f>
        <v/>
      </c>
      <c r="Z566" s="10">
        <f>IF(OR(Q566="",Y566=""),"",Q566-Y566)</f>
        <v/>
      </c>
      <c r="AA566" s="9" t="n"/>
      <c r="AB566" s="9" t="n"/>
    </row>
    <row r="567" ht="22" customHeight="1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10">
        <f>IF(OR(N567="",P567=""),"",N567*P567)</f>
        <v/>
      </c>
      <c r="R567" s="9" t="n"/>
      <c r="S567" s="9" t="n"/>
      <c r="T567" s="9" t="n"/>
      <c r="U567" s="9">
        <f>IF(Q567="","",IF(W567=0,"已付款PAID",IF(V567&gt;0,"部分核销","未付款N/P")))</f>
        <v/>
      </c>
      <c r="V567" s="10">
        <f>IF(G567="","",SUMIFS(回款核销!$H:$H,回款核销!$C:$C,G567)+SUMIFS(回款核销!$H:$H,回款核销!$B:$B,D567,回款核销!$C:$C,""))</f>
        <v/>
      </c>
      <c r="W567" s="10">
        <f>IF(Q567="","",MAX(0,Q567-V567))</f>
        <v/>
      </c>
      <c r="X567" s="9" t="n"/>
      <c r="Y567" s="10">
        <f>IF(OR(N567="",X567=""),"",N567*X567)</f>
        <v/>
      </c>
      <c r="Z567" s="10">
        <f>IF(OR(Q567="",Y567=""),"",Q567-Y567)</f>
        <v/>
      </c>
      <c r="AA567" s="9" t="n"/>
      <c r="AB567" s="9" t="n"/>
    </row>
    <row r="568" ht="22" customHeight="1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10">
        <f>IF(OR(N568="",P568=""),"",N568*P568)</f>
        <v/>
      </c>
      <c r="R568" s="9" t="n"/>
      <c r="S568" s="9" t="n"/>
      <c r="T568" s="9" t="n"/>
      <c r="U568" s="9">
        <f>IF(Q568="","",IF(W568=0,"已付款PAID",IF(V568&gt;0,"部分核销","未付款N/P")))</f>
        <v/>
      </c>
      <c r="V568" s="10">
        <f>IF(G568="","",SUMIFS(回款核销!$H:$H,回款核销!$C:$C,G568)+SUMIFS(回款核销!$H:$H,回款核销!$B:$B,D568,回款核销!$C:$C,""))</f>
        <v/>
      </c>
      <c r="W568" s="10">
        <f>IF(Q568="","",MAX(0,Q568-V568))</f>
        <v/>
      </c>
      <c r="X568" s="9" t="n"/>
      <c r="Y568" s="10">
        <f>IF(OR(N568="",X568=""),"",N568*X568)</f>
        <v/>
      </c>
      <c r="Z568" s="10">
        <f>IF(OR(Q568="",Y568=""),"",Q568-Y568)</f>
        <v/>
      </c>
      <c r="AA568" s="9" t="n"/>
      <c r="AB568" s="9" t="n"/>
    </row>
    <row r="569" ht="22" customHeight="1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10">
        <f>IF(OR(N569="",P569=""),"",N569*P569)</f>
        <v/>
      </c>
      <c r="R569" s="9" t="n"/>
      <c r="S569" s="9" t="n"/>
      <c r="T569" s="9" t="n"/>
      <c r="U569" s="9">
        <f>IF(Q569="","",IF(W569=0,"已付款PAID",IF(V569&gt;0,"部分核销","未付款N/P")))</f>
        <v/>
      </c>
      <c r="V569" s="10">
        <f>IF(G569="","",SUMIFS(回款核销!$H:$H,回款核销!$C:$C,G569)+SUMIFS(回款核销!$H:$H,回款核销!$B:$B,D569,回款核销!$C:$C,""))</f>
        <v/>
      </c>
      <c r="W569" s="10">
        <f>IF(Q569="","",MAX(0,Q569-V569))</f>
        <v/>
      </c>
      <c r="X569" s="9" t="n"/>
      <c r="Y569" s="10">
        <f>IF(OR(N569="",X569=""),"",N569*X569)</f>
        <v/>
      </c>
      <c r="Z569" s="10">
        <f>IF(OR(Q569="",Y569=""),"",Q569-Y569)</f>
        <v/>
      </c>
      <c r="AA569" s="9" t="n"/>
      <c r="AB569" s="9" t="n"/>
    </row>
    <row r="570" ht="22" customHeight="1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10">
        <f>IF(OR(N570="",P570=""),"",N570*P570)</f>
        <v/>
      </c>
      <c r="R570" s="9" t="n"/>
      <c r="S570" s="9" t="n"/>
      <c r="T570" s="9" t="n"/>
      <c r="U570" s="9">
        <f>IF(Q570="","",IF(W570=0,"已付款PAID",IF(V570&gt;0,"部分核销","未付款N/P")))</f>
        <v/>
      </c>
      <c r="V570" s="10">
        <f>IF(G570="","",SUMIFS(回款核销!$H:$H,回款核销!$C:$C,G570)+SUMIFS(回款核销!$H:$H,回款核销!$B:$B,D570,回款核销!$C:$C,""))</f>
        <v/>
      </c>
      <c r="W570" s="10">
        <f>IF(Q570="","",MAX(0,Q570-V570))</f>
        <v/>
      </c>
      <c r="X570" s="9" t="n"/>
      <c r="Y570" s="10">
        <f>IF(OR(N570="",X570=""),"",N570*X570)</f>
        <v/>
      </c>
      <c r="Z570" s="10">
        <f>IF(OR(Q570="",Y570=""),"",Q570-Y570)</f>
        <v/>
      </c>
      <c r="AA570" s="9" t="n"/>
      <c r="AB570" s="9" t="n"/>
    </row>
    <row r="571" ht="22" customHeight="1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10">
        <f>IF(OR(N571="",P571=""),"",N571*P571)</f>
        <v/>
      </c>
      <c r="R571" s="9" t="n"/>
      <c r="S571" s="9" t="n"/>
      <c r="T571" s="9" t="n"/>
      <c r="U571" s="9">
        <f>IF(Q571="","",IF(W571=0,"已付款PAID",IF(V571&gt;0,"部分核销","未付款N/P")))</f>
        <v/>
      </c>
      <c r="V571" s="10">
        <f>IF(G571="","",SUMIFS(回款核销!$H:$H,回款核销!$C:$C,G571)+SUMIFS(回款核销!$H:$H,回款核销!$B:$B,D571,回款核销!$C:$C,""))</f>
        <v/>
      </c>
      <c r="W571" s="10">
        <f>IF(Q571="","",MAX(0,Q571-V571))</f>
        <v/>
      </c>
      <c r="X571" s="9" t="n"/>
      <c r="Y571" s="10">
        <f>IF(OR(N571="",X571=""),"",N571*X571)</f>
        <v/>
      </c>
      <c r="Z571" s="10">
        <f>IF(OR(Q571="",Y571=""),"",Q571-Y571)</f>
        <v/>
      </c>
      <c r="AA571" s="9" t="n"/>
      <c r="AB571" s="9" t="n"/>
    </row>
    <row r="572" ht="22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10">
        <f>IF(OR(N572="",P572=""),"",N572*P572)</f>
        <v/>
      </c>
      <c r="R572" s="9" t="n"/>
      <c r="S572" s="9" t="n"/>
      <c r="T572" s="9" t="n"/>
      <c r="U572" s="9">
        <f>IF(Q572="","",IF(W572=0,"已付款PAID",IF(V572&gt;0,"部分核销","未付款N/P")))</f>
        <v/>
      </c>
      <c r="V572" s="10">
        <f>IF(G572="","",SUMIFS(回款核销!$H:$H,回款核销!$C:$C,G572)+SUMIFS(回款核销!$H:$H,回款核销!$B:$B,D572,回款核销!$C:$C,""))</f>
        <v/>
      </c>
      <c r="W572" s="10">
        <f>IF(Q572="","",MAX(0,Q572-V572))</f>
        <v/>
      </c>
      <c r="X572" s="9" t="n"/>
      <c r="Y572" s="10">
        <f>IF(OR(N572="",X572=""),"",N572*X572)</f>
        <v/>
      </c>
      <c r="Z572" s="10">
        <f>IF(OR(Q572="",Y572=""),"",Q572-Y572)</f>
        <v/>
      </c>
      <c r="AA572" s="9" t="n"/>
      <c r="AB572" s="9" t="n"/>
    </row>
    <row r="573" ht="22" customHeight="1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10">
        <f>IF(OR(N573="",P573=""),"",N573*P573)</f>
        <v/>
      </c>
      <c r="R573" s="9" t="n"/>
      <c r="S573" s="9" t="n"/>
      <c r="T573" s="9" t="n"/>
      <c r="U573" s="9">
        <f>IF(Q573="","",IF(W573=0,"已付款PAID",IF(V573&gt;0,"部分核销","未付款N/P")))</f>
        <v/>
      </c>
      <c r="V573" s="10">
        <f>IF(G573="","",SUMIFS(回款核销!$H:$H,回款核销!$C:$C,G573)+SUMIFS(回款核销!$H:$H,回款核销!$B:$B,D573,回款核销!$C:$C,""))</f>
        <v/>
      </c>
      <c r="W573" s="10">
        <f>IF(Q573="","",MAX(0,Q573-V573))</f>
        <v/>
      </c>
      <c r="X573" s="9" t="n"/>
      <c r="Y573" s="10">
        <f>IF(OR(N573="",X573=""),"",N573*X573)</f>
        <v/>
      </c>
      <c r="Z573" s="10">
        <f>IF(OR(Q573="",Y573=""),"",Q573-Y573)</f>
        <v/>
      </c>
      <c r="AA573" s="9" t="n"/>
      <c r="AB573" s="9" t="n"/>
    </row>
    <row r="574" ht="22" customHeight="1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10">
        <f>IF(OR(N574="",P574=""),"",N574*P574)</f>
        <v/>
      </c>
      <c r="R574" s="9" t="n"/>
      <c r="S574" s="9" t="n"/>
      <c r="T574" s="9" t="n"/>
      <c r="U574" s="9">
        <f>IF(Q574="","",IF(W574=0,"已付款PAID",IF(V574&gt;0,"部分核销","未付款N/P")))</f>
        <v/>
      </c>
      <c r="V574" s="10">
        <f>IF(G574="","",SUMIFS(回款核销!$H:$H,回款核销!$C:$C,G574)+SUMIFS(回款核销!$H:$H,回款核销!$B:$B,D574,回款核销!$C:$C,""))</f>
        <v/>
      </c>
      <c r="W574" s="10">
        <f>IF(Q574="","",MAX(0,Q574-V574))</f>
        <v/>
      </c>
      <c r="X574" s="9" t="n"/>
      <c r="Y574" s="10">
        <f>IF(OR(N574="",X574=""),"",N574*X574)</f>
        <v/>
      </c>
      <c r="Z574" s="10">
        <f>IF(OR(Q574="",Y574=""),"",Q574-Y574)</f>
        <v/>
      </c>
      <c r="AA574" s="9" t="n"/>
      <c r="AB574" s="9" t="n"/>
    </row>
    <row r="575" ht="22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10">
        <f>IF(OR(N575="",P575=""),"",N575*P575)</f>
        <v/>
      </c>
      <c r="R575" s="9" t="n"/>
      <c r="S575" s="9" t="n"/>
      <c r="T575" s="9" t="n"/>
      <c r="U575" s="9">
        <f>IF(Q575="","",IF(W575=0,"已付款PAID",IF(V575&gt;0,"部分核销","未付款N/P")))</f>
        <v/>
      </c>
      <c r="V575" s="10">
        <f>IF(G575="","",SUMIFS(回款核销!$H:$H,回款核销!$C:$C,G575)+SUMIFS(回款核销!$H:$H,回款核销!$B:$B,D575,回款核销!$C:$C,""))</f>
        <v/>
      </c>
      <c r="W575" s="10">
        <f>IF(Q575="","",MAX(0,Q575-V575))</f>
        <v/>
      </c>
      <c r="X575" s="9" t="n"/>
      <c r="Y575" s="10">
        <f>IF(OR(N575="",X575=""),"",N575*X575)</f>
        <v/>
      </c>
      <c r="Z575" s="10">
        <f>IF(OR(Q575="",Y575=""),"",Q575-Y575)</f>
        <v/>
      </c>
      <c r="AA575" s="9" t="n"/>
      <c r="AB575" s="9" t="n"/>
    </row>
    <row r="576" ht="22" customHeight="1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10">
        <f>IF(OR(N576="",P576=""),"",N576*P576)</f>
        <v/>
      </c>
      <c r="R576" s="9" t="n"/>
      <c r="S576" s="9" t="n"/>
      <c r="T576" s="9" t="n"/>
      <c r="U576" s="9">
        <f>IF(Q576="","",IF(W576=0,"已付款PAID",IF(V576&gt;0,"部分核销","未付款N/P")))</f>
        <v/>
      </c>
      <c r="V576" s="10">
        <f>IF(G576="","",SUMIFS(回款核销!$H:$H,回款核销!$C:$C,G576)+SUMIFS(回款核销!$H:$H,回款核销!$B:$B,D576,回款核销!$C:$C,""))</f>
        <v/>
      </c>
      <c r="W576" s="10">
        <f>IF(Q576="","",MAX(0,Q576-V576))</f>
        <v/>
      </c>
      <c r="X576" s="9" t="n"/>
      <c r="Y576" s="10">
        <f>IF(OR(N576="",X576=""),"",N576*X576)</f>
        <v/>
      </c>
      <c r="Z576" s="10">
        <f>IF(OR(Q576="",Y576=""),"",Q576-Y576)</f>
        <v/>
      </c>
      <c r="AA576" s="9" t="n"/>
      <c r="AB576" s="9" t="n"/>
    </row>
    <row r="577" ht="22" customHeight="1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10">
        <f>IF(OR(N577="",P577=""),"",N577*P577)</f>
        <v/>
      </c>
      <c r="R577" s="9" t="n"/>
      <c r="S577" s="9" t="n"/>
      <c r="T577" s="9" t="n"/>
      <c r="U577" s="9">
        <f>IF(Q577="","",IF(W577=0,"已付款PAID",IF(V577&gt;0,"部分核销","未付款N/P")))</f>
        <v/>
      </c>
      <c r="V577" s="10">
        <f>IF(G577="","",SUMIFS(回款核销!$H:$H,回款核销!$C:$C,G577)+SUMIFS(回款核销!$H:$H,回款核销!$B:$B,D577,回款核销!$C:$C,""))</f>
        <v/>
      </c>
      <c r="W577" s="10">
        <f>IF(Q577="","",MAX(0,Q577-V577))</f>
        <v/>
      </c>
      <c r="X577" s="9" t="n"/>
      <c r="Y577" s="10">
        <f>IF(OR(N577="",X577=""),"",N577*X577)</f>
        <v/>
      </c>
      <c r="Z577" s="10">
        <f>IF(OR(Q577="",Y577=""),"",Q577-Y577)</f>
        <v/>
      </c>
      <c r="AA577" s="9" t="n"/>
      <c r="AB577" s="9" t="n"/>
    </row>
    <row r="578" ht="22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10">
        <f>IF(OR(N578="",P578=""),"",N578*P578)</f>
        <v/>
      </c>
      <c r="R578" s="9" t="n"/>
      <c r="S578" s="9" t="n"/>
      <c r="T578" s="9" t="n"/>
      <c r="U578" s="9">
        <f>IF(Q578="","",IF(W578=0,"已付款PAID",IF(V578&gt;0,"部分核销","未付款N/P")))</f>
        <v/>
      </c>
      <c r="V578" s="10">
        <f>IF(G578="","",SUMIFS(回款核销!$H:$H,回款核销!$C:$C,G578)+SUMIFS(回款核销!$H:$H,回款核销!$B:$B,D578,回款核销!$C:$C,""))</f>
        <v/>
      </c>
      <c r="W578" s="10">
        <f>IF(Q578="","",MAX(0,Q578-V578))</f>
        <v/>
      </c>
      <c r="X578" s="9" t="n"/>
      <c r="Y578" s="10">
        <f>IF(OR(N578="",X578=""),"",N578*X578)</f>
        <v/>
      </c>
      <c r="Z578" s="10">
        <f>IF(OR(Q578="",Y578=""),"",Q578-Y578)</f>
        <v/>
      </c>
      <c r="AA578" s="9" t="n"/>
      <c r="AB578" s="9" t="n"/>
    </row>
    <row r="579" ht="22" customHeight="1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10">
        <f>IF(OR(N579="",P579=""),"",N579*P579)</f>
        <v/>
      </c>
      <c r="R579" s="9" t="n"/>
      <c r="S579" s="9" t="n"/>
      <c r="T579" s="9" t="n"/>
      <c r="U579" s="9">
        <f>IF(Q579="","",IF(W579=0,"已付款PAID",IF(V579&gt;0,"部分核销","未付款N/P")))</f>
        <v/>
      </c>
      <c r="V579" s="10">
        <f>IF(G579="","",SUMIFS(回款核销!$H:$H,回款核销!$C:$C,G579)+SUMIFS(回款核销!$H:$H,回款核销!$B:$B,D579,回款核销!$C:$C,""))</f>
        <v/>
      </c>
      <c r="W579" s="10">
        <f>IF(Q579="","",MAX(0,Q579-V579))</f>
        <v/>
      </c>
      <c r="X579" s="9" t="n"/>
      <c r="Y579" s="10">
        <f>IF(OR(N579="",X579=""),"",N579*X579)</f>
        <v/>
      </c>
      <c r="Z579" s="10">
        <f>IF(OR(Q579="",Y579=""),"",Q579-Y579)</f>
        <v/>
      </c>
      <c r="AA579" s="9" t="n"/>
      <c r="AB579" s="9" t="n"/>
    </row>
    <row r="580" ht="22" customHeight="1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10">
        <f>IF(OR(N580="",P580=""),"",N580*P580)</f>
        <v/>
      </c>
      <c r="R580" s="9" t="n"/>
      <c r="S580" s="9" t="n"/>
      <c r="T580" s="9" t="n"/>
      <c r="U580" s="9">
        <f>IF(Q580="","",IF(W580=0,"已付款PAID",IF(V580&gt;0,"部分核销","未付款N/P")))</f>
        <v/>
      </c>
      <c r="V580" s="10">
        <f>IF(G580="","",SUMIFS(回款核销!$H:$H,回款核销!$C:$C,G580)+SUMIFS(回款核销!$H:$H,回款核销!$B:$B,D580,回款核销!$C:$C,""))</f>
        <v/>
      </c>
      <c r="W580" s="10">
        <f>IF(Q580="","",MAX(0,Q580-V580))</f>
        <v/>
      </c>
      <c r="X580" s="9" t="n"/>
      <c r="Y580" s="10">
        <f>IF(OR(N580="",X580=""),"",N580*X580)</f>
        <v/>
      </c>
      <c r="Z580" s="10">
        <f>IF(OR(Q580="",Y580=""),"",Q580-Y580)</f>
        <v/>
      </c>
      <c r="AA580" s="9" t="n"/>
      <c r="AB580" s="9" t="n"/>
    </row>
    <row r="581" ht="22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10">
        <f>IF(OR(N581="",P581=""),"",N581*P581)</f>
        <v/>
      </c>
      <c r="R581" s="9" t="n"/>
      <c r="S581" s="9" t="n"/>
      <c r="T581" s="9" t="n"/>
      <c r="U581" s="9">
        <f>IF(Q581="","",IF(W581=0,"已付款PAID",IF(V581&gt;0,"部分核销","未付款N/P")))</f>
        <v/>
      </c>
      <c r="V581" s="10">
        <f>IF(G581="","",SUMIFS(回款核销!$H:$H,回款核销!$C:$C,G581)+SUMIFS(回款核销!$H:$H,回款核销!$B:$B,D581,回款核销!$C:$C,""))</f>
        <v/>
      </c>
      <c r="W581" s="10">
        <f>IF(Q581="","",MAX(0,Q581-V581))</f>
        <v/>
      </c>
      <c r="X581" s="9" t="n"/>
      <c r="Y581" s="10">
        <f>IF(OR(N581="",X581=""),"",N581*X581)</f>
        <v/>
      </c>
      <c r="Z581" s="10">
        <f>IF(OR(Q581="",Y581=""),"",Q581-Y581)</f>
        <v/>
      </c>
      <c r="AA581" s="9" t="n"/>
      <c r="AB581" s="9" t="n"/>
    </row>
    <row r="582" ht="22" customHeight="1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10">
        <f>IF(OR(N582="",P582=""),"",N582*P582)</f>
        <v/>
      </c>
      <c r="R582" s="9" t="n"/>
      <c r="S582" s="9" t="n"/>
      <c r="T582" s="9" t="n"/>
      <c r="U582" s="9">
        <f>IF(Q582="","",IF(W582=0,"已付款PAID",IF(V582&gt;0,"部分核销","未付款N/P")))</f>
        <v/>
      </c>
      <c r="V582" s="10">
        <f>IF(G582="","",SUMIFS(回款核销!$H:$H,回款核销!$C:$C,G582)+SUMIFS(回款核销!$H:$H,回款核销!$B:$B,D582,回款核销!$C:$C,""))</f>
        <v/>
      </c>
      <c r="W582" s="10">
        <f>IF(Q582="","",MAX(0,Q582-V582))</f>
        <v/>
      </c>
      <c r="X582" s="9" t="n"/>
      <c r="Y582" s="10">
        <f>IF(OR(N582="",X582=""),"",N582*X582)</f>
        <v/>
      </c>
      <c r="Z582" s="10">
        <f>IF(OR(Q582="",Y582=""),"",Q582-Y582)</f>
        <v/>
      </c>
      <c r="AA582" s="9" t="n"/>
      <c r="AB582" s="9" t="n"/>
    </row>
    <row r="583" ht="22" customHeight="1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10">
        <f>IF(OR(N583="",P583=""),"",N583*P583)</f>
        <v/>
      </c>
      <c r="R583" s="9" t="n"/>
      <c r="S583" s="9" t="n"/>
      <c r="T583" s="9" t="n"/>
      <c r="U583" s="9">
        <f>IF(Q583="","",IF(W583=0,"已付款PAID",IF(V583&gt;0,"部分核销","未付款N/P")))</f>
        <v/>
      </c>
      <c r="V583" s="10">
        <f>IF(G583="","",SUMIFS(回款核销!$H:$H,回款核销!$C:$C,G583)+SUMIFS(回款核销!$H:$H,回款核销!$B:$B,D583,回款核销!$C:$C,""))</f>
        <v/>
      </c>
      <c r="W583" s="10">
        <f>IF(Q583="","",MAX(0,Q583-V583))</f>
        <v/>
      </c>
      <c r="X583" s="9" t="n"/>
      <c r="Y583" s="10">
        <f>IF(OR(N583="",X583=""),"",N583*X583)</f>
        <v/>
      </c>
      <c r="Z583" s="10">
        <f>IF(OR(Q583="",Y583=""),"",Q583-Y583)</f>
        <v/>
      </c>
      <c r="AA583" s="9" t="n"/>
      <c r="AB583" s="9" t="n"/>
    </row>
    <row r="584" ht="22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10">
        <f>IF(OR(N584="",P584=""),"",N584*P584)</f>
        <v/>
      </c>
      <c r="R584" s="9" t="n"/>
      <c r="S584" s="9" t="n"/>
      <c r="T584" s="9" t="n"/>
      <c r="U584" s="9">
        <f>IF(Q584="","",IF(W584=0,"已付款PAID",IF(V584&gt;0,"部分核销","未付款N/P")))</f>
        <v/>
      </c>
      <c r="V584" s="10">
        <f>IF(G584="","",SUMIFS(回款核销!$H:$H,回款核销!$C:$C,G584)+SUMIFS(回款核销!$H:$H,回款核销!$B:$B,D584,回款核销!$C:$C,""))</f>
        <v/>
      </c>
      <c r="W584" s="10">
        <f>IF(Q584="","",MAX(0,Q584-V584))</f>
        <v/>
      </c>
      <c r="X584" s="9" t="n"/>
      <c r="Y584" s="10">
        <f>IF(OR(N584="",X584=""),"",N584*X584)</f>
        <v/>
      </c>
      <c r="Z584" s="10">
        <f>IF(OR(Q584="",Y584=""),"",Q584-Y584)</f>
        <v/>
      </c>
      <c r="AA584" s="9" t="n"/>
      <c r="AB584" s="9" t="n"/>
    </row>
    <row r="585" ht="22" customHeight="1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10">
        <f>IF(OR(N585="",P585=""),"",N585*P585)</f>
        <v/>
      </c>
      <c r="R585" s="9" t="n"/>
      <c r="S585" s="9" t="n"/>
      <c r="T585" s="9" t="n"/>
      <c r="U585" s="9">
        <f>IF(Q585="","",IF(W585=0,"已付款PAID",IF(V585&gt;0,"部分核销","未付款N/P")))</f>
        <v/>
      </c>
      <c r="V585" s="10">
        <f>IF(G585="","",SUMIFS(回款核销!$H:$H,回款核销!$C:$C,G585)+SUMIFS(回款核销!$H:$H,回款核销!$B:$B,D585,回款核销!$C:$C,""))</f>
        <v/>
      </c>
      <c r="W585" s="10">
        <f>IF(Q585="","",MAX(0,Q585-V585))</f>
        <v/>
      </c>
      <c r="X585" s="9" t="n"/>
      <c r="Y585" s="10">
        <f>IF(OR(N585="",X585=""),"",N585*X585)</f>
        <v/>
      </c>
      <c r="Z585" s="10">
        <f>IF(OR(Q585="",Y585=""),"",Q585-Y585)</f>
        <v/>
      </c>
      <c r="AA585" s="9" t="n"/>
      <c r="AB585" s="9" t="n"/>
    </row>
    <row r="586" ht="22" customHeight="1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10">
        <f>IF(OR(N586="",P586=""),"",N586*P586)</f>
        <v/>
      </c>
      <c r="R586" s="9" t="n"/>
      <c r="S586" s="9" t="n"/>
      <c r="T586" s="9" t="n"/>
      <c r="U586" s="9">
        <f>IF(Q586="","",IF(W586=0,"已付款PAID",IF(V586&gt;0,"部分核销","未付款N/P")))</f>
        <v/>
      </c>
      <c r="V586" s="10">
        <f>IF(G586="","",SUMIFS(回款核销!$H:$H,回款核销!$C:$C,G586)+SUMIFS(回款核销!$H:$H,回款核销!$B:$B,D586,回款核销!$C:$C,""))</f>
        <v/>
      </c>
      <c r="W586" s="10">
        <f>IF(Q586="","",MAX(0,Q586-V586))</f>
        <v/>
      </c>
      <c r="X586" s="9" t="n"/>
      <c r="Y586" s="10">
        <f>IF(OR(N586="",X586=""),"",N586*X586)</f>
        <v/>
      </c>
      <c r="Z586" s="10">
        <f>IF(OR(Q586="",Y586=""),"",Q586-Y586)</f>
        <v/>
      </c>
      <c r="AA586" s="9" t="n"/>
      <c r="AB586" s="9" t="n"/>
    </row>
    <row r="587" ht="22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10">
        <f>IF(OR(N587="",P587=""),"",N587*P587)</f>
        <v/>
      </c>
      <c r="R587" s="9" t="n"/>
      <c r="S587" s="9" t="n"/>
      <c r="T587" s="9" t="n"/>
      <c r="U587" s="9">
        <f>IF(Q587="","",IF(W587=0,"已付款PAID",IF(V587&gt;0,"部分核销","未付款N/P")))</f>
        <v/>
      </c>
      <c r="V587" s="10">
        <f>IF(G587="","",SUMIFS(回款核销!$H:$H,回款核销!$C:$C,G587)+SUMIFS(回款核销!$H:$H,回款核销!$B:$B,D587,回款核销!$C:$C,""))</f>
        <v/>
      </c>
      <c r="W587" s="10">
        <f>IF(Q587="","",MAX(0,Q587-V587))</f>
        <v/>
      </c>
      <c r="X587" s="9" t="n"/>
      <c r="Y587" s="10">
        <f>IF(OR(N587="",X587=""),"",N587*X587)</f>
        <v/>
      </c>
      <c r="Z587" s="10">
        <f>IF(OR(Q587="",Y587=""),"",Q587-Y587)</f>
        <v/>
      </c>
      <c r="AA587" s="9" t="n"/>
      <c r="AB587" s="9" t="n"/>
    </row>
    <row r="588" ht="22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10">
        <f>IF(OR(N588="",P588=""),"",N588*P588)</f>
        <v/>
      </c>
      <c r="R588" s="9" t="n"/>
      <c r="S588" s="9" t="n"/>
      <c r="T588" s="9" t="n"/>
      <c r="U588" s="9">
        <f>IF(Q588="","",IF(W588=0,"已付款PAID",IF(V588&gt;0,"部分核销","未付款N/P")))</f>
        <v/>
      </c>
      <c r="V588" s="10">
        <f>IF(G588="","",SUMIFS(回款核销!$H:$H,回款核销!$C:$C,G588)+SUMIFS(回款核销!$H:$H,回款核销!$B:$B,D588,回款核销!$C:$C,""))</f>
        <v/>
      </c>
      <c r="W588" s="10">
        <f>IF(Q588="","",MAX(0,Q588-V588))</f>
        <v/>
      </c>
      <c r="X588" s="9" t="n"/>
      <c r="Y588" s="10">
        <f>IF(OR(N588="",X588=""),"",N588*X588)</f>
        <v/>
      </c>
      <c r="Z588" s="10">
        <f>IF(OR(Q588="",Y588=""),"",Q588-Y588)</f>
        <v/>
      </c>
      <c r="AA588" s="9" t="n"/>
      <c r="AB588" s="9" t="n"/>
    </row>
    <row r="589" ht="22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10">
        <f>IF(OR(N589="",P589=""),"",N589*P589)</f>
        <v/>
      </c>
      <c r="R589" s="9" t="n"/>
      <c r="S589" s="9" t="n"/>
      <c r="T589" s="9" t="n"/>
      <c r="U589" s="9">
        <f>IF(Q589="","",IF(W589=0,"已付款PAID",IF(V589&gt;0,"部分核销","未付款N/P")))</f>
        <v/>
      </c>
      <c r="V589" s="10">
        <f>IF(G589="","",SUMIFS(回款核销!$H:$H,回款核销!$C:$C,G589)+SUMIFS(回款核销!$H:$H,回款核销!$B:$B,D589,回款核销!$C:$C,""))</f>
        <v/>
      </c>
      <c r="W589" s="10">
        <f>IF(Q589="","",MAX(0,Q589-V589))</f>
        <v/>
      </c>
      <c r="X589" s="9" t="n"/>
      <c r="Y589" s="10">
        <f>IF(OR(N589="",X589=""),"",N589*X589)</f>
        <v/>
      </c>
      <c r="Z589" s="10">
        <f>IF(OR(Q589="",Y589=""),"",Q589-Y589)</f>
        <v/>
      </c>
      <c r="AA589" s="9" t="n"/>
      <c r="AB589" s="9" t="n"/>
    </row>
    <row r="590" ht="22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10">
        <f>IF(OR(N590="",P590=""),"",N590*P590)</f>
        <v/>
      </c>
      <c r="R590" s="9" t="n"/>
      <c r="S590" s="9" t="n"/>
      <c r="T590" s="9" t="n"/>
      <c r="U590" s="9">
        <f>IF(Q590="","",IF(W590=0,"已付款PAID",IF(V590&gt;0,"部分核销","未付款N/P")))</f>
        <v/>
      </c>
      <c r="V590" s="10">
        <f>IF(G590="","",SUMIFS(回款核销!$H:$H,回款核销!$C:$C,G590)+SUMIFS(回款核销!$H:$H,回款核销!$B:$B,D590,回款核销!$C:$C,""))</f>
        <v/>
      </c>
      <c r="W590" s="10">
        <f>IF(Q590="","",MAX(0,Q590-V590))</f>
        <v/>
      </c>
      <c r="X590" s="9" t="n"/>
      <c r="Y590" s="10">
        <f>IF(OR(N590="",X590=""),"",N590*X590)</f>
        <v/>
      </c>
      <c r="Z590" s="10">
        <f>IF(OR(Q590="",Y590=""),"",Q590-Y590)</f>
        <v/>
      </c>
      <c r="AA590" s="9" t="n"/>
      <c r="AB590" s="9" t="n"/>
    </row>
    <row r="591" ht="22" customHeight="1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10">
        <f>IF(OR(N591="",P591=""),"",N591*P591)</f>
        <v/>
      </c>
      <c r="R591" s="9" t="n"/>
      <c r="S591" s="9" t="n"/>
      <c r="T591" s="9" t="n"/>
      <c r="U591" s="9">
        <f>IF(Q591="","",IF(W591=0,"已付款PAID",IF(V591&gt;0,"部分核销","未付款N/P")))</f>
        <v/>
      </c>
      <c r="V591" s="10">
        <f>IF(G591="","",SUMIFS(回款核销!$H:$H,回款核销!$C:$C,G591)+SUMIFS(回款核销!$H:$H,回款核销!$B:$B,D591,回款核销!$C:$C,""))</f>
        <v/>
      </c>
      <c r="W591" s="10">
        <f>IF(Q591="","",MAX(0,Q591-V591))</f>
        <v/>
      </c>
      <c r="X591" s="9" t="n"/>
      <c r="Y591" s="10">
        <f>IF(OR(N591="",X591=""),"",N591*X591)</f>
        <v/>
      </c>
      <c r="Z591" s="10">
        <f>IF(OR(Q591="",Y591=""),"",Q591-Y591)</f>
        <v/>
      </c>
      <c r="AA591" s="9" t="n"/>
      <c r="AB591" s="9" t="n"/>
    </row>
    <row r="592" ht="22" customHeight="1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10">
        <f>IF(OR(N592="",P592=""),"",N592*P592)</f>
        <v/>
      </c>
      <c r="R592" s="9" t="n"/>
      <c r="S592" s="9" t="n"/>
      <c r="T592" s="9" t="n"/>
      <c r="U592" s="9">
        <f>IF(Q592="","",IF(W592=0,"已付款PAID",IF(V592&gt;0,"部分核销","未付款N/P")))</f>
        <v/>
      </c>
      <c r="V592" s="10">
        <f>IF(G592="","",SUMIFS(回款核销!$H:$H,回款核销!$C:$C,G592)+SUMIFS(回款核销!$H:$H,回款核销!$B:$B,D592,回款核销!$C:$C,""))</f>
        <v/>
      </c>
      <c r="W592" s="10">
        <f>IF(Q592="","",MAX(0,Q592-V592))</f>
        <v/>
      </c>
      <c r="X592" s="9" t="n"/>
      <c r="Y592" s="10">
        <f>IF(OR(N592="",X592=""),"",N592*X592)</f>
        <v/>
      </c>
      <c r="Z592" s="10">
        <f>IF(OR(Q592="",Y592=""),"",Q592-Y592)</f>
        <v/>
      </c>
      <c r="AA592" s="9" t="n"/>
      <c r="AB592" s="9" t="n"/>
    </row>
    <row r="593" ht="22" customHeight="1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10">
        <f>IF(OR(N593="",P593=""),"",N593*P593)</f>
        <v/>
      </c>
      <c r="R593" s="9" t="n"/>
      <c r="S593" s="9" t="n"/>
      <c r="T593" s="9" t="n"/>
      <c r="U593" s="9">
        <f>IF(Q593="","",IF(W593=0,"已付款PAID",IF(V593&gt;0,"部分核销","未付款N/P")))</f>
        <v/>
      </c>
      <c r="V593" s="10">
        <f>IF(G593="","",SUMIFS(回款核销!$H:$H,回款核销!$C:$C,G593)+SUMIFS(回款核销!$H:$H,回款核销!$B:$B,D593,回款核销!$C:$C,""))</f>
        <v/>
      </c>
      <c r="W593" s="10">
        <f>IF(Q593="","",MAX(0,Q593-V593))</f>
        <v/>
      </c>
      <c r="X593" s="9" t="n"/>
      <c r="Y593" s="10">
        <f>IF(OR(N593="",X593=""),"",N593*X593)</f>
        <v/>
      </c>
      <c r="Z593" s="10">
        <f>IF(OR(Q593="",Y593=""),"",Q593-Y593)</f>
        <v/>
      </c>
      <c r="AA593" s="9" t="n"/>
      <c r="AB593" s="9" t="n"/>
    </row>
    <row r="594" ht="22" customHeight="1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10">
        <f>IF(OR(N594="",P594=""),"",N594*P594)</f>
        <v/>
      </c>
      <c r="R594" s="9" t="n"/>
      <c r="S594" s="9" t="n"/>
      <c r="T594" s="9" t="n"/>
      <c r="U594" s="9">
        <f>IF(Q594="","",IF(W594=0,"已付款PAID",IF(V594&gt;0,"部分核销","未付款N/P")))</f>
        <v/>
      </c>
      <c r="V594" s="10">
        <f>IF(G594="","",SUMIFS(回款核销!$H:$H,回款核销!$C:$C,G594)+SUMIFS(回款核销!$H:$H,回款核销!$B:$B,D594,回款核销!$C:$C,""))</f>
        <v/>
      </c>
      <c r="W594" s="10">
        <f>IF(Q594="","",MAX(0,Q594-V594))</f>
        <v/>
      </c>
      <c r="X594" s="9" t="n"/>
      <c r="Y594" s="10">
        <f>IF(OR(N594="",X594=""),"",N594*X594)</f>
        <v/>
      </c>
      <c r="Z594" s="10">
        <f>IF(OR(Q594="",Y594=""),"",Q594-Y594)</f>
        <v/>
      </c>
      <c r="AA594" s="9" t="n"/>
      <c r="AB594" s="9" t="n"/>
    </row>
    <row r="595" ht="22" customHeight="1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10">
        <f>IF(OR(N595="",P595=""),"",N595*P595)</f>
        <v/>
      </c>
      <c r="R595" s="9" t="n"/>
      <c r="S595" s="9" t="n"/>
      <c r="T595" s="9" t="n"/>
      <c r="U595" s="9">
        <f>IF(Q595="","",IF(W595=0,"已付款PAID",IF(V595&gt;0,"部分核销","未付款N/P")))</f>
        <v/>
      </c>
      <c r="V595" s="10">
        <f>IF(G595="","",SUMIFS(回款核销!$H:$H,回款核销!$C:$C,G595)+SUMIFS(回款核销!$H:$H,回款核销!$B:$B,D595,回款核销!$C:$C,""))</f>
        <v/>
      </c>
      <c r="W595" s="10">
        <f>IF(Q595="","",MAX(0,Q595-V595))</f>
        <v/>
      </c>
      <c r="X595" s="9" t="n"/>
      <c r="Y595" s="10">
        <f>IF(OR(N595="",X595=""),"",N595*X595)</f>
        <v/>
      </c>
      <c r="Z595" s="10">
        <f>IF(OR(Q595="",Y595=""),"",Q595-Y595)</f>
        <v/>
      </c>
      <c r="AA595" s="9" t="n"/>
      <c r="AB595" s="9" t="n"/>
    </row>
    <row r="596" ht="22" customHeight="1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10">
        <f>IF(OR(N596="",P596=""),"",N596*P596)</f>
        <v/>
      </c>
      <c r="R596" s="9" t="n"/>
      <c r="S596" s="9" t="n"/>
      <c r="T596" s="9" t="n"/>
      <c r="U596" s="9">
        <f>IF(Q596="","",IF(W596=0,"已付款PAID",IF(V596&gt;0,"部分核销","未付款N/P")))</f>
        <v/>
      </c>
      <c r="V596" s="10">
        <f>IF(G596="","",SUMIFS(回款核销!$H:$H,回款核销!$C:$C,G596)+SUMIFS(回款核销!$H:$H,回款核销!$B:$B,D596,回款核销!$C:$C,""))</f>
        <v/>
      </c>
      <c r="W596" s="10">
        <f>IF(Q596="","",MAX(0,Q596-V596))</f>
        <v/>
      </c>
      <c r="X596" s="9" t="n"/>
      <c r="Y596" s="10">
        <f>IF(OR(N596="",X596=""),"",N596*X596)</f>
        <v/>
      </c>
      <c r="Z596" s="10">
        <f>IF(OR(Q596="",Y596=""),"",Q596-Y596)</f>
        <v/>
      </c>
      <c r="AA596" s="9" t="n"/>
      <c r="AB596" s="9" t="n"/>
    </row>
    <row r="597" ht="22" customHeight="1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10">
        <f>IF(OR(N597="",P597=""),"",N597*P597)</f>
        <v/>
      </c>
      <c r="R597" s="9" t="n"/>
      <c r="S597" s="9" t="n"/>
      <c r="T597" s="9" t="n"/>
      <c r="U597" s="9">
        <f>IF(Q597="","",IF(W597=0,"已付款PAID",IF(V597&gt;0,"部分核销","未付款N/P")))</f>
        <v/>
      </c>
      <c r="V597" s="10">
        <f>IF(G597="","",SUMIFS(回款核销!$H:$H,回款核销!$C:$C,G597)+SUMIFS(回款核销!$H:$H,回款核销!$B:$B,D597,回款核销!$C:$C,""))</f>
        <v/>
      </c>
      <c r="W597" s="10">
        <f>IF(Q597="","",MAX(0,Q597-V597))</f>
        <v/>
      </c>
      <c r="X597" s="9" t="n"/>
      <c r="Y597" s="10">
        <f>IF(OR(N597="",X597=""),"",N597*X597)</f>
        <v/>
      </c>
      <c r="Z597" s="10">
        <f>IF(OR(Q597="",Y597=""),"",Q597-Y597)</f>
        <v/>
      </c>
      <c r="AA597" s="9" t="n"/>
      <c r="AB597" s="9" t="n"/>
    </row>
    <row r="598" ht="22" customHeight="1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10">
        <f>IF(OR(N598="",P598=""),"",N598*P598)</f>
        <v/>
      </c>
      <c r="R598" s="9" t="n"/>
      <c r="S598" s="9" t="n"/>
      <c r="T598" s="9" t="n"/>
      <c r="U598" s="9">
        <f>IF(Q598="","",IF(W598=0,"已付款PAID",IF(V598&gt;0,"部分核销","未付款N/P")))</f>
        <v/>
      </c>
      <c r="V598" s="10">
        <f>IF(G598="","",SUMIFS(回款核销!$H:$H,回款核销!$C:$C,G598)+SUMIFS(回款核销!$H:$H,回款核销!$B:$B,D598,回款核销!$C:$C,""))</f>
        <v/>
      </c>
      <c r="W598" s="10">
        <f>IF(Q598="","",MAX(0,Q598-V598))</f>
        <v/>
      </c>
      <c r="X598" s="9" t="n"/>
      <c r="Y598" s="10">
        <f>IF(OR(N598="",X598=""),"",N598*X598)</f>
        <v/>
      </c>
      <c r="Z598" s="10">
        <f>IF(OR(Q598="",Y598=""),"",Q598-Y598)</f>
        <v/>
      </c>
      <c r="AA598" s="9" t="n"/>
      <c r="AB598" s="9" t="n"/>
    </row>
    <row r="599" ht="22" customHeight="1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10">
        <f>IF(OR(N599="",P599=""),"",N599*P599)</f>
        <v/>
      </c>
      <c r="R599" s="9" t="n"/>
      <c r="S599" s="9" t="n"/>
      <c r="T599" s="9" t="n"/>
      <c r="U599" s="9">
        <f>IF(Q599="","",IF(W599=0,"已付款PAID",IF(V599&gt;0,"部分核销","未付款N/P")))</f>
        <v/>
      </c>
      <c r="V599" s="10">
        <f>IF(G599="","",SUMIFS(回款核销!$H:$H,回款核销!$C:$C,G599)+SUMIFS(回款核销!$H:$H,回款核销!$B:$B,D599,回款核销!$C:$C,""))</f>
        <v/>
      </c>
      <c r="W599" s="10">
        <f>IF(Q599="","",MAX(0,Q599-V599))</f>
        <v/>
      </c>
      <c r="X599" s="9" t="n"/>
      <c r="Y599" s="10">
        <f>IF(OR(N599="",X599=""),"",N599*X599)</f>
        <v/>
      </c>
      <c r="Z599" s="10">
        <f>IF(OR(Q599="",Y599=""),"",Q599-Y599)</f>
        <v/>
      </c>
      <c r="AA599" s="9" t="n"/>
      <c r="AB599" s="9" t="n"/>
    </row>
    <row r="600" ht="22" customHeight="1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10">
        <f>IF(OR(N600="",P600=""),"",N600*P600)</f>
        <v/>
      </c>
      <c r="R600" s="9" t="n"/>
      <c r="S600" s="9" t="n"/>
      <c r="T600" s="9" t="n"/>
      <c r="U600" s="9">
        <f>IF(Q600="","",IF(W600=0,"已付款PAID",IF(V600&gt;0,"部分核销","未付款N/P")))</f>
        <v/>
      </c>
      <c r="V600" s="10">
        <f>IF(G600="","",SUMIFS(回款核销!$H:$H,回款核销!$C:$C,G600)+SUMIFS(回款核销!$H:$H,回款核销!$B:$B,D600,回款核销!$C:$C,""))</f>
        <v/>
      </c>
      <c r="W600" s="10">
        <f>IF(Q600="","",MAX(0,Q600-V600))</f>
        <v/>
      </c>
      <c r="X600" s="9" t="n"/>
      <c r="Y600" s="10">
        <f>IF(OR(N600="",X600=""),"",N600*X600)</f>
        <v/>
      </c>
      <c r="Z600" s="10">
        <f>IF(OR(Q600="",Y600=""),"",Q600-Y600)</f>
        <v/>
      </c>
      <c r="AA600" s="9" t="n"/>
      <c r="AB600" s="9" t="n"/>
    </row>
    <row r="601" ht="22" customHeight="1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10">
        <f>IF(OR(N601="",P601=""),"",N601*P601)</f>
        <v/>
      </c>
      <c r="R601" s="9" t="n"/>
      <c r="S601" s="9" t="n"/>
      <c r="T601" s="9" t="n"/>
      <c r="U601" s="9">
        <f>IF(Q601="","",IF(W601=0,"已付款PAID",IF(V601&gt;0,"部分核销","未付款N/P")))</f>
        <v/>
      </c>
      <c r="V601" s="10">
        <f>IF(G601="","",SUMIFS(回款核销!$H:$H,回款核销!$C:$C,G601)+SUMIFS(回款核销!$H:$H,回款核销!$B:$B,D601,回款核销!$C:$C,""))</f>
        <v/>
      </c>
      <c r="W601" s="10">
        <f>IF(Q601="","",MAX(0,Q601-V601))</f>
        <v/>
      </c>
      <c r="X601" s="9" t="n"/>
      <c r="Y601" s="10">
        <f>IF(OR(N601="",X601=""),"",N601*X601)</f>
        <v/>
      </c>
      <c r="Z601" s="10">
        <f>IF(OR(Q601="",Y601=""),"",Q601-Y601)</f>
        <v/>
      </c>
      <c r="AA601" s="9" t="n"/>
      <c r="AB601" s="9" t="n"/>
    </row>
    <row r="602" ht="22" customHeight="1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10">
        <f>IF(OR(N602="",P602=""),"",N602*P602)</f>
        <v/>
      </c>
      <c r="R602" s="9" t="n"/>
      <c r="S602" s="9" t="n"/>
      <c r="T602" s="9" t="n"/>
      <c r="U602" s="9">
        <f>IF(Q602="","",IF(W602=0,"已付款PAID",IF(V602&gt;0,"部分核销","未付款N/P")))</f>
        <v/>
      </c>
      <c r="V602" s="10">
        <f>IF(G602="","",SUMIFS(回款核销!$H:$H,回款核销!$C:$C,G602)+SUMIFS(回款核销!$H:$H,回款核销!$B:$B,D602,回款核销!$C:$C,""))</f>
        <v/>
      </c>
      <c r="W602" s="10">
        <f>IF(Q602="","",MAX(0,Q602-V602))</f>
        <v/>
      </c>
      <c r="X602" s="9" t="n"/>
      <c r="Y602" s="10">
        <f>IF(OR(N602="",X602=""),"",N602*X602)</f>
        <v/>
      </c>
      <c r="Z602" s="10">
        <f>IF(OR(Q602="",Y602=""),"",Q602-Y602)</f>
        <v/>
      </c>
      <c r="AA602" s="9" t="n"/>
      <c r="AB602" s="9" t="n"/>
    </row>
    <row r="603" ht="22" customHeight="1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10">
        <f>IF(OR(N603="",P603=""),"",N603*P603)</f>
        <v/>
      </c>
      <c r="R603" s="9" t="n"/>
      <c r="S603" s="9" t="n"/>
      <c r="T603" s="9" t="n"/>
      <c r="U603" s="9">
        <f>IF(Q603="","",IF(W603=0,"已付款PAID",IF(V603&gt;0,"部分核销","未付款N/P")))</f>
        <v/>
      </c>
      <c r="V603" s="10">
        <f>IF(G603="","",SUMIFS(回款核销!$H:$H,回款核销!$C:$C,G603)+SUMIFS(回款核销!$H:$H,回款核销!$B:$B,D603,回款核销!$C:$C,""))</f>
        <v/>
      </c>
      <c r="W603" s="10">
        <f>IF(Q603="","",MAX(0,Q603-V603))</f>
        <v/>
      </c>
      <c r="X603" s="9" t="n"/>
      <c r="Y603" s="10">
        <f>IF(OR(N603="",X603=""),"",N603*X603)</f>
        <v/>
      </c>
      <c r="Z603" s="10">
        <f>IF(OR(Q603="",Y603=""),"",Q603-Y603)</f>
        <v/>
      </c>
      <c r="AA603" s="9" t="n"/>
      <c r="AB603" s="9" t="n"/>
    </row>
    <row r="604" ht="22" customHeight="1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10">
        <f>IF(OR(N604="",P604=""),"",N604*P604)</f>
        <v/>
      </c>
      <c r="R604" s="9" t="n"/>
      <c r="S604" s="9" t="n"/>
      <c r="T604" s="9" t="n"/>
      <c r="U604" s="9">
        <f>IF(Q604="","",IF(W604=0,"已付款PAID",IF(V604&gt;0,"部分核销","未付款N/P")))</f>
        <v/>
      </c>
      <c r="V604" s="10">
        <f>IF(G604="","",SUMIFS(回款核销!$H:$H,回款核销!$C:$C,G604)+SUMIFS(回款核销!$H:$H,回款核销!$B:$B,D604,回款核销!$C:$C,""))</f>
        <v/>
      </c>
      <c r="W604" s="10">
        <f>IF(Q604="","",MAX(0,Q604-V604))</f>
        <v/>
      </c>
      <c r="X604" s="9" t="n"/>
      <c r="Y604" s="10">
        <f>IF(OR(N604="",X604=""),"",N604*X604)</f>
        <v/>
      </c>
      <c r="Z604" s="10">
        <f>IF(OR(Q604="",Y604=""),"",Q604-Y604)</f>
        <v/>
      </c>
      <c r="AA604" s="9" t="n"/>
      <c r="AB604" s="9" t="n"/>
    </row>
    <row r="605" ht="22" customHeight="1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10">
        <f>IF(OR(N605="",P605=""),"",N605*P605)</f>
        <v/>
      </c>
      <c r="R605" s="9" t="n"/>
      <c r="S605" s="9" t="n"/>
      <c r="T605" s="9" t="n"/>
      <c r="U605" s="9">
        <f>IF(Q605="","",IF(W605=0,"已付款PAID",IF(V605&gt;0,"部分核销","未付款N/P")))</f>
        <v/>
      </c>
      <c r="V605" s="10">
        <f>IF(G605="","",SUMIFS(回款核销!$H:$H,回款核销!$C:$C,G605)+SUMIFS(回款核销!$H:$H,回款核销!$B:$B,D605,回款核销!$C:$C,""))</f>
        <v/>
      </c>
      <c r="W605" s="10">
        <f>IF(Q605="","",MAX(0,Q605-V605))</f>
        <v/>
      </c>
      <c r="X605" s="9" t="n"/>
      <c r="Y605" s="10">
        <f>IF(OR(N605="",X605=""),"",N605*X605)</f>
        <v/>
      </c>
      <c r="Z605" s="10">
        <f>IF(OR(Q605="",Y605=""),"",Q605-Y605)</f>
        <v/>
      </c>
      <c r="AA605" s="9" t="n"/>
      <c r="AB605" s="9" t="n"/>
    </row>
    <row r="606" ht="22" customHeight="1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10">
        <f>IF(OR(N606="",P606=""),"",N606*P606)</f>
        <v/>
      </c>
      <c r="R606" s="9" t="n"/>
      <c r="S606" s="9" t="n"/>
      <c r="T606" s="9" t="n"/>
      <c r="U606" s="9">
        <f>IF(Q606="","",IF(W606=0,"已付款PAID",IF(V606&gt;0,"部分核销","未付款N/P")))</f>
        <v/>
      </c>
      <c r="V606" s="10">
        <f>IF(G606="","",SUMIFS(回款核销!$H:$H,回款核销!$C:$C,G606)+SUMIFS(回款核销!$H:$H,回款核销!$B:$B,D606,回款核销!$C:$C,""))</f>
        <v/>
      </c>
      <c r="W606" s="10">
        <f>IF(Q606="","",MAX(0,Q606-V606))</f>
        <v/>
      </c>
      <c r="X606" s="9" t="n"/>
      <c r="Y606" s="10">
        <f>IF(OR(N606="",X606=""),"",N606*X606)</f>
        <v/>
      </c>
      <c r="Z606" s="10">
        <f>IF(OR(Q606="",Y606=""),"",Q606-Y606)</f>
        <v/>
      </c>
      <c r="AA606" s="9" t="n"/>
      <c r="AB606" s="9" t="n"/>
    </row>
    <row r="607" ht="22" customHeight="1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10">
        <f>IF(OR(N607="",P607=""),"",N607*P607)</f>
        <v/>
      </c>
      <c r="R607" s="9" t="n"/>
      <c r="S607" s="9" t="n"/>
      <c r="T607" s="9" t="n"/>
      <c r="U607" s="9">
        <f>IF(Q607="","",IF(W607=0,"已付款PAID",IF(V607&gt;0,"部分核销","未付款N/P")))</f>
        <v/>
      </c>
      <c r="V607" s="10">
        <f>IF(G607="","",SUMIFS(回款核销!$H:$H,回款核销!$C:$C,G607)+SUMIFS(回款核销!$H:$H,回款核销!$B:$B,D607,回款核销!$C:$C,""))</f>
        <v/>
      </c>
      <c r="W607" s="10">
        <f>IF(Q607="","",MAX(0,Q607-V607))</f>
        <v/>
      </c>
      <c r="X607" s="9" t="n"/>
      <c r="Y607" s="10">
        <f>IF(OR(N607="",X607=""),"",N607*X607)</f>
        <v/>
      </c>
      <c r="Z607" s="10">
        <f>IF(OR(Q607="",Y607=""),"",Q607-Y607)</f>
        <v/>
      </c>
      <c r="AA607" s="9" t="n"/>
      <c r="AB607" s="9" t="n"/>
    </row>
    <row r="608" ht="22" customHeight="1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10">
        <f>IF(OR(N608="",P608=""),"",N608*P608)</f>
        <v/>
      </c>
      <c r="R608" s="9" t="n"/>
      <c r="S608" s="9" t="n"/>
      <c r="T608" s="9" t="n"/>
      <c r="U608" s="9">
        <f>IF(Q608="","",IF(W608=0,"已付款PAID",IF(V608&gt;0,"部分核销","未付款N/P")))</f>
        <v/>
      </c>
      <c r="V608" s="10">
        <f>IF(G608="","",SUMIFS(回款核销!$H:$H,回款核销!$C:$C,G608)+SUMIFS(回款核销!$H:$H,回款核销!$B:$B,D608,回款核销!$C:$C,""))</f>
        <v/>
      </c>
      <c r="W608" s="10">
        <f>IF(Q608="","",MAX(0,Q608-V608))</f>
        <v/>
      </c>
      <c r="X608" s="9" t="n"/>
      <c r="Y608" s="10">
        <f>IF(OR(N608="",X608=""),"",N608*X608)</f>
        <v/>
      </c>
      <c r="Z608" s="10">
        <f>IF(OR(Q608="",Y608=""),"",Q608-Y608)</f>
        <v/>
      </c>
      <c r="AA608" s="9" t="n"/>
      <c r="AB608" s="9" t="n"/>
    </row>
    <row r="609" ht="22" customHeight="1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10">
        <f>IF(OR(N609="",P609=""),"",N609*P609)</f>
        <v/>
      </c>
      <c r="R609" s="9" t="n"/>
      <c r="S609" s="9" t="n"/>
      <c r="T609" s="9" t="n"/>
      <c r="U609" s="9">
        <f>IF(Q609="","",IF(W609=0,"已付款PAID",IF(V609&gt;0,"部分核销","未付款N/P")))</f>
        <v/>
      </c>
      <c r="V609" s="10">
        <f>IF(G609="","",SUMIFS(回款核销!$H:$H,回款核销!$C:$C,G609)+SUMIFS(回款核销!$H:$H,回款核销!$B:$B,D609,回款核销!$C:$C,""))</f>
        <v/>
      </c>
      <c r="W609" s="10">
        <f>IF(Q609="","",MAX(0,Q609-V609))</f>
        <v/>
      </c>
      <c r="X609" s="9" t="n"/>
      <c r="Y609" s="10">
        <f>IF(OR(N609="",X609=""),"",N609*X609)</f>
        <v/>
      </c>
      <c r="Z609" s="10">
        <f>IF(OR(Q609="",Y609=""),"",Q609-Y609)</f>
        <v/>
      </c>
      <c r="AA609" s="9" t="n"/>
      <c r="AB609" s="9" t="n"/>
    </row>
    <row r="610" ht="22" customHeight="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10">
        <f>IF(OR(N610="",P610=""),"",N610*P610)</f>
        <v/>
      </c>
      <c r="R610" s="9" t="n"/>
      <c r="S610" s="9" t="n"/>
      <c r="T610" s="9" t="n"/>
      <c r="U610" s="9">
        <f>IF(Q610="","",IF(W610=0,"已付款PAID",IF(V610&gt;0,"部分核销","未付款N/P")))</f>
        <v/>
      </c>
      <c r="V610" s="10">
        <f>IF(G610="","",SUMIFS(回款核销!$H:$H,回款核销!$C:$C,G610)+SUMIFS(回款核销!$H:$H,回款核销!$B:$B,D610,回款核销!$C:$C,""))</f>
        <v/>
      </c>
      <c r="W610" s="10">
        <f>IF(Q610="","",MAX(0,Q610-V610))</f>
        <v/>
      </c>
      <c r="X610" s="9" t="n"/>
      <c r="Y610" s="10">
        <f>IF(OR(N610="",X610=""),"",N610*X610)</f>
        <v/>
      </c>
      <c r="Z610" s="10">
        <f>IF(OR(Q610="",Y610=""),"",Q610-Y610)</f>
        <v/>
      </c>
      <c r="AA610" s="9" t="n"/>
      <c r="AB610" s="9" t="n"/>
    </row>
    <row r="611" ht="22" customHeight="1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10">
        <f>IF(OR(N611="",P611=""),"",N611*P611)</f>
        <v/>
      </c>
      <c r="R611" s="9" t="n"/>
      <c r="S611" s="9" t="n"/>
      <c r="T611" s="9" t="n"/>
      <c r="U611" s="9">
        <f>IF(Q611="","",IF(W611=0,"已付款PAID",IF(V611&gt;0,"部分核销","未付款N/P")))</f>
        <v/>
      </c>
      <c r="V611" s="10">
        <f>IF(G611="","",SUMIFS(回款核销!$H:$H,回款核销!$C:$C,G611)+SUMIFS(回款核销!$H:$H,回款核销!$B:$B,D611,回款核销!$C:$C,""))</f>
        <v/>
      </c>
      <c r="W611" s="10">
        <f>IF(Q611="","",MAX(0,Q611-V611))</f>
        <v/>
      </c>
      <c r="X611" s="9" t="n"/>
      <c r="Y611" s="10">
        <f>IF(OR(N611="",X611=""),"",N611*X611)</f>
        <v/>
      </c>
      <c r="Z611" s="10">
        <f>IF(OR(Q611="",Y611=""),"",Q611-Y611)</f>
        <v/>
      </c>
      <c r="AA611" s="9" t="n"/>
      <c r="AB611" s="9" t="n"/>
    </row>
    <row r="612" ht="22" customHeight="1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10">
        <f>IF(OR(N612="",P612=""),"",N612*P612)</f>
        <v/>
      </c>
      <c r="R612" s="9" t="n"/>
      <c r="S612" s="9" t="n"/>
      <c r="T612" s="9" t="n"/>
      <c r="U612" s="9">
        <f>IF(Q612="","",IF(W612=0,"已付款PAID",IF(V612&gt;0,"部分核销","未付款N/P")))</f>
        <v/>
      </c>
      <c r="V612" s="10">
        <f>IF(G612="","",SUMIFS(回款核销!$H:$H,回款核销!$C:$C,G612)+SUMIFS(回款核销!$H:$H,回款核销!$B:$B,D612,回款核销!$C:$C,""))</f>
        <v/>
      </c>
      <c r="W612" s="10">
        <f>IF(Q612="","",MAX(0,Q612-V612))</f>
        <v/>
      </c>
      <c r="X612" s="9" t="n"/>
      <c r="Y612" s="10">
        <f>IF(OR(N612="",X612=""),"",N612*X612)</f>
        <v/>
      </c>
      <c r="Z612" s="10">
        <f>IF(OR(Q612="",Y612=""),"",Q612-Y612)</f>
        <v/>
      </c>
      <c r="AA612" s="9" t="n"/>
      <c r="AB612" s="9" t="n"/>
    </row>
    <row r="613" ht="22" customHeight="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10">
        <f>IF(OR(N613="",P613=""),"",N613*P613)</f>
        <v/>
      </c>
      <c r="R613" s="9" t="n"/>
      <c r="S613" s="9" t="n"/>
      <c r="T613" s="9" t="n"/>
      <c r="U613" s="9">
        <f>IF(Q613="","",IF(W613=0,"已付款PAID",IF(V613&gt;0,"部分核销","未付款N/P")))</f>
        <v/>
      </c>
      <c r="V613" s="10">
        <f>IF(G613="","",SUMIFS(回款核销!$H:$H,回款核销!$C:$C,G613)+SUMIFS(回款核销!$H:$H,回款核销!$B:$B,D613,回款核销!$C:$C,""))</f>
        <v/>
      </c>
      <c r="W613" s="10">
        <f>IF(Q613="","",MAX(0,Q613-V613))</f>
        <v/>
      </c>
      <c r="X613" s="9" t="n"/>
      <c r="Y613" s="10">
        <f>IF(OR(N613="",X613=""),"",N613*X613)</f>
        <v/>
      </c>
      <c r="Z613" s="10">
        <f>IF(OR(Q613="",Y613=""),"",Q613-Y613)</f>
        <v/>
      </c>
      <c r="AA613" s="9" t="n"/>
      <c r="AB613" s="9" t="n"/>
    </row>
    <row r="614" ht="22" customHeight="1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10">
        <f>IF(OR(N614="",P614=""),"",N614*P614)</f>
        <v/>
      </c>
      <c r="R614" s="9" t="n"/>
      <c r="S614" s="9" t="n"/>
      <c r="T614" s="9" t="n"/>
      <c r="U614" s="9">
        <f>IF(Q614="","",IF(W614=0,"已付款PAID",IF(V614&gt;0,"部分核销","未付款N/P")))</f>
        <v/>
      </c>
      <c r="V614" s="10">
        <f>IF(G614="","",SUMIFS(回款核销!$H:$H,回款核销!$C:$C,G614)+SUMIFS(回款核销!$H:$H,回款核销!$B:$B,D614,回款核销!$C:$C,""))</f>
        <v/>
      </c>
      <c r="W614" s="10">
        <f>IF(Q614="","",MAX(0,Q614-V614))</f>
        <v/>
      </c>
      <c r="X614" s="9" t="n"/>
      <c r="Y614" s="10">
        <f>IF(OR(N614="",X614=""),"",N614*X614)</f>
        <v/>
      </c>
      <c r="Z614" s="10">
        <f>IF(OR(Q614="",Y614=""),"",Q614-Y614)</f>
        <v/>
      </c>
      <c r="AA614" s="9" t="n"/>
      <c r="AB614" s="9" t="n"/>
    </row>
    <row r="615" ht="22" customHeight="1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10">
        <f>IF(OR(N615="",P615=""),"",N615*P615)</f>
        <v/>
      </c>
      <c r="R615" s="9" t="n"/>
      <c r="S615" s="9" t="n"/>
      <c r="T615" s="9" t="n"/>
      <c r="U615" s="9">
        <f>IF(Q615="","",IF(W615=0,"已付款PAID",IF(V615&gt;0,"部分核销","未付款N/P")))</f>
        <v/>
      </c>
      <c r="V615" s="10">
        <f>IF(G615="","",SUMIFS(回款核销!$H:$H,回款核销!$C:$C,G615)+SUMIFS(回款核销!$H:$H,回款核销!$B:$B,D615,回款核销!$C:$C,""))</f>
        <v/>
      </c>
      <c r="W615" s="10">
        <f>IF(Q615="","",MAX(0,Q615-V615))</f>
        <v/>
      </c>
      <c r="X615" s="9" t="n"/>
      <c r="Y615" s="10">
        <f>IF(OR(N615="",X615=""),"",N615*X615)</f>
        <v/>
      </c>
      <c r="Z615" s="10">
        <f>IF(OR(Q615="",Y615=""),"",Q615-Y615)</f>
        <v/>
      </c>
      <c r="AA615" s="9" t="n"/>
      <c r="AB615" s="9" t="n"/>
    </row>
    <row r="616" ht="22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10">
        <f>IF(OR(N616="",P616=""),"",N616*P616)</f>
        <v/>
      </c>
      <c r="R616" s="9" t="n"/>
      <c r="S616" s="9" t="n"/>
      <c r="T616" s="9" t="n"/>
      <c r="U616" s="9">
        <f>IF(Q616="","",IF(W616=0,"已付款PAID",IF(V616&gt;0,"部分核销","未付款N/P")))</f>
        <v/>
      </c>
      <c r="V616" s="10">
        <f>IF(G616="","",SUMIFS(回款核销!$H:$H,回款核销!$C:$C,G616)+SUMIFS(回款核销!$H:$H,回款核销!$B:$B,D616,回款核销!$C:$C,""))</f>
        <v/>
      </c>
      <c r="W616" s="10">
        <f>IF(Q616="","",MAX(0,Q616-V616))</f>
        <v/>
      </c>
      <c r="X616" s="9" t="n"/>
      <c r="Y616" s="10">
        <f>IF(OR(N616="",X616=""),"",N616*X616)</f>
        <v/>
      </c>
      <c r="Z616" s="10">
        <f>IF(OR(Q616="",Y616=""),"",Q616-Y616)</f>
        <v/>
      </c>
      <c r="AA616" s="9" t="n"/>
      <c r="AB616" s="9" t="n"/>
    </row>
    <row r="617" ht="22" customHeight="1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10">
        <f>IF(OR(N617="",P617=""),"",N617*P617)</f>
        <v/>
      </c>
      <c r="R617" s="9" t="n"/>
      <c r="S617" s="9" t="n"/>
      <c r="T617" s="9" t="n"/>
      <c r="U617" s="9">
        <f>IF(Q617="","",IF(W617=0,"已付款PAID",IF(V617&gt;0,"部分核销","未付款N/P")))</f>
        <v/>
      </c>
      <c r="V617" s="10">
        <f>IF(G617="","",SUMIFS(回款核销!$H:$H,回款核销!$C:$C,G617)+SUMIFS(回款核销!$H:$H,回款核销!$B:$B,D617,回款核销!$C:$C,""))</f>
        <v/>
      </c>
      <c r="W617" s="10">
        <f>IF(Q617="","",MAX(0,Q617-V617))</f>
        <v/>
      </c>
      <c r="X617" s="9" t="n"/>
      <c r="Y617" s="10">
        <f>IF(OR(N617="",X617=""),"",N617*X617)</f>
        <v/>
      </c>
      <c r="Z617" s="10">
        <f>IF(OR(Q617="",Y617=""),"",Q617-Y617)</f>
        <v/>
      </c>
      <c r="AA617" s="9" t="n"/>
      <c r="AB617" s="9" t="n"/>
    </row>
    <row r="618" ht="22" customHeight="1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10">
        <f>IF(OR(N618="",P618=""),"",N618*P618)</f>
        <v/>
      </c>
      <c r="R618" s="9" t="n"/>
      <c r="S618" s="9" t="n"/>
      <c r="T618" s="9" t="n"/>
      <c r="U618" s="9">
        <f>IF(Q618="","",IF(W618=0,"已付款PAID",IF(V618&gt;0,"部分核销","未付款N/P")))</f>
        <v/>
      </c>
      <c r="V618" s="10">
        <f>IF(G618="","",SUMIFS(回款核销!$H:$H,回款核销!$C:$C,G618)+SUMIFS(回款核销!$H:$H,回款核销!$B:$B,D618,回款核销!$C:$C,""))</f>
        <v/>
      </c>
      <c r="W618" s="10">
        <f>IF(Q618="","",MAX(0,Q618-V618))</f>
        <v/>
      </c>
      <c r="X618" s="9" t="n"/>
      <c r="Y618" s="10">
        <f>IF(OR(N618="",X618=""),"",N618*X618)</f>
        <v/>
      </c>
      <c r="Z618" s="10">
        <f>IF(OR(Q618="",Y618=""),"",Q618-Y618)</f>
        <v/>
      </c>
      <c r="AA618" s="9" t="n"/>
      <c r="AB618" s="9" t="n"/>
    </row>
    <row r="619" ht="22" customHeight="1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10">
        <f>IF(OR(N619="",P619=""),"",N619*P619)</f>
        <v/>
      </c>
      <c r="R619" s="9" t="n"/>
      <c r="S619" s="9" t="n"/>
      <c r="T619" s="9" t="n"/>
      <c r="U619" s="9">
        <f>IF(Q619="","",IF(W619=0,"已付款PAID",IF(V619&gt;0,"部分核销","未付款N/P")))</f>
        <v/>
      </c>
      <c r="V619" s="10">
        <f>IF(G619="","",SUMIFS(回款核销!$H:$H,回款核销!$C:$C,G619)+SUMIFS(回款核销!$H:$H,回款核销!$B:$B,D619,回款核销!$C:$C,""))</f>
        <v/>
      </c>
      <c r="W619" s="10">
        <f>IF(Q619="","",MAX(0,Q619-V619))</f>
        <v/>
      </c>
      <c r="X619" s="9" t="n"/>
      <c r="Y619" s="10">
        <f>IF(OR(N619="",X619=""),"",N619*X619)</f>
        <v/>
      </c>
      <c r="Z619" s="10">
        <f>IF(OR(Q619="",Y619=""),"",Q619-Y619)</f>
        <v/>
      </c>
      <c r="AA619" s="9" t="n"/>
      <c r="AB619" s="9" t="n"/>
    </row>
    <row r="620" ht="22" customHeight="1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10">
        <f>IF(OR(N620="",P620=""),"",N620*P620)</f>
        <v/>
      </c>
      <c r="R620" s="9" t="n"/>
      <c r="S620" s="9" t="n"/>
      <c r="T620" s="9" t="n"/>
      <c r="U620" s="9">
        <f>IF(Q620="","",IF(W620=0,"已付款PAID",IF(V620&gt;0,"部分核销","未付款N/P")))</f>
        <v/>
      </c>
      <c r="V620" s="10">
        <f>IF(G620="","",SUMIFS(回款核销!$H:$H,回款核销!$C:$C,G620)+SUMIFS(回款核销!$H:$H,回款核销!$B:$B,D620,回款核销!$C:$C,""))</f>
        <v/>
      </c>
      <c r="W620" s="10">
        <f>IF(Q620="","",MAX(0,Q620-V620))</f>
        <v/>
      </c>
      <c r="X620" s="9" t="n"/>
      <c r="Y620" s="10">
        <f>IF(OR(N620="",X620=""),"",N620*X620)</f>
        <v/>
      </c>
      <c r="Z620" s="10">
        <f>IF(OR(Q620="",Y620=""),"",Q620-Y620)</f>
        <v/>
      </c>
      <c r="AA620" s="9" t="n"/>
      <c r="AB620" s="9" t="n"/>
    </row>
    <row r="621" ht="22" customHeight="1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10">
        <f>IF(OR(N621="",P621=""),"",N621*P621)</f>
        <v/>
      </c>
      <c r="R621" s="9" t="n"/>
      <c r="S621" s="9" t="n"/>
      <c r="T621" s="9" t="n"/>
      <c r="U621" s="9">
        <f>IF(Q621="","",IF(W621=0,"已付款PAID",IF(V621&gt;0,"部分核销","未付款N/P")))</f>
        <v/>
      </c>
      <c r="V621" s="10">
        <f>IF(G621="","",SUMIFS(回款核销!$H:$H,回款核销!$C:$C,G621)+SUMIFS(回款核销!$H:$H,回款核销!$B:$B,D621,回款核销!$C:$C,""))</f>
        <v/>
      </c>
      <c r="W621" s="10">
        <f>IF(Q621="","",MAX(0,Q621-V621))</f>
        <v/>
      </c>
      <c r="X621" s="9" t="n"/>
      <c r="Y621" s="10">
        <f>IF(OR(N621="",X621=""),"",N621*X621)</f>
        <v/>
      </c>
      <c r="Z621" s="10">
        <f>IF(OR(Q621="",Y621=""),"",Q621-Y621)</f>
        <v/>
      </c>
      <c r="AA621" s="9" t="n"/>
      <c r="AB621" s="9" t="n"/>
    </row>
    <row r="622" ht="22" customHeight="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10">
        <f>IF(OR(N622="",P622=""),"",N622*P622)</f>
        <v/>
      </c>
      <c r="R622" s="9" t="n"/>
      <c r="S622" s="9" t="n"/>
      <c r="T622" s="9" t="n"/>
      <c r="U622" s="9">
        <f>IF(Q622="","",IF(W622=0,"已付款PAID",IF(V622&gt;0,"部分核销","未付款N/P")))</f>
        <v/>
      </c>
      <c r="V622" s="10">
        <f>IF(G622="","",SUMIFS(回款核销!$H:$H,回款核销!$C:$C,G622)+SUMIFS(回款核销!$H:$H,回款核销!$B:$B,D622,回款核销!$C:$C,""))</f>
        <v/>
      </c>
      <c r="W622" s="10">
        <f>IF(Q622="","",MAX(0,Q622-V622))</f>
        <v/>
      </c>
      <c r="X622" s="9" t="n"/>
      <c r="Y622" s="10">
        <f>IF(OR(N622="",X622=""),"",N622*X622)</f>
        <v/>
      </c>
      <c r="Z622" s="10">
        <f>IF(OR(Q622="",Y622=""),"",Q622-Y622)</f>
        <v/>
      </c>
      <c r="AA622" s="9" t="n"/>
      <c r="AB622" s="9" t="n"/>
    </row>
    <row r="623" ht="22" customHeight="1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10">
        <f>IF(OR(N623="",P623=""),"",N623*P623)</f>
        <v/>
      </c>
      <c r="R623" s="9" t="n"/>
      <c r="S623" s="9" t="n"/>
      <c r="T623" s="9" t="n"/>
      <c r="U623" s="9">
        <f>IF(Q623="","",IF(W623=0,"已付款PAID",IF(V623&gt;0,"部分核销","未付款N/P")))</f>
        <v/>
      </c>
      <c r="V623" s="10">
        <f>IF(G623="","",SUMIFS(回款核销!$H:$H,回款核销!$C:$C,G623)+SUMIFS(回款核销!$H:$H,回款核销!$B:$B,D623,回款核销!$C:$C,""))</f>
        <v/>
      </c>
      <c r="W623" s="10">
        <f>IF(Q623="","",MAX(0,Q623-V623))</f>
        <v/>
      </c>
      <c r="X623" s="9" t="n"/>
      <c r="Y623" s="10">
        <f>IF(OR(N623="",X623=""),"",N623*X623)</f>
        <v/>
      </c>
      <c r="Z623" s="10">
        <f>IF(OR(Q623="",Y623=""),"",Q623-Y623)</f>
        <v/>
      </c>
      <c r="AA623" s="9" t="n"/>
      <c r="AB623" s="9" t="n"/>
    </row>
    <row r="624" ht="22" customHeight="1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10">
        <f>IF(OR(N624="",P624=""),"",N624*P624)</f>
        <v/>
      </c>
      <c r="R624" s="9" t="n"/>
      <c r="S624" s="9" t="n"/>
      <c r="T624" s="9" t="n"/>
      <c r="U624" s="9">
        <f>IF(Q624="","",IF(W624=0,"已付款PAID",IF(V624&gt;0,"部分核销","未付款N/P")))</f>
        <v/>
      </c>
      <c r="V624" s="10">
        <f>IF(G624="","",SUMIFS(回款核销!$H:$H,回款核销!$C:$C,G624)+SUMIFS(回款核销!$H:$H,回款核销!$B:$B,D624,回款核销!$C:$C,""))</f>
        <v/>
      </c>
      <c r="W624" s="10">
        <f>IF(Q624="","",MAX(0,Q624-V624))</f>
        <v/>
      </c>
      <c r="X624" s="9" t="n"/>
      <c r="Y624" s="10">
        <f>IF(OR(N624="",X624=""),"",N624*X624)</f>
        <v/>
      </c>
      <c r="Z624" s="10">
        <f>IF(OR(Q624="",Y624=""),"",Q624-Y624)</f>
        <v/>
      </c>
      <c r="AA624" s="9" t="n"/>
      <c r="AB624" s="9" t="n"/>
    </row>
    <row r="625" ht="22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10">
        <f>IF(OR(N625="",P625=""),"",N625*P625)</f>
        <v/>
      </c>
      <c r="R625" s="9" t="n"/>
      <c r="S625" s="9" t="n"/>
      <c r="T625" s="9" t="n"/>
      <c r="U625" s="9">
        <f>IF(Q625="","",IF(W625=0,"已付款PAID",IF(V625&gt;0,"部分核销","未付款N/P")))</f>
        <v/>
      </c>
      <c r="V625" s="10">
        <f>IF(G625="","",SUMIFS(回款核销!$H:$H,回款核销!$C:$C,G625)+SUMIFS(回款核销!$H:$H,回款核销!$B:$B,D625,回款核销!$C:$C,""))</f>
        <v/>
      </c>
      <c r="W625" s="10">
        <f>IF(Q625="","",MAX(0,Q625-V625))</f>
        <v/>
      </c>
      <c r="X625" s="9" t="n"/>
      <c r="Y625" s="10">
        <f>IF(OR(N625="",X625=""),"",N625*X625)</f>
        <v/>
      </c>
      <c r="Z625" s="10">
        <f>IF(OR(Q625="",Y625=""),"",Q625-Y625)</f>
        <v/>
      </c>
      <c r="AA625" s="9" t="n"/>
      <c r="AB625" s="9" t="n"/>
    </row>
    <row r="626" ht="22" customHeight="1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10">
        <f>IF(OR(N626="",P626=""),"",N626*P626)</f>
        <v/>
      </c>
      <c r="R626" s="9" t="n"/>
      <c r="S626" s="9" t="n"/>
      <c r="T626" s="9" t="n"/>
      <c r="U626" s="9">
        <f>IF(Q626="","",IF(W626=0,"已付款PAID",IF(V626&gt;0,"部分核销","未付款N/P")))</f>
        <v/>
      </c>
      <c r="V626" s="10">
        <f>IF(G626="","",SUMIFS(回款核销!$H:$H,回款核销!$C:$C,G626)+SUMIFS(回款核销!$H:$H,回款核销!$B:$B,D626,回款核销!$C:$C,""))</f>
        <v/>
      </c>
      <c r="W626" s="10">
        <f>IF(Q626="","",MAX(0,Q626-V626))</f>
        <v/>
      </c>
      <c r="X626" s="9" t="n"/>
      <c r="Y626" s="10">
        <f>IF(OR(N626="",X626=""),"",N626*X626)</f>
        <v/>
      </c>
      <c r="Z626" s="10">
        <f>IF(OR(Q626="",Y626=""),"",Q626-Y626)</f>
        <v/>
      </c>
      <c r="AA626" s="9" t="n"/>
      <c r="AB626" s="9" t="n"/>
    </row>
    <row r="627" ht="22" customHeight="1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10">
        <f>IF(OR(N627="",P627=""),"",N627*P627)</f>
        <v/>
      </c>
      <c r="R627" s="9" t="n"/>
      <c r="S627" s="9" t="n"/>
      <c r="T627" s="9" t="n"/>
      <c r="U627" s="9">
        <f>IF(Q627="","",IF(W627=0,"已付款PAID",IF(V627&gt;0,"部分核销","未付款N/P")))</f>
        <v/>
      </c>
      <c r="V627" s="10">
        <f>IF(G627="","",SUMIFS(回款核销!$H:$H,回款核销!$C:$C,G627)+SUMIFS(回款核销!$H:$H,回款核销!$B:$B,D627,回款核销!$C:$C,""))</f>
        <v/>
      </c>
      <c r="W627" s="10">
        <f>IF(Q627="","",MAX(0,Q627-V627))</f>
        <v/>
      </c>
      <c r="X627" s="9" t="n"/>
      <c r="Y627" s="10">
        <f>IF(OR(N627="",X627=""),"",N627*X627)</f>
        <v/>
      </c>
      <c r="Z627" s="10">
        <f>IF(OR(Q627="",Y627=""),"",Q627-Y627)</f>
        <v/>
      </c>
      <c r="AA627" s="9" t="n"/>
      <c r="AB627" s="9" t="n"/>
    </row>
    <row r="628" ht="22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10">
        <f>IF(OR(N628="",P628=""),"",N628*P628)</f>
        <v/>
      </c>
      <c r="R628" s="9" t="n"/>
      <c r="S628" s="9" t="n"/>
      <c r="T628" s="9" t="n"/>
      <c r="U628" s="9">
        <f>IF(Q628="","",IF(W628=0,"已付款PAID",IF(V628&gt;0,"部分核销","未付款N/P")))</f>
        <v/>
      </c>
      <c r="V628" s="10">
        <f>IF(G628="","",SUMIFS(回款核销!$H:$H,回款核销!$C:$C,G628)+SUMIFS(回款核销!$H:$H,回款核销!$B:$B,D628,回款核销!$C:$C,""))</f>
        <v/>
      </c>
      <c r="W628" s="10">
        <f>IF(Q628="","",MAX(0,Q628-V628))</f>
        <v/>
      </c>
      <c r="X628" s="9" t="n"/>
      <c r="Y628" s="10">
        <f>IF(OR(N628="",X628=""),"",N628*X628)</f>
        <v/>
      </c>
      <c r="Z628" s="10">
        <f>IF(OR(Q628="",Y628=""),"",Q628-Y628)</f>
        <v/>
      </c>
      <c r="AA628" s="9" t="n"/>
      <c r="AB628" s="9" t="n"/>
    </row>
    <row r="629" ht="22" customHeight="1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10">
        <f>IF(OR(N629="",P629=""),"",N629*P629)</f>
        <v/>
      </c>
      <c r="R629" s="9" t="n"/>
      <c r="S629" s="9" t="n"/>
      <c r="T629" s="9" t="n"/>
      <c r="U629" s="9">
        <f>IF(Q629="","",IF(W629=0,"已付款PAID",IF(V629&gt;0,"部分核销","未付款N/P")))</f>
        <v/>
      </c>
      <c r="V629" s="10">
        <f>IF(G629="","",SUMIFS(回款核销!$H:$H,回款核销!$C:$C,G629)+SUMIFS(回款核销!$H:$H,回款核销!$B:$B,D629,回款核销!$C:$C,""))</f>
        <v/>
      </c>
      <c r="W629" s="10">
        <f>IF(Q629="","",MAX(0,Q629-V629))</f>
        <v/>
      </c>
      <c r="X629" s="9" t="n"/>
      <c r="Y629" s="10">
        <f>IF(OR(N629="",X629=""),"",N629*X629)</f>
        <v/>
      </c>
      <c r="Z629" s="10">
        <f>IF(OR(Q629="",Y629=""),"",Q629-Y629)</f>
        <v/>
      </c>
      <c r="AA629" s="9" t="n"/>
      <c r="AB629" s="9" t="n"/>
    </row>
    <row r="630" ht="22" customHeight="1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10">
        <f>IF(OR(N630="",P630=""),"",N630*P630)</f>
        <v/>
      </c>
      <c r="R630" s="9" t="n"/>
      <c r="S630" s="9" t="n"/>
      <c r="T630" s="9" t="n"/>
      <c r="U630" s="9">
        <f>IF(Q630="","",IF(W630=0,"已付款PAID",IF(V630&gt;0,"部分核销","未付款N/P")))</f>
        <v/>
      </c>
      <c r="V630" s="10">
        <f>IF(G630="","",SUMIFS(回款核销!$H:$H,回款核销!$C:$C,G630)+SUMIFS(回款核销!$H:$H,回款核销!$B:$B,D630,回款核销!$C:$C,""))</f>
        <v/>
      </c>
      <c r="W630" s="10">
        <f>IF(Q630="","",MAX(0,Q630-V630))</f>
        <v/>
      </c>
      <c r="X630" s="9" t="n"/>
      <c r="Y630" s="10">
        <f>IF(OR(N630="",X630=""),"",N630*X630)</f>
        <v/>
      </c>
      <c r="Z630" s="10">
        <f>IF(OR(Q630="",Y630=""),"",Q630-Y630)</f>
        <v/>
      </c>
      <c r="AA630" s="9" t="n"/>
      <c r="AB630" s="9" t="n"/>
    </row>
    <row r="631" ht="22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10">
        <f>IF(OR(N631="",P631=""),"",N631*P631)</f>
        <v/>
      </c>
      <c r="R631" s="9" t="n"/>
      <c r="S631" s="9" t="n"/>
      <c r="T631" s="9" t="n"/>
      <c r="U631" s="9">
        <f>IF(Q631="","",IF(W631=0,"已付款PAID",IF(V631&gt;0,"部分核销","未付款N/P")))</f>
        <v/>
      </c>
      <c r="V631" s="10">
        <f>IF(G631="","",SUMIFS(回款核销!$H:$H,回款核销!$C:$C,G631)+SUMIFS(回款核销!$H:$H,回款核销!$B:$B,D631,回款核销!$C:$C,""))</f>
        <v/>
      </c>
      <c r="W631" s="10">
        <f>IF(Q631="","",MAX(0,Q631-V631))</f>
        <v/>
      </c>
      <c r="X631" s="9" t="n"/>
      <c r="Y631" s="10">
        <f>IF(OR(N631="",X631=""),"",N631*X631)</f>
        <v/>
      </c>
      <c r="Z631" s="10">
        <f>IF(OR(Q631="",Y631=""),"",Q631-Y631)</f>
        <v/>
      </c>
      <c r="AA631" s="9" t="n"/>
      <c r="AB631" s="9" t="n"/>
    </row>
    <row r="632" ht="22" customHeight="1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10">
        <f>IF(OR(N632="",P632=""),"",N632*P632)</f>
        <v/>
      </c>
      <c r="R632" s="9" t="n"/>
      <c r="S632" s="9" t="n"/>
      <c r="T632" s="9" t="n"/>
      <c r="U632" s="9">
        <f>IF(Q632="","",IF(W632=0,"已付款PAID",IF(V632&gt;0,"部分核销","未付款N/P")))</f>
        <v/>
      </c>
      <c r="V632" s="10">
        <f>IF(G632="","",SUMIFS(回款核销!$H:$H,回款核销!$C:$C,G632)+SUMIFS(回款核销!$H:$H,回款核销!$B:$B,D632,回款核销!$C:$C,""))</f>
        <v/>
      </c>
      <c r="W632" s="10">
        <f>IF(Q632="","",MAX(0,Q632-V632))</f>
        <v/>
      </c>
      <c r="X632" s="9" t="n"/>
      <c r="Y632" s="10">
        <f>IF(OR(N632="",X632=""),"",N632*X632)</f>
        <v/>
      </c>
      <c r="Z632" s="10">
        <f>IF(OR(Q632="",Y632=""),"",Q632-Y632)</f>
        <v/>
      </c>
      <c r="AA632" s="9" t="n"/>
      <c r="AB632" s="9" t="n"/>
    </row>
    <row r="633" ht="22" customHeight="1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10">
        <f>IF(OR(N633="",P633=""),"",N633*P633)</f>
        <v/>
      </c>
      <c r="R633" s="9" t="n"/>
      <c r="S633" s="9" t="n"/>
      <c r="T633" s="9" t="n"/>
      <c r="U633" s="9">
        <f>IF(Q633="","",IF(W633=0,"已付款PAID",IF(V633&gt;0,"部分核销","未付款N/P")))</f>
        <v/>
      </c>
      <c r="V633" s="10">
        <f>IF(G633="","",SUMIFS(回款核销!$H:$H,回款核销!$C:$C,G633)+SUMIFS(回款核销!$H:$H,回款核销!$B:$B,D633,回款核销!$C:$C,""))</f>
        <v/>
      </c>
      <c r="W633" s="10">
        <f>IF(Q633="","",MAX(0,Q633-V633))</f>
        <v/>
      </c>
      <c r="X633" s="9" t="n"/>
      <c r="Y633" s="10">
        <f>IF(OR(N633="",X633=""),"",N633*X633)</f>
        <v/>
      </c>
      <c r="Z633" s="10">
        <f>IF(OR(Q633="",Y633=""),"",Q633-Y633)</f>
        <v/>
      </c>
      <c r="AA633" s="9" t="n"/>
      <c r="AB633" s="9" t="n"/>
    </row>
    <row r="634" ht="22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10">
        <f>IF(OR(N634="",P634=""),"",N634*P634)</f>
        <v/>
      </c>
      <c r="R634" s="9" t="n"/>
      <c r="S634" s="9" t="n"/>
      <c r="T634" s="9" t="n"/>
      <c r="U634" s="9">
        <f>IF(Q634="","",IF(W634=0,"已付款PAID",IF(V634&gt;0,"部分核销","未付款N/P")))</f>
        <v/>
      </c>
      <c r="V634" s="10">
        <f>IF(G634="","",SUMIFS(回款核销!$H:$H,回款核销!$C:$C,G634)+SUMIFS(回款核销!$H:$H,回款核销!$B:$B,D634,回款核销!$C:$C,""))</f>
        <v/>
      </c>
      <c r="W634" s="10">
        <f>IF(Q634="","",MAX(0,Q634-V634))</f>
        <v/>
      </c>
      <c r="X634" s="9" t="n"/>
      <c r="Y634" s="10">
        <f>IF(OR(N634="",X634=""),"",N634*X634)</f>
        <v/>
      </c>
      <c r="Z634" s="10">
        <f>IF(OR(Q634="",Y634=""),"",Q634-Y634)</f>
        <v/>
      </c>
      <c r="AA634" s="9" t="n"/>
      <c r="AB634" s="9" t="n"/>
    </row>
    <row r="635" ht="22" customHeight="1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10">
        <f>IF(OR(N635="",P635=""),"",N635*P635)</f>
        <v/>
      </c>
      <c r="R635" s="9" t="n"/>
      <c r="S635" s="9" t="n"/>
      <c r="T635" s="9" t="n"/>
      <c r="U635" s="9">
        <f>IF(Q635="","",IF(W635=0,"已付款PAID",IF(V635&gt;0,"部分核销","未付款N/P")))</f>
        <v/>
      </c>
      <c r="V635" s="10">
        <f>IF(G635="","",SUMIFS(回款核销!$H:$H,回款核销!$C:$C,G635)+SUMIFS(回款核销!$H:$H,回款核销!$B:$B,D635,回款核销!$C:$C,""))</f>
        <v/>
      </c>
      <c r="W635" s="10">
        <f>IF(Q635="","",MAX(0,Q635-V635))</f>
        <v/>
      </c>
      <c r="X635" s="9" t="n"/>
      <c r="Y635" s="10">
        <f>IF(OR(N635="",X635=""),"",N635*X635)</f>
        <v/>
      </c>
      <c r="Z635" s="10">
        <f>IF(OR(Q635="",Y635=""),"",Q635-Y635)</f>
        <v/>
      </c>
      <c r="AA635" s="9" t="n"/>
      <c r="AB635" s="9" t="n"/>
    </row>
    <row r="636" ht="22" customHeight="1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10">
        <f>IF(OR(N636="",P636=""),"",N636*P636)</f>
        <v/>
      </c>
      <c r="R636" s="9" t="n"/>
      <c r="S636" s="9" t="n"/>
      <c r="T636" s="9" t="n"/>
      <c r="U636" s="9">
        <f>IF(Q636="","",IF(W636=0,"已付款PAID",IF(V636&gt;0,"部分核销","未付款N/P")))</f>
        <v/>
      </c>
      <c r="V636" s="10">
        <f>IF(G636="","",SUMIFS(回款核销!$H:$H,回款核销!$C:$C,G636)+SUMIFS(回款核销!$H:$H,回款核销!$B:$B,D636,回款核销!$C:$C,""))</f>
        <v/>
      </c>
      <c r="W636" s="10">
        <f>IF(Q636="","",MAX(0,Q636-V636))</f>
        <v/>
      </c>
      <c r="X636" s="9" t="n"/>
      <c r="Y636" s="10">
        <f>IF(OR(N636="",X636=""),"",N636*X636)</f>
        <v/>
      </c>
      <c r="Z636" s="10">
        <f>IF(OR(Q636="",Y636=""),"",Q636-Y636)</f>
        <v/>
      </c>
      <c r="AA636" s="9" t="n"/>
      <c r="AB636" s="9" t="n"/>
    </row>
    <row r="637" ht="22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10">
        <f>IF(OR(N637="",P637=""),"",N637*P637)</f>
        <v/>
      </c>
      <c r="R637" s="9" t="n"/>
      <c r="S637" s="9" t="n"/>
      <c r="T637" s="9" t="n"/>
      <c r="U637" s="9">
        <f>IF(Q637="","",IF(W637=0,"已付款PAID",IF(V637&gt;0,"部分核销","未付款N/P")))</f>
        <v/>
      </c>
      <c r="V637" s="10">
        <f>IF(G637="","",SUMIFS(回款核销!$H:$H,回款核销!$C:$C,G637)+SUMIFS(回款核销!$H:$H,回款核销!$B:$B,D637,回款核销!$C:$C,""))</f>
        <v/>
      </c>
      <c r="W637" s="10">
        <f>IF(Q637="","",MAX(0,Q637-V637))</f>
        <v/>
      </c>
      <c r="X637" s="9" t="n"/>
      <c r="Y637" s="10">
        <f>IF(OR(N637="",X637=""),"",N637*X637)</f>
        <v/>
      </c>
      <c r="Z637" s="10">
        <f>IF(OR(Q637="",Y637=""),"",Q637-Y637)</f>
        <v/>
      </c>
      <c r="AA637" s="9" t="n"/>
      <c r="AB637" s="9" t="n"/>
    </row>
    <row r="638" ht="22" customHeight="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10">
        <f>IF(OR(N638="",P638=""),"",N638*P638)</f>
        <v/>
      </c>
      <c r="R638" s="9" t="n"/>
      <c r="S638" s="9" t="n"/>
      <c r="T638" s="9" t="n"/>
      <c r="U638" s="9">
        <f>IF(Q638="","",IF(W638=0,"已付款PAID",IF(V638&gt;0,"部分核销","未付款N/P")))</f>
        <v/>
      </c>
      <c r="V638" s="10">
        <f>IF(G638="","",SUMIFS(回款核销!$H:$H,回款核销!$C:$C,G638)+SUMIFS(回款核销!$H:$H,回款核销!$B:$B,D638,回款核销!$C:$C,""))</f>
        <v/>
      </c>
      <c r="W638" s="10">
        <f>IF(Q638="","",MAX(0,Q638-V638))</f>
        <v/>
      </c>
      <c r="X638" s="9" t="n"/>
      <c r="Y638" s="10">
        <f>IF(OR(N638="",X638=""),"",N638*X638)</f>
        <v/>
      </c>
      <c r="Z638" s="10">
        <f>IF(OR(Q638="",Y638=""),"",Q638-Y638)</f>
        <v/>
      </c>
      <c r="AA638" s="9" t="n"/>
      <c r="AB638" s="9" t="n"/>
    </row>
    <row r="639" ht="22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10">
        <f>IF(OR(N639="",P639=""),"",N639*P639)</f>
        <v/>
      </c>
      <c r="R639" s="9" t="n"/>
      <c r="S639" s="9" t="n"/>
      <c r="T639" s="9" t="n"/>
      <c r="U639" s="9">
        <f>IF(Q639="","",IF(W639=0,"已付款PAID",IF(V639&gt;0,"部分核销","未付款N/P")))</f>
        <v/>
      </c>
      <c r="V639" s="10">
        <f>IF(G639="","",SUMIFS(回款核销!$H:$H,回款核销!$C:$C,G639)+SUMIFS(回款核销!$H:$H,回款核销!$B:$B,D639,回款核销!$C:$C,""))</f>
        <v/>
      </c>
      <c r="W639" s="10">
        <f>IF(Q639="","",MAX(0,Q639-V639))</f>
        <v/>
      </c>
      <c r="X639" s="9" t="n"/>
      <c r="Y639" s="10">
        <f>IF(OR(N639="",X639=""),"",N639*X639)</f>
        <v/>
      </c>
      <c r="Z639" s="10">
        <f>IF(OR(Q639="",Y639=""),"",Q639-Y639)</f>
        <v/>
      </c>
      <c r="AA639" s="9" t="n"/>
      <c r="AB639" s="9" t="n"/>
    </row>
    <row r="640" ht="22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10">
        <f>IF(OR(N640="",P640=""),"",N640*P640)</f>
        <v/>
      </c>
      <c r="R640" s="9" t="n"/>
      <c r="S640" s="9" t="n"/>
      <c r="T640" s="9" t="n"/>
      <c r="U640" s="9">
        <f>IF(Q640="","",IF(W640=0,"已付款PAID",IF(V640&gt;0,"部分核销","未付款N/P")))</f>
        <v/>
      </c>
      <c r="V640" s="10">
        <f>IF(G640="","",SUMIFS(回款核销!$H:$H,回款核销!$C:$C,G640)+SUMIFS(回款核销!$H:$H,回款核销!$B:$B,D640,回款核销!$C:$C,""))</f>
        <v/>
      </c>
      <c r="W640" s="10">
        <f>IF(Q640="","",MAX(0,Q640-V640))</f>
        <v/>
      </c>
      <c r="X640" s="9" t="n"/>
      <c r="Y640" s="10">
        <f>IF(OR(N640="",X640=""),"",N640*X640)</f>
        <v/>
      </c>
      <c r="Z640" s="10">
        <f>IF(OR(Q640="",Y640=""),"",Q640-Y640)</f>
        <v/>
      </c>
      <c r="AA640" s="9" t="n"/>
      <c r="AB640" s="9" t="n"/>
    </row>
    <row r="641" ht="22" customHeight="1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10">
        <f>IF(OR(N641="",P641=""),"",N641*P641)</f>
        <v/>
      </c>
      <c r="R641" s="9" t="n"/>
      <c r="S641" s="9" t="n"/>
      <c r="T641" s="9" t="n"/>
      <c r="U641" s="9">
        <f>IF(Q641="","",IF(W641=0,"已付款PAID",IF(V641&gt;0,"部分核销","未付款N/P")))</f>
        <v/>
      </c>
      <c r="V641" s="10">
        <f>IF(G641="","",SUMIFS(回款核销!$H:$H,回款核销!$C:$C,G641)+SUMIFS(回款核销!$H:$H,回款核销!$B:$B,D641,回款核销!$C:$C,""))</f>
        <v/>
      </c>
      <c r="W641" s="10">
        <f>IF(Q641="","",MAX(0,Q641-V641))</f>
        <v/>
      </c>
      <c r="X641" s="9" t="n"/>
      <c r="Y641" s="10">
        <f>IF(OR(N641="",X641=""),"",N641*X641)</f>
        <v/>
      </c>
      <c r="Z641" s="10">
        <f>IF(OR(Q641="",Y641=""),"",Q641-Y641)</f>
        <v/>
      </c>
      <c r="AA641" s="9" t="n"/>
      <c r="AB641" s="9" t="n"/>
    </row>
    <row r="642" ht="22" customHeight="1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10">
        <f>IF(OR(N642="",P642=""),"",N642*P642)</f>
        <v/>
      </c>
      <c r="R642" s="9" t="n"/>
      <c r="S642" s="9" t="n"/>
      <c r="T642" s="9" t="n"/>
      <c r="U642" s="9">
        <f>IF(Q642="","",IF(W642=0,"已付款PAID",IF(V642&gt;0,"部分核销","未付款N/P")))</f>
        <v/>
      </c>
      <c r="V642" s="10">
        <f>IF(G642="","",SUMIFS(回款核销!$H:$H,回款核销!$C:$C,G642)+SUMIFS(回款核销!$H:$H,回款核销!$B:$B,D642,回款核销!$C:$C,""))</f>
        <v/>
      </c>
      <c r="W642" s="10">
        <f>IF(Q642="","",MAX(0,Q642-V642))</f>
        <v/>
      </c>
      <c r="X642" s="9" t="n"/>
      <c r="Y642" s="10">
        <f>IF(OR(N642="",X642=""),"",N642*X642)</f>
        <v/>
      </c>
      <c r="Z642" s="10">
        <f>IF(OR(Q642="",Y642=""),"",Q642-Y642)</f>
        <v/>
      </c>
      <c r="AA642" s="9" t="n"/>
      <c r="AB642" s="9" t="n"/>
    </row>
    <row r="643" ht="22" customHeight="1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10">
        <f>IF(OR(N643="",P643=""),"",N643*P643)</f>
        <v/>
      </c>
      <c r="R643" s="9" t="n"/>
      <c r="S643" s="9" t="n"/>
      <c r="T643" s="9" t="n"/>
      <c r="U643" s="9">
        <f>IF(Q643="","",IF(W643=0,"已付款PAID",IF(V643&gt;0,"部分核销","未付款N/P")))</f>
        <v/>
      </c>
      <c r="V643" s="10">
        <f>IF(G643="","",SUMIFS(回款核销!$H:$H,回款核销!$C:$C,G643)+SUMIFS(回款核销!$H:$H,回款核销!$B:$B,D643,回款核销!$C:$C,""))</f>
        <v/>
      </c>
      <c r="W643" s="10">
        <f>IF(Q643="","",MAX(0,Q643-V643))</f>
        <v/>
      </c>
      <c r="X643" s="9" t="n"/>
      <c r="Y643" s="10">
        <f>IF(OR(N643="",X643=""),"",N643*X643)</f>
        <v/>
      </c>
      <c r="Z643" s="10">
        <f>IF(OR(Q643="",Y643=""),"",Q643-Y643)</f>
        <v/>
      </c>
      <c r="AA643" s="9" t="n"/>
      <c r="AB643" s="9" t="n"/>
    </row>
    <row r="644" ht="22" customHeight="1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10">
        <f>IF(OR(N644="",P644=""),"",N644*P644)</f>
        <v/>
      </c>
      <c r="R644" s="9" t="n"/>
      <c r="S644" s="9" t="n"/>
      <c r="T644" s="9" t="n"/>
      <c r="U644" s="9">
        <f>IF(Q644="","",IF(W644=0,"已付款PAID",IF(V644&gt;0,"部分核销","未付款N/P")))</f>
        <v/>
      </c>
      <c r="V644" s="10">
        <f>IF(G644="","",SUMIFS(回款核销!$H:$H,回款核销!$C:$C,G644)+SUMIFS(回款核销!$H:$H,回款核销!$B:$B,D644,回款核销!$C:$C,""))</f>
        <v/>
      </c>
      <c r="W644" s="10">
        <f>IF(Q644="","",MAX(0,Q644-V644))</f>
        <v/>
      </c>
      <c r="X644" s="9" t="n"/>
      <c r="Y644" s="10">
        <f>IF(OR(N644="",X644=""),"",N644*X644)</f>
        <v/>
      </c>
      <c r="Z644" s="10">
        <f>IF(OR(Q644="",Y644=""),"",Q644-Y644)</f>
        <v/>
      </c>
      <c r="AA644" s="9" t="n"/>
      <c r="AB644" s="9" t="n"/>
    </row>
    <row r="645" ht="22" customHeight="1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10">
        <f>IF(OR(N645="",P645=""),"",N645*P645)</f>
        <v/>
      </c>
      <c r="R645" s="9" t="n"/>
      <c r="S645" s="9" t="n"/>
      <c r="T645" s="9" t="n"/>
      <c r="U645" s="9">
        <f>IF(Q645="","",IF(W645=0,"已付款PAID",IF(V645&gt;0,"部分核销","未付款N/P")))</f>
        <v/>
      </c>
      <c r="V645" s="10">
        <f>IF(G645="","",SUMIFS(回款核销!$H:$H,回款核销!$C:$C,G645)+SUMIFS(回款核销!$H:$H,回款核销!$B:$B,D645,回款核销!$C:$C,""))</f>
        <v/>
      </c>
      <c r="W645" s="10">
        <f>IF(Q645="","",MAX(0,Q645-V645))</f>
        <v/>
      </c>
      <c r="X645" s="9" t="n"/>
      <c r="Y645" s="10">
        <f>IF(OR(N645="",X645=""),"",N645*X645)</f>
        <v/>
      </c>
      <c r="Z645" s="10">
        <f>IF(OR(Q645="",Y645=""),"",Q645-Y645)</f>
        <v/>
      </c>
      <c r="AA645" s="9" t="n"/>
      <c r="AB645" s="9" t="n"/>
    </row>
    <row r="646" ht="22" customHeight="1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10">
        <f>IF(OR(N646="",P646=""),"",N646*P646)</f>
        <v/>
      </c>
      <c r="R646" s="9" t="n"/>
      <c r="S646" s="9" t="n"/>
      <c r="T646" s="9" t="n"/>
      <c r="U646" s="9">
        <f>IF(Q646="","",IF(W646=0,"已付款PAID",IF(V646&gt;0,"部分核销","未付款N/P")))</f>
        <v/>
      </c>
      <c r="V646" s="10">
        <f>IF(G646="","",SUMIFS(回款核销!$H:$H,回款核销!$C:$C,G646)+SUMIFS(回款核销!$H:$H,回款核销!$B:$B,D646,回款核销!$C:$C,""))</f>
        <v/>
      </c>
      <c r="W646" s="10">
        <f>IF(Q646="","",MAX(0,Q646-V646))</f>
        <v/>
      </c>
      <c r="X646" s="9" t="n"/>
      <c r="Y646" s="10">
        <f>IF(OR(N646="",X646=""),"",N646*X646)</f>
        <v/>
      </c>
      <c r="Z646" s="10">
        <f>IF(OR(Q646="",Y646=""),"",Q646-Y646)</f>
        <v/>
      </c>
      <c r="AA646" s="9" t="n"/>
      <c r="AB646" s="9" t="n"/>
    </row>
    <row r="647" ht="22" customHeight="1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10">
        <f>IF(OR(N647="",P647=""),"",N647*P647)</f>
        <v/>
      </c>
      <c r="R647" s="9" t="n"/>
      <c r="S647" s="9" t="n"/>
      <c r="T647" s="9" t="n"/>
      <c r="U647" s="9">
        <f>IF(Q647="","",IF(W647=0,"已付款PAID",IF(V647&gt;0,"部分核销","未付款N/P")))</f>
        <v/>
      </c>
      <c r="V647" s="10">
        <f>IF(G647="","",SUMIFS(回款核销!$H:$H,回款核销!$C:$C,G647)+SUMIFS(回款核销!$H:$H,回款核销!$B:$B,D647,回款核销!$C:$C,""))</f>
        <v/>
      </c>
      <c r="W647" s="10">
        <f>IF(Q647="","",MAX(0,Q647-V647))</f>
        <v/>
      </c>
      <c r="X647" s="9" t="n"/>
      <c r="Y647" s="10">
        <f>IF(OR(N647="",X647=""),"",N647*X647)</f>
        <v/>
      </c>
      <c r="Z647" s="10">
        <f>IF(OR(Q647="",Y647=""),"",Q647-Y647)</f>
        <v/>
      </c>
      <c r="AA647" s="9" t="n"/>
      <c r="AB647" s="9" t="n"/>
    </row>
    <row r="648" ht="22" customHeight="1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10">
        <f>IF(OR(N648="",P648=""),"",N648*P648)</f>
        <v/>
      </c>
      <c r="R648" s="9" t="n"/>
      <c r="S648" s="9" t="n"/>
      <c r="T648" s="9" t="n"/>
      <c r="U648" s="9">
        <f>IF(Q648="","",IF(W648=0,"已付款PAID",IF(V648&gt;0,"部分核销","未付款N/P")))</f>
        <v/>
      </c>
      <c r="V648" s="10">
        <f>IF(G648="","",SUMIFS(回款核销!$H:$H,回款核销!$C:$C,G648)+SUMIFS(回款核销!$H:$H,回款核销!$B:$B,D648,回款核销!$C:$C,""))</f>
        <v/>
      </c>
      <c r="W648" s="10">
        <f>IF(Q648="","",MAX(0,Q648-V648))</f>
        <v/>
      </c>
      <c r="X648" s="9" t="n"/>
      <c r="Y648" s="10">
        <f>IF(OR(N648="",X648=""),"",N648*X648)</f>
        <v/>
      </c>
      <c r="Z648" s="10">
        <f>IF(OR(Q648="",Y648=""),"",Q648-Y648)</f>
        <v/>
      </c>
      <c r="AA648" s="9" t="n"/>
      <c r="AB648" s="9" t="n"/>
    </row>
    <row r="649" ht="22" customHeight="1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10">
        <f>IF(OR(N649="",P649=""),"",N649*P649)</f>
        <v/>
      </c>
      <c r="R649" s="9" t="n"/>
      <c r="S649" s="9" t="n"/>
      <c r="T649" s="9" t="n"/>
      <c r="U649" s="9">
        <f>IF(Q649="","",IF(W649=0,"已付款PAID",IF(V649&gt;0,"部分核销","未付款N/P")))</f>
        <v/>
      </c>
      <c r="V649" s="10">
        <f>IF(G649="","",SUMIFS(回款核销!$H:$H,回款核销!$C:$C,G649)+SUMIFS(回款核销!$H:$H,回款核销!$B:$B,D649,回款核销!$C:$C,""))</f>
        <v/>
      </c>
      <c r="W649" s="10">
        <f>IF(Q649="","",MAX(0,Q649-V649))</f>
        <v/>
      </c>
      <c r="X649" s="9" t="n"/>
      <c r="Y649" s="10">
        <f>IF(OR(N649="",X649=""),"",N649*X649)</f>
        <v/>
      </c>
      <c r="Z649" s="10">
        <f>IF(OR(Q649="",Y649=""),"",Q649-Y649)</f>
        <v/>
      </c>
      <c r="AA649" s="9" t="n"/>
      <c r="AB649" s="9" t="n"/>
    </row>
    <row r="650" ht="22" customHeight="1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10">
        <f>IF(OR(N650="",P650=""),"",N650*P650)</f>
        <v/>
      </c>
      <c r="R650" s="9" t="n"/>
      <c r="S650" s="9" t="n"/>
      <c r="T650" s="9" t="n"/>
      <c r="U650" s="9">
        <f>IF(Q650="","",IF(W650=0,"已付款PAID",IF(V650&gt;0,"部分核销","未付款N/P")))</f>
        <v/>
      </c>
      <c r="V650" s="10">
        <f>IF(G650="","",SUMIFS(回款核销!$H:$H,回款核销!$C:$C,G650)+SUMIFS(回款核销!$H:$H,回款核销!$B:$B,D650,回款核销!$C:$C,""))</f>
        <v/>
      </c>
      <c r="W650" s="10">
        <f>IF(Q650="","",MAX(0,Q650-V650))</f>
        <v/>
      </c>
      <c r="X650" s="9" t="n"/>
      <c r="Y650" s="10">
        <f>IF(OR(N650="",X650=""),"",N650*X650)</f>
        <v/>
      </c>
      <c r="Z650" s="10">
        <f>IF(OR(Q650="",Y650=""),"",Q650-Y650)</f>
        <v/>
      </c>
      <c r="AA650" s="9" t="n"/>
      <c r="AB650" s="9" t="n"/>
    </row>
    <row r="651" ht="22" customHeight="1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10">
        <f>IF(OR(N651="",P651=""),"",N651*P651)</f>
        <v/>
      </c>
      <c r="R651" s="9" t="n"/>
      <c r="S651" s="9" t="n"/>
      <c r="T651" s="9" t="n"/>
      <c r="U651" s="9">
        <f>IF(Q651="","",IF(W651=0,"已付款PAID",IF(V651&gt;0,"部分核销","未付款N/P")))</f>
        <v/>
      </c>
      <c r="V651" s="10">
        <f>IF(G651="","",SUMIFS(回款核销!$H:$H,回款核销!$C:$C,G651)+SUMIFS(回款核销!$H:$H,回款核销!$B:$B,D651,回款核销!$C:$C,""))</f>
        <v/>
      </c>
      <c r="W651" s="10">
        <f>IF(Q651="","",MAX(0,Q651-V651))</f>
        <v/>
      </c>
      <c r="X651" s="9" t="n"/>
      <c r="Y651" s="10">
        <f>IF(OR(N651="",X651=""),"",N651*X651)</f>
        <v/>
      </c>
      <c r="Z651" s="10">
        <f>IF(OR(Q651="",Y651=""),"",Q651-Y651)</f>
        <v/>
      </c>
      <c r="AA651" s="9" t="n"/>
      <c r="AB651" s="9" t="n"/>
    </row>
    <row r="652" ht="22" customHeight="1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10">
        <f>IF(OR(N652="",P652=""),"",N652*P652)</f>
        <v/>
      </c>
      <c r="R652" s="9" t="n"/>
      <c r="S652" s="9" t="n"/>
      <c r="T652" s="9" t="n"/>
      <c r="U652" s="9">
        <f>IF(Q652="","",IF(W652=0,"已付款PAID",IF(V652&gt;0,"部分核销","未付款N/P")))</f>
        <v/>
      </c>
      <c r="V652" s="10">
        <f>IF(G652="","",SUMIFS(回款核销!$H:$H,回款核销!$C:$C,G652)+SUMIFS(回款核销!$H:$H,回款核销!$B:$B,D652,回款核销!$C:$C,""))</f>
        <v/>
      </c>
      <c r="W652" s="10">
        <f>IF(Q652="","",MAX(0,Q652-V652))</f>
        <v/>
      </c>
      <c r="X652" s="9" t="n"/>
      <c r="Y652" s="10">
        <f>IF(OR(N652="",X652=""),"",N652*X652)</f>
        <v/>
      </c>
      <c r="Z652" s="10">
        <f>IF(OR(Q652="",Y652=""),"",Q652-Y652)</f>
        <v/>
      </c>
      <c r="AA652" s="9" t="n"/>
      <c r="AB652" s="9" t="n"/>
    </row>
    <row r="653" ht="22" customHeight="1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10">
        <f>IF(OR(N653="",P653=""),"",N653*P653)</f>
        <v/>
      </c>
      <c r="R653" s="9" t="n"/>
      <c r="S653" s="9" t="n"/>
      <c r="T653" s="9" t="n"/>
      <c r="U653" s="9">
        <f>IF(Q653="","",IF(W653=0,"已付款PAID",IF(V653&gt;0,"部分核销","未付款N/P")))</f>
        <v/>
      </c>
      <c r="V653" s="10">
        <f>IF(G653="","",SUMIFS(回款核销!$H:$H,回款核销!$C:$C,G653)+SUMIFS(回款核销!$H:$H,回款核销!$B:$B,D653,回款核销!$C:$C,""))</f>
        <v/>
      </c>
      <c r="W653" s="10">
        <f>IF(Q653="","",MAX(0,Q653-V653))</f>
        <v/>
      </c>
      <c r="X653" s="9" t="n"/>
      <c r="Y653" s="10">
        <f>IF(OR(N653="",X653=""),"",N653*X653)</f>
        <v/>
      </c>
      <c r="Z653" s="10">
        <f>IF(OR(Q653="",Y653=""),"",Q653-Y653)</f>
        <v/>
      </c>
      <c r="AA653" s="9" t="n"/>
      <c r="AB653" s="9" t="n"/>
    </row>
    <row r="654" ht="22" customHeight="1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10">
        <f>IF(OR(N654="",P654=""),"",N654*P654)</f>
        <v/>
      </c>
      <c r="R654" s="9" t="n"/>
      <c r="S654" s="9" t="n"/>
      <c r="T654" s="9" t="n"/>
      <c r="U654" s="9">
        <f>IF(Q654="","",IF(W654=0,"已付款PAID",IF(V654&gt;0,"部分核销","未付款N/P")))</f>
        <v/>
      </c>
      <c r="V654" s="10">
        <f>IF(G654="","",SUMIFS(回款核销!$H:$H,回款核销!$C:$C,G654)+SUMIFS(回款核销!$H:$H,回款核销!$B:$B,D654,回款核销!$C:$C,""))</f>
        <v/>
      </c>
      <c r="W654" s="10">
        <f>IF(Q654="","",MAX(0,Q654-V654))</f>
        <v/>
      </c>
      <c r="X654" s="9" t="n"/>
      <c r="Y654" s="10">
        <f>IF(OR(N654="",X654=""),"",N654*X654)</f>
        <v/>
      </c>
      <c r="Z654" s="10">
        <f>IF(OR(Q654="",Y654=""),"",Q654-Y654)</f>
        <v/>
      </c>
      <c r="AA654" s="9" t="n"/>
      <c r="AB654" s="9" t="n"/>
    </row>
    <row r="655" ht="22" customHeight="1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10">
        <f>IF(OR(N655="",P655=""),"",N655*P655)</f>
        <v/>
      </c>
      <c r="R655" s="9" t="n"/>
      <c r="S655" s="9" t="n"/>
      <c r="T655" s="9" t="n"/>
      <c r="U655" s="9">
        <f>IF(Q655="","",IF(W655=0,"已付款PAID",IF(V655&gt;0,"部分核销","未付款N/P")))</f>
        <v/>
      </c>
      <c r="V655" s="10">
        <f>IF(G655="","",SUMIFS(回款核销!$H:$H,回款核销!$C:$C,G655)+SUMIFS(回款核销!$H:$H,回款核销!$B:$B,D655,回款核销!$C:$C,""))</f>
        <v/>
      </c>
      <c r="W655" s="10">
        <f>IF(Q655="","",MAX(0,Q655-V655))</f>
        <v/>
      </c>
      <c r="X655" s="9" t="n"/>
      <c r="Y655" s="10">
        <f>IF(OR(N655="",X655=""),"",N655*X655)</f>
        <v/>
      </c>
      <c r="Z655" s="10">
        <f>IF(OR(Q655="",Y655=""),"",Q655-Y655)</f>
        <v/>
      </c>
      <c r="AA655" s="9" t="n"/>
      <c r="AB655" s="9" t="n"/>
    </row>
    <row r="656" ht="22" customHeight="1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10">
        <f>IF(OR(N656="",P656=""),"",N656*P656)</f>
        <v/>
      </c>
      <c r="R656" s="9" t="n"/>
      <c r="S656" s="9" t="n"/>
      <c r="T656" s="9" t="n"/>
      <c r="U656" s="9">
        <f>IF(Q656="","",IF(W656=0,"已付款PAID",IF(V656&gt;0,"部分核销","未付款N/P")))</f>
        <v/>
      </c>
      <c r="V656" s="10">
        <f>IF(G656="","",SUMIFS(回款核销!$H:$H,回款核销!$C:$C,G656)+SUMIFS(回款核销!$H:$H,回款核销!$B:$B,D656,回款核销!$C:$C,""))</f>
        <v/>
      </c>
      <c r="W656" s="10">
        <f>IF(Q656="","",MAX(0,Q656-V656))</f>
        <v/>
      </c>
      <c r="X656" s="9" t="n"/>
      <c r="Y656" s="10">
        <f>IF(OR(N656="",X656=""),"",N656*X656)</f>
        <v/>
      </c>
      <c r="Z656" s="10">
        <f>IF(OR(Q656="",Y656=""),"",Q656-Y656)</f>
        <v/>
      </c>
      <c r="AA656" s="9" t="n"/>
      <c r="AB656" s="9" t="n"/>
    </row>
    <row r="657" ht="22" customHeight="1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10">
        <f>IF(OR(N657="",P657=""),"",N657*P657)</f>
        <v/>
      </c>
      <c r="R657" s="9" t="n"/>
      <c r="S657" s="9" t="n"/>
      <c r="T657" s="9" t="n"/>
      <c r="U657" s="9">
        <f>IF(Q657="","",IF(W657=0,"已付款PAID",IF(V657&gt;0,"部分核销","未付款N/P")))</f>
        <v/>
      </c>
      <c r="V657" s="10">
        <f>IF(G657="","",SUMIFS(回款核销!$H:$H,回款核销!$C:$C,G657)+SUMIFS(回款核销!$H:$H,回款核销!$B:$B,D657,回款核销!$C:$C,""))</f>
        <v/>
      </c>
      <c r="W657" s="10">
        <f>IF(Q657="","",MAX(0,Q657-V657))</f>
        <v/>
      </c>
      <c r="X657" s="9" t="n"/>
      <c r="Y657" s="10">
        <f>IF(OR(N657="",X657=""),"",N657*X657)</f>
        <v/>
      </c>
      <c r="Z657" s="10">
        <f>IF(OR(Q657="",Y657=""),"",Q657-Y657)</f>
        <v/>
      </c>
      <c r="AA657" s="9" t="n"/>
      <c r="AB657" s="9" t="n"/>
    </row>
    <row r="658" ht="22" customHeight="1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10">
        <f>IF(OR(N658="",P658=""),"",N658*P658)</f>
        <v/>
      </c>
      <c r="R658" s="9" t="n"/>
      <c r="S658" s="9" t="n"/>
      <c r="T658" s="9" t="n"/>
      <c r="U658" s="9">
        <f>IF(Q658="","",IF(W658=0,"已付款PAID",IF(V658&gt;0,"部分核销","未付款N/P")))</f>
        <v/>
      </c>
      <c r="V658" s="10">
        <f>IF(G658="","",SUMIFS(回款核销!$H:$H,回款核销!$C:$C,G658)+SUMIFS(回款核销!$H:$H,回款核销!$B:$B,D658,回款核销!$C:$C,""))</f>
        <v/>
      </c>
      <c r="W658" s="10">
        <f>IF(Q658="","",MAX(0,Q658-V658))</f>
        <v/>
      </c>
      <c r="X658" s="9" t="n"/>
      <c r="Y658" s="10">
        <f>IF(OR(N658="",X658=""),"",N658*X658)</f>
        <v/>
      </c>
      <c r="Z658" s="10">
        <f>IF(OR(Q658="",Y658=""),"",Q658-Y658)</f>
        <v/>
      </c>
      <c r="AA658" s="9" t="n"/>
      <c r="AB658" s="9" t="n"/>
    </row>
    <row r="659" ht="22" customHeight="1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10">
        <f>IF(OR(N659="",P659=""),"",N659*P659)</f>
        <v/>
      </c>
      <c r="R659" s="9" t="n"/>
      <c r="S659" s="9" t="n"/>
      <c r="T659" s="9" t="n"/>
      <c r="U659" s="9">
        <f>IF(Q659="","",IF(W659=0,"已付款PAID",IF(V659&gt;0,"部分核销","未付款N/P")))</f>
        <v/>
      </c>
      <c r="V659" s="10">
        <f>IF(G659="","",SUMIFS(回款核销!$H:$H,回款核销!$C:$C,G659)+SUMIFS(回款核销!$H:$H,回款核销!$B:$B,D659,回款核销!$C:$C,""))</f>
        <v/>
      </c>
      <c r="W659" s="10">
        <f>IF(Q659="","",MAX(0,Q659-V659))</f>
        <v/>
      </c>
      <c r="X659" s="9" t="n"/>
      <c r="Y659" s="10">
        <f>IF(OR(N659="",X659=""),"",N659*X659)</f>
        <v/>
      </c>
      <c r="Z659" s="10">
        <f>IF(OR(Q659="",Y659=""),"",Q659-Y659)</f>
        <v/>
      </c>
      <c r="AA659" s="9" t="n"/>
      <c r="AB659" s="9" t="n"/>
    </row>
    <row r="660" ht="22" customHeight="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10">
        <f>IF(OR(N660="",P660=""),"",N660*P660)</f>
        <v/>
      </c>
      <c r="R660" s="9" t="n"/>
      <c r="S660" s="9" t="n"/>
      <c r="T660" s="9" t="n"/>
      <c r="U660" s="9">
        <f>IF(Q660="","",IF(W660=0,"已付款PAID",IF(V660&gt;0,"部分核销","未付款N/P")))</f>
        <v/>
      </c>
      <c r="V660" s="10">
        <f>IF(G660="","",SUMIFS(回款核销!$H:$H,回款核销!$C:$C,G660)+SUMIFS(回款核销!$H:$H,回款核销!$B:$B,D660,回款核销!$C:$C,""))</f>
        <v/>
      </c>
      <c r="W660" s="10">
        <f>IF(Q660="","",MAX(0,Q660-V660))</f>
        <v/>
      </c>
      <c r="X660" s="9" t="n"/>
      <c r="Y660" s="10">
        <f>IF(OR(N660="",X660=""),"",N660*X660)</f>
        <v/>
      </c>
      <c r="Z660" s="10">
        <f>IF(OR(Q660="",Y660=""),"",Q660-Y660)</f>
        <v/>
      </c>
      <c r="AA660" s="9" t="n"/>
      <c r="AB660" s="9" t="n"/>
    </row>
    <row r="661" ht="22" customHeight="1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10">
        <f>IF(OR(N661="",P661=""),"",N661*P661)</f>
        <v/>
      </c>
      <c r="R661" s="9" t="n"/>
      <c r="S661" s="9" t="n"/>
      <c r="T661" s="9" t="n"/>
      <c r="U661" s="9">
        <f>IF(Q661="","",IF(W661=0,"已付款PAID",IF(V661&gt;0,"部分核销","未付款N/P")))</f>
        <v/>
      </c>
      <c r="V661" s="10">
        <f>IF(G661="","",SUMIFS(回款核销!$H:$H,回款核销!$C:$C,G661)+SUMIFS(回款核销!$H:$H,回款核销!$B:$B,D661,回款核销!$C:$C,""))</f>
        <v/>
      </c>
      <c r="W661" s="10">
        <f>IF(Q661="","",MAX(0,Q661-V661))</f>
        <v/>
      </c>
      <c r="X661" s="9" t="n"/>
      <c r="Y661" s="10">
        <f>IF(OR(N661="",X661=""),"",N661*X661)</f>
        <v/>
      </c>
      <c r="Z661" s="10">
        <f>IF(OR(Q661="",Y661=""),"",Q661-Y661)</f>
        <v/>
      </c>
      <c r="AA661" s="9" t="n"/>
      <c r="AB661" s="9" t="n"/>
    </row>
    <row r="662" ht="22" customHeight="1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10">
        <f>IF(OR(N662="",P662=""),"",N662*P662)</f>
        <v/>
      </c>
      <c r="R662" s="9" t="n"/>
      <c r="S662" s="9" t="n"/>
      <c r="T662" s="9" t="n"/>
      <c r="U662" s="9">
        <f>IF(Q662="","",IF(W662=0,"已付款PAID",IF(V662&gt;0,"部分核销","未付款N/P")))</f>
        <v/>
      </c>
      <c r="V662" s="10">
        <f>IF(G662="","",SUMIFS(回款核销!$H:$H,回款核销!$C:$C,G662)+SUMIFS(回款核销!$H:$H,回款核销!$B:$B,D662,回款核销!$C:$C,""))</f>
        <v/>
      </c>
      <c r="W662" s="10">
        <f>IF(Q662="","",MAX(0,Q662-V662))</f>
        <v/>
      </c>
      <c r="X662" s="9" t="n"/>
      <c r="Y662" s="10">
        <f>IF(OR(N662="",X662=""),"",N662*X662)</f>
        <v/>
      </c>
      <c r="Z662" s="10">
        <f>IF(OR(Q662="",Y662=""),"",Q662-Y662)</f>
        <v/>
      </c>
      <c r="AA662" s="9" t="n"/>
      <c r="AB662" s="9" t="n"/>
    </row>
    <row r="663" ht="22" customHeight="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10">
        <f>IF(OR(N663="",P663=""),"",N663*P663)</f>
        <v/>
      </c>
      <c r="R663" s="9" t="n"/>
      <c r="S663" s="9" t="n"/>
      <c r="T663" s="9" t="n"/>
      <c r="U663" s="9">
        <f>IF(Q663="","",IF(W663=0,"已付款PAID",IF(V663&gt;0,"部分核销","未付款N/P")))</f>
        <v/>
      </c>
      <c r="V663" s="10">
        <f>IF(G663="","",SUMIFS(回款核销!$H:$H,回款核销!$C:$C,G663)+SUMIFS(回款核销!$H:$H,回款核销!$B:$B,D663,回款核销!$C:$C,""))</f>
        <v/>
      </c>
      <c r="W663" s="10">
        <f>IF(Q663="","",MAX(0,Q663-V663))</f>
        <v/>
      </c>
      <c r="X663" s="9" t="n"/>
      <c r="Y663" s="10">
        <f>IF(OR(N663="",X663=""),"",N663*X663)</f>
        <v/>
      </c>
      <c r="Z663" s="10">
        <f>IF(OR(Q663="",Y663=""),"",Q663-Y663)</f>
        <v/>
      </c>
      <c r="AA663" s="9" t="n"/>
      <c r="AB663" s="9" t="n"/>
    </row>
    <row r="664" ht="22" customHeight="1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10">
        <f>IF(OR(N664="",P664=""),"",N664*P664)</f>
        <v/>
      </c>
      <c r="R664" s="9" t="n"/>
      <c r="S664" s="9" t="n"/>
      <c r="T664" s="9" t="n"/>
      <c r="U664" s="9">
        <f>IF(Q664="","",IF(W664=0,"已付款PAID",IF(V664&gt;0,"部分核销","未付款N/P")))</f>
        <v/>
      </c>
      <c r="V664" s="10">
        <f>IF(G664="","",SUMIFS(回款核销!$H:$H,回款核销!$C:$C,G664)+SUMIFS(回款核销!$H:$H,回款核销!$B:$B,D664,回款核销!$C:$C,""))</f>
        <v/>
      </c>
      <c r="W664" s="10">
        <f>IF(Q664="","",MAX(0,Q664-V664))</f>
        <v/>
      </c>
      <c r="X664" s="9" t="n"/>
      <c r="Y664" s="10">
        <f>IF(OR(N664="",X664=""),"",N664*X664)</f>
        <v/>
      </c>
      <c r="Z664" s="10">
        <f>IF(OR(Q664="",Y664=""),"",Q664-Y664)</f>
        <v/>
      </c>
      <c r="AA664" s="9" t="n"/>
      <c r="AB664" s="9" t="n"/>
    </row>
    <row r="665" ht="22" customHeight="1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10">
        <f>IF(OR(N665="",P665=""),"",N665*P665)</f>
        <v/>
      </c>
      <c r="R665" s="9" t="n"/>
      <c r="S665" s="9" t="n"/>
      <c r="T665" s="9" t="n"/>
      <c r="U665" s="9">
        <f>IF(Q665="","",IF(W665=0,"已付款PAID",IF(V665&gt;0,"部分核销","未付款N/P")))</f>
        <v/>
      </c>
      <c r="V665" s="10">
        <f>IF(G665="","",SUMIFS(回款核销!$H:$H,回款核销!$C:$C,G665)+SUMIFS(回款核销!$H:$H,回款核销!$B:$B,D665,回款核销!$C:$C,""))</f>
        <v/>
      </c>
      <c r="W665" s="10">
        <f>IF(Q665="","",MAX(0,Q665-V665))</f>
        <v/>
      </c>
      <c r="X665" s="9" t="n"/>
      <c r="Y665" s="10">
        <f>IF(OR(N665="",X665=""),"",N665*X665)</f>
        <v/>
      </c>
      <c r="Z665" s="10">
        <f>IF(OR(Q665="",Y665=""),"",Q665-Y665)</f>
        <v/>
      </c>
      <c r="AA665" s="9" t="n"/>
      <c r="AB665" s="9" t="n"/>
    </row>
    <row r="666" ht="22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10">
        <f>IF(OR(N666="",P666=""),"",N666*P666)</f>
        <v/>
      </c>
      <c r="R666" s="9" t="n"/>
      <c r="S666" s="9" t="n"/>
      <c r="T666" s="9" t="n"/>
      <c r="U666" s="9">
        <f>IF(Q666="","",IF(W666=0,"已付款PAID",IF(V666&gt;0,"部分核销","未付款N/P")))</f>
        <v/>
      </c>
      <c r="V666" s="10">
        <f>IF(G666="","",SUMIFS(回款核销!$H:$H,回款核销!$C:$C,G666)+SUMIFS(回款核销!$H:$H,回款核销!$B:$B,D666,回款核销!$C:$C,""))</f>
        <v/>
      </c>
      <c r="W666" s="10">
        <f>IF(Q666="","",MAX(0,Q666-V666))</f>
        <v/>
      </c>
      <c r="X666" s="9" t="n"/>
      <c r="Y666" s="10">
        <f>IF(OR(N666="",X666=""),"",N666*X666)</f>
        <v/>
      </c>
      <c r="Z666" s="10">
        <f>IF(OR(Q666="",Y666=""),"",Q666-Y666)</f>
        <v/>
      </c>
      <c r="AA666" s="9" t="n"/>
      <c r="AB666" s="9" t="n"/>
    </row>
    <row r="667" ht="22" customHeight="1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10">
        <f>IF(OR(N667="",P667=""),"",N667*P667)</f>
        <v/>
      </c>
      <c r="R667" s="9" t="n"/>
      <c r="S667" s="9" t="n"/>
      <c r="T667" s="9" t="n"/>
      <c r="U667" s="9">
        <f>IF(Q667="","",IF(W667=0,"已付款PAID",IF(V667&gt;0,"部分核销","未付款N/P")))</f>
        <v/>
      </c>
      <c r="V667" s="10">
        <f>IF(G667="","",SUMIFS(回款核销!$H:$H,回款核销!$C:$C,G667)+SUMIFS(回款核销!$H:$H,回款核销!$B:$B,D667,回款核销!$C:$C,""))</f>
        <v/>
      </c>
      <c r="W667" s="10">
        <f>IF(Q667="","",MAX(0,Q667-V667))</f>
        <v/>
      </c>
      <c r="X667" s="9" t="n"/>
      <c r="Y667" s="10">
        <f>IF(OR(N667="",X667=""),"",N667*X667)</f>
        <v/>
      </c>
      <c r="Z667" s="10">
        <f>IF(OR(Q667="",Y667=""),"",Q667-Y667)</f>
        <v/>
      </c>
      <c r="AA667" s="9" t="n"/>
      <c r="AB667" s="9" t="n"/>
    </row>
    <row r="668" ht="22" customHeight="1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10">
        <f>IF(OR(N668="",P668=""),"",N668*P668)</f>
        <v/>
      </c>
      <c r="R668" s="9" t="n"/>
      <c r="S668" s="9" t="n"/>
      <c r="T668" s="9" t="n"/>
      <c r="U668" s="9">
        <f>IF(Q668="","",IF(W668=0,"已付款PAID",IF(V668&gt;0,"部分核销","未付款N/P")))</f>
        <v/>
      </c>
      <c r="V668" s="10">
        <f>IF(G668="","",SUMIFS(回款核销!$H:$H,回款核销!$C:$C,G668)+SUMIFS(回款核销!$H:$H,回款核销!$B:$B,D668,回款核销!$C:$C,""))</f>
        <v/>
      </c>
      <c r="W668" s="10">
        <f>IF(Q668="","",MAX(0,Q668-V668))</f>
        <v/>
      </c>
      <c r="X668" s="9" t="n"/>
      <c r="Y668" s="10">
        <f>IF(OR(N668="",X668=""),"",N668*X668)</f>
        <v/>
      </c>
      <c r="Z668" s="10">
        <f>IF(OR(Q668="",Y668=""),"",Q668-Y668)</f>
        <v/>
      </c>
      <c r="AA668" s="9" t="n"/>
      <c r="AB668" s="9" t="n"/>
    </row>
    <row r="669" ht="22" customHeight="1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10">
        <f>IF(OR(N669="",P669=""),"",N669*P669)</f>
        <v/>
      </c>
      <c r="R669" s="9" t="n"/>
      <c r="S669" s="9" t="n"/>
      <c r="T669" s="9" t="n"/>
      <c r="U669" s="9">
        <f>IF(Q669="","",IF(W669=0,"已付款PAID",IF(V669&gt;0,"部分核销","未付款N/P")))</f>
        <v/>
      </c>
      <c r="V669" s="10">
        <f>IF(G669="","",SUMIFS(回款核销!$H:$H,回款核销!$C:$C,G669)+SUMIFS(回款核销!$H:$H,回款核销!$B:$B,D669,回款核销!$C:$C,""))</f>
        <v/>
      </c>
      <c r="W669" s="10">
        <f>IF(Q669="","",MAX(0,Q669-V669))</f>
        <v/>
      </c>
      <c r="X669" s="9" t="n"/>
      <c r="Y669" s="10">
        <f>IF(OR(N669="",X669=""),"",N669*X669)</f>
        <v/>
      </c>
      <c r="Z669" s="10">
        <f>IF(OR(Q669="",Y669=""),"",Q669-Y669)</f>
        <v/>
      </c>
      <c r="AA669" s="9" t="n"/>
      <c r="AB669" s="9" t="n"/>
    </row>
    <row r="670" ht="22" customHeight="1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10">
        <f>IF(OR(N670="",P670=""),"",N670*P670)</f>
        <v/>
      </c>
      <c r="R670" s="9" t="n"/>
      <c r="S670" s="9" t="n"/>
      <c r="T670" s="9" t="n"/>
      <c r="U670" s="9">
        <f>IF(Q670="","",IF(W670=0,"已付款PAID",IF(V670&gt;0,"部分核销","未付款N/P")))</f>
        <v/>
      </c>
      <c r="V670" s="10">
        <f>IF(G670="","",SUMIFS(回款核销!$H:$H,回款核销!$C:$C,G670)+SUMIFS(回款核销!$H:$H,回款核销!$B:$B,D670,回款核销!$C:$C,""))</f>
        <v/>
      </c>
      <c r="W670" s="10">
        <f>IF(Q670="","",MAX(0,Q670-V670))</f>
        <v/>
      </c>
      <c r="X670" s="9" t="n"/>
      <c r="Y670" s="10">
        <f>IF(OR(N670="",X670=""),"",N670*X670)</f>
        <v/>
      </c>
      <c r="Z670" s="10">
        <f>IF(OR(Q670="",Y670=""),"",Q670-Y670)</f>
        <v/>
      </c>
      <c r="AA670" s="9" t="n"/>
      <c r="AB670" s="9" t="n"/>
    </row>
    <row r="671" ht="22" customHeight="1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10">
        <f>IF(OR(N671="",P671=""),"",N671*P671)</f>
        <v/>
      </c>
      <c r="R671" s="9" t="n"/>
      <c r="S671" s="9" t="n"/>
      <c r="T671" s="9" t="n"/>
      <c r="U671" s="9">
        <f>IF(Q671="","",IF(W671=0,"已付款PAID",IF(V671&gt;0,"部分核销","未付款N/P")))</f>
        <v/>
      </c>
      <c r="V671" s="10">
        <f>IF(G671="","",SUMIFS(回款核销!$H:$H,回款核销!$C:$C,G671)+SUMIFS(回款核销!$H:$H,回款核销!$B:$B,D671,回款核销!$C:$C,""))</f>
        <v/>
      </c>
      <c r="W671" s="10">
        <f>IF(Q671="","",MAX(0,Q671-V671))</f>
        <v/>
      </c>
      <c r="X671" s="9" t="n"/>
      <c r="Y671" s="10">
        <f>IF(OR(N671="",X671=""),"",N671*X671)</f>
        <v/>
      </c>
      <c r="Z671" s="10">
        <f>IF(OR(Q671="",Y671=""),"",Q671-Y671)</f>
        <v/>
      </c>
      <c r="AA671" s="9" t="n"/>
      <c r="AB671" s="9" t="n"/>
    </row>
    <row r="672" ht="22" customHeight="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10">
        <f>IF(OR(N672="",P672=""),"",N672*P672)</f>
        <v/>
      </c>
      <c r="R672" s="9" t="n"/>
      <c r="S672" s="9" t="n"/>
      <c r="T672" s="9" t="n"/>
      <c r="U672" s="9">
        <f>IF(Q672="","",IF(W672=0,"已付款PAID",IF(V672&gt;0,"部分核销","未付款N/P")))</f>
        <v/>
      </c>
      <c r="V672" s="10">
        <f>IF(G672="","",SUMIFS(回款核销!$H:$H,回款核销!$C:$C,G672)+SUMIFS(回款核销!$H:$H,回款核销!$B:$B,D672,回款核销!$C:$C,""))</f>
        <v/>
      </c>
      <c r="W672" s="10">
        <f>IF(Q672="","",MAX(0,Q672-V672))</f>
        <v/>
      </c>
      <c r="X672" s="9" t="n"/>
      <c r="Y672" s="10">
        <f>IF(OR(N672="",X672=""),"",N672*X672)</f>
        <v/>
      </c>
      <c r="Z672" s="10">
        <f>IF(OR(Q672="",Y672=""),"",Q672-Y672)</f>
        <v/>
      </c>
      <c r="AA672" s="9" t="n"/>
      <c r="AB672" s="9" t="n"/>
    </row>
    <row r="673" ht="22" customHeight="1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10">
        <f>IF(OR(N673="",P673=""),"",N673*P673)</f>
        <v/>
      </c>
      <c r="R673" s="9" t="n"/>
      <c r="S673" s="9" t="n"/>
      <c r="T673" s="9" t="n"/>
      <c r="U673" s="9">
        <f>IF(Q673="","",IF(W673=0,"已付款PAID",IF(V673&gt;0,"部分核销","未付款N/P")))</f>
        <v/>
      </c>
      <c r="V673" s="10">
        <f>IF(G673="","",SUMIFS(回款核销!$H:$H,回款核销!$C:$C,G673)+SUMIFS(回款核销!$H:$H,回款核销!$B:$B,D673,回款核销!$C:$C,""))</f>
        <v/>
      </c>
      <c r="W673" s="10">
        <f>IF(Q673="","",MAX(0,Q673-V673))</f>
        <v/>
      </c>
      <c r="X673" s="9" t="n"/>
      <c r="Y673" s="10">
        <f>IF(OR(N673="",X673=""),"",N673*X673)</f>
        <v/>
      </c>
      <c r="Z673" s="10">
        <f>IF(OR(Q673="",Y673=""),"",Q673-Y673)</f>
        <v/>
      </c>
      <c r="AA673" s="9" t="n"/>
      <c r="AB673" s="9" t="n"/>
    </row>
    <row r="674" ht="22" customHeight="1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10">
        <f>IF(OR(N674="",P674=""),"",N674*P674)</f>
        <v/>
      </c>
      <c r="R674" s="9" t="n"/>
      <c r="S674" s="9" t="n"/>
      <c r="T674" s="9" t="n"/>
      <c r="U674" s="9">
        <f>IF(Q674="","",IF(W674=0,"已付款PAID",IF(V674&gt;0,"部分核销","未付款N/P")))</f>
        <v/>
      </c>
      <c r="V674" s="10">
        <f>IF(G674="","",SUMIFS(回款核销!$H:$H,回款核销!$C:$C,G674)+SUMIFS(回款核销!$H:$H,回款核销!$B:$B,D674,回款核销!$C:$C,""))</f>
        <v/>
      </c>
      <c r="W674" s="10">
        <f>IF(Q674="","",MAX(0,Q674-V674))</f>
        <v/>
      </c>
      <c r="X674" s="9" t="n"/>
      <c r="Y674" s="10">
        <f>IF(OR(N674="",X674=""),"",N674*X674)</f>
        <v/>
      </c>
      <c r="Z674" s="10">
        <f>IF(OR(Q674="",Y674=""),"",Q674-Y674)</f>
        <v/>
      </c>
      <c r="AA674" s="9" t="n"/>
      <c r="AB674" s="9" t="n"/>
    </row>
    <row r="675" ht="22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10">
        <f>IF(OR(N675="",P675=""),"",N675*P675)</f>
        <v/>
      </c>
      <c r="R675" s="9" t="n"/>
      <c r="S675" s="9" t="n"/>
      <c r="T675" s="9" t="n"/>
      <c r="U675" s="9">
        <f>IF(Q675="","",IF(W675=0,"已付款PAID",IF(V675&gt;0,"部分核销","未付款N/P")))</f>
        <v/>
      </c>
      <c r="V675" s="10">
        <f>IF(G675="","",SUMIFS(回款核销!$H:$H,回款核销!$C:$C,G675)+SUMIFS(回款核销!$H:$H,回款核销!$B:$B,D675,回款核销!$C:$C,""))</f>
        <v/>
      </c>
      <c r="W675" s="10">
        <f>IF(Q675="","",MAX(0,Q675-V675))</f>
        <v/>
      </c>
      <c r="X675" s="9" t="n"/>
      <c r="Y675" s="10">
        <f>IF(OR(N675="",X675=""),"",N675*X675)</f>
        <v/>
      </c>
      <c r="Z675" s="10">
        <f>IF(OR(Q675="",Y675=""),"",Q675-Y675)</f>
        <v/>
      </c>
      <c r="AA675" s="9" t="n"/>
      <c r="AB675" s="9" t="n"/>
    </row>
    <row r="676" ht="22" customHeight="1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10">
        <f>IF(OR(N676="",P676=""),"",N676*P676)</f>
        <v/>
      </c>
      <c r="R676" s="9" t="n"/>
      <c r="S676" s="9" t="n"/>
      <c r="T676" s="9" t="n"/>
      <c r="U676" s="9">
        <f>IF(Q676="","",IF(W676=0,"已付款PAID",IF(V676&gt;0,"部分核销","未付款N/P")))</f>
        <v/>
      </c>
      <c r="V676" s="10">
        <f>IF(G676="","",SUMIFS(回款核销!$H:$H,回款核销!$C:$C,G676)+SUMIFS(回款核销!$H:$H,回款核销!$B:$B,D676,回款核销!$C:$C,""))</f>
        <v/>
      </c>
      <c r="W676" s="10">
        <f>IF(Q676="","",MAX(0,Q676-V676))</f>
        <v/>
      </c>
      <c r="X676" s="9" t="n"/>
      <c r="Y676" s="10">
        <f>IF(OR(N676="",X676=""),"",N676*X676)</f>
        <v/>
      </c>
      <c r="Z676" s="10">
        <f>IF(OR(Q676="",Y676=""),"",Q676-Y676)</f>
        <v/>
      </c>
      <c r="AA676" s="9" t="n"/>
      <c r="AB676" s="9" t="n"/>
    </row>
    <row r="677" ht="22" customHeight="1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10">
        <f>IF(OR(N677="",P677=""),"",N677*P677)</f>
        <v/>
      </c>
      <c r="R677" s="9" t="n"/>
      <c r="S677" s="9" t="n"/>
      <c r="T677" s="9" t="n"/>
      <c r="U677" s="9">
        <f>IF(Q677="","",IF(W677=0,"已付款PAID",IF(V677&gt;0,"部分核销","未付款N/P")))</f>
        <v/>
      </c>
      <c r="V677" s="10">
        <f>IF(G677="","",SUMIFS(回款核销!$H:$H,回款核销!$C:$C,G677)+SUMIFS(回款核销!$H:$H,回款核销!$B:$B,D677,回款核销!$C:$C,""))</f>
        <v/>
      </c>
      <c r="W677" s="10">
        <f>IF(Q677="","",MAX(0,Q677-V677))</f>
        <v/>
      </c>
      <c r="X677" s="9" t="n"/>
      <c r="Y677" s="10">
        <f>IF(OR(N677="",X677=""),"",N677*X677)</f>
        <v/>
      </c>
      <c r="Z677" s="10">
        <f>IF(OR(Q677="",Y677=""),"",Q677-Y677)</f>
        <v/>
      </c>
      <c r="AA677" s="9" t="n"/>
      <c r="AB677" s="9" t="n"/>
    </row>
    <row r="678" ht="22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10">
        <f>IF(OR(N678="",P678=""),"",N678*P678)</f>
        <v/>
      </c>
      <c r="R678" s="9" t="n"/>
      <c r="S678" s="9" t="n"/>
      <c r="T678" s="9" t="n"/>
      <c r="U678" s="9">
        <f>IF(Q678="","",IF(W678=0,"已付款PAID",IF(V678&gt;0,"部分核销","未付款N/P")))</f>
        <v/>
      </c>
      <c r="V678" s="10">
        <f>IF(G678="","",SUMIFS(回款核销!$H:$H,回款核销!$C:$C,G678)+SUMIFS(回款核销!$H:$H,回款核销!$B:$B,D678,回款核销!$C:$C,""))</f>
        <v/>
      </c>
      <c r="W678" s="10">
        <f>IF(Q678="","",MAX(0,Q678-V678))</f>
        <v/>
      </c>
      <c r="X678" s="9" t="n"/>
      <c r="Y678" s="10">
        <f>IF(OR(N678="",X678=""),"",N678*X678)</f>
        <v/>
      </c>
      <c r="Z678" s="10">
        <f>IF(OR(Q678="",Y678=""),"",Q678-Y678)</f>
        <v/>
      </c>
      <c r="AA678" s="9" t="n"/>
      <c r="AB678" s="9" t="n"/>
    </row>
    <row r="679" ht="22" customHeight="1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10">
        <f>IF(OR(N679="",P679=""),"",N679*P679)</f>
        <v/>
      </c>
      <c r="R679" s="9" t="n"/>
      <c r="S679" s="9" t="n"/>
      <c r="T679" s="9" t="n"/>
      <c r="U679" s="9">
        <f>IF(Q679="","",IF(W679=0,"已付款PAID",IF(V679&gt;0,"部分核销","未付款N/P")))</f>
        <v/>
      </c>
      <c r="V679" s="10">
        <f>IF(G679="","",SUMIFS(回款核销!$H:$H,回款核销!$C:$C,G679)+SUMIFS(回款核销!$H:$H,回款核销!$B:$B,D679,回款核销!$C:$C,""))</f>
        <v/>
      </c>
      <c r="W679" s="10">
        <f>IF(Q679="","",MAX(0,Q679-V679))</f>
        <v/>
      </c>
      <c r="X679" s="9" t="n"/>
      <c r="Y679" s="10">
        <f>IF(OR(N679="",X679=""),"",N679*X679)</f>
        <v/>
      </c>
      <c r="Z679" s="10">
        <f>IF(OR(Q679="",Y679=""),"",Q679-Y679)</f>
        <v/>
      </c>
      <c r="AA679" s="9" t="n"/>
      <c r="AB679" s="9" t="n"/>
    </row>
    <row r="680" ht="22" customHeight="1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10">
        <f>IF(OR(N680="",P680=""),"",N680*P680)</f>
        <v/>
      </c>
      <c r="R680" s="9" t="n"/>
      <c r="S680" s="9" t="n"/>
      <c r="T680" s="9" t="n"/>
      <c r="U680" s="9">
        <f>IF(Q680="","",IF(W680=0,"已付款PAID",IF(V680&gt;0,"部分核销","未付款N/P")))</f>
        <v/>
      </c>
      <c r="V680" s="10">
        <f>IF(G680="","",SUMIFS(回款核销!$H:$H,回款核销!$C:$C,G680)+SUMIFS(回款核销!$H:$H,回款核销!$B:$B,D680,回款核销!$C:$C,""))</f>
        <v/>
      </c>
      <c r="W680" s="10">
        <f>IF(Q680="","",MAX(0,Q680-V680))</f>
        <v/>
      </c>
      <c r="X680" s="9" t="n"/>
      <c r="Y680" s="10">
        <f>IF(OR(N680="",X680=""),"",N680*X680)</f>
        <v/>
      </c>
      <c r="Z680" s="10">
        <f>IF(OR(Q680="",Y680=""),"",Q680-Y680)</f>
        <v/>
      </c>
      <c r="AA680" s="9" t="n"/>
      <c r="AB680" s="9" t="n"/>
    </row>
    <row r="681" ht="22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10">
        <f>IF(OR(N681="",P681=""),"",N681*P681)</f>
        <v/>
      </c>
      <c r="R681" s="9" t="n"/>
      <c r="S681" s="9" t="n"/>
      <c r="T681" s="9" t="n"/>
      <c r="U681" s="9">
        <f>IF(Q681="","",IF(W681=0,"已付款PAID",IF(V681&gt;0,"部分核销","未付款N/P")))</f>
        <v/>
      </c>
      <c r="V681" s="10">
        <f>IF(G681="","",SUMIFS(回款核销!$H:$H,回款核销!$C:$C,G681)+SUMIFS(回款核销!$H:$H,回款核销!$B:$B,D681,回款核销!$C:$C,""))</f>
        <v/>
      </c>
      <c r="W681" s="10">
        <f>IF(Q681="","",MAX(0,Q681-V681))</f>
        <v/>
      </c>
      <c r="X681" s="9" t="n"/>
      <c r="Y681" s="10">
        <f>IF(OR(N681="",X681=""),"",N681*X681)</f>
        <v/>
      </c>
      <c r="Z681" s="10">
        <f>IF(OR(Q681="",Y681=""),"",Q681-Y681)</f>
        <v/>
      </c>
      <c r="AA681" s="9" t="n"/>
      <c r="AB681" s="9" t="n"/>
    </row>
    <row r="682" ht="22" customHeight="1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10">
        <f>IF(OR(N682="",P682=""),"",N682*P682)</f>
        <v/>
      </c>
      <c r="R682" s="9" t="n"/>
      <c r="S682" s="9" t="n"/>
      <c r="T682" s="9" t="n"/>
      <c r="U682" s="9">
        <f>IF(Q682="","",IF(W682=0,"已付款PAID",IF(V682&gt;0,"部分核销","未付款N/P")))</f>
        <v/>
      </c>
      <c r="V682" s="10">
        <f>IF(G682="","",SUMIFS(回款核销!$H:$H,回款核销!$C:$C,G682)+SUMIFS(回款核销!$H:$H,回款核销!$B:$B,D682,回款核销!$C:$C,""))</f>
        <v/>
      </c>
      <c r="W682" s="10">
        <f>IF(Q682="","",MAX(0,Q682-V682))</f>
        <v/>
      </c>
      <c r="X682" s="9" t="n"/>
      <c r="Y682" s="10">
        <f>IF(OR(N682="",X682=""),"",N682*X682)</f>
        <v/>
      </c>
      <c r="Z682" s="10">
        <f>IF(OR(Q682="",Y682=""),"",Q682-Y682)</f>
        <v/>
      </c>
      <c r="AA682" s="9" t="n"/>
      <c r="AB682" s="9" t="n"/>
    </row>
    <row r="683" ht="22" customHeight="1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10">
        <f>IF(OR(N683="",P683=""),"",N683*P683)</f>
        <v/>
      </c>
      <c r="R683" s="9" t="n"/>
      <c r="S683" s="9" t="n"/>
      <c r="T683" s="9" t="n"/>
      <c r="U683" s="9">
        <f>IF(Q683="","",IF(W683=0,"已付款PAID",IF(V683&gt;0,"部分核销","未付款N/P")))</f>
        <v/>
      </c>
      <c r="V683" s="10">
        <f>IF(G683="","",SUMIFS(回款核销!$H:$H,回款核销!$C:$C,G683)+SUMIFS(回款核销!$H:$H,回款核销!$B:$B,D683,回款核销!$C:$C,""))</f>
        <v/>
      </c>
      <c r="W683" s="10">
        <f>IF(Q683="","",MAX(0,Q683-V683))</f>
        <v/>
      </c>
      <c r="X683" s="9" t="n"/>
      <c r="Y683" s="10">
        <f>IF(OR(N683="",X683=""),"",N683*X683)</f>
        <v/>
      </c>
      <c r="Z683" s="10">
        <f>IF(OR(Q683="",Y683=""),"",Q683-Y683)</f>
        <v/>
      </c>
      <c r="AA683" s="9" t="n"/>
      <c r="AB683" s="9" t="n"/>
    </row>
    <row r="684" ht="22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10">
        <f>IF(OR(N684="",P684=""),"",N684*P684)</f>
        <v/>
      </c>
      <c r="R684" s="9" t="n"/>
      <c r="S684" s="9" t="n"/>
      <c r="T684" s="9" t="n"/>
      <c r="U684" s="9">
        <f>IF(Q684="","",IF(W684=0,"已付款PAID",IF(V684&gt;0,"部分核销","未付款N/P")))</f>
        <v/>
      </c>
      <c r="V684" s="10">
        <f>IF(G684="","",SUMIFS(回款核销!$H:$H,回款核销!$C:$C,G684)+SUMIFS(回款核销!$H:$H,回款核销!$B:$B,D684,回款核销!$C:$C,""))</f>
        <v/>
      </c>
      <c r="W684" s="10">
        <f>IF(Q684="","",MAX(0,Q684-V684))</f>
        <v/>
      </c>
      <c r="X684" s="9" t="n"/>
      <c r="Y684" s="10">
        <f>IF(OR(N684="",X684=""),"",N684*X684)</f>
        <v/>
      </c>
      <c r="Z684" s="10">
        <f>IF(OR(Q684="",Y684=""),"",Q684-Y684)</f>
        <v/>
      </c>
      <c r="AA684" s="9" t="n"/>
      <c r="AB684" s="9" t="n"/>
    </row>
    <row r="685" ht="22" customHeight="1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10">
        <f>IF(OR(N685="",P685=""),"",N685*P685)</f>
        <v/>
      </c>
      <c r="R685" s="9" t="n"/>
      <c r="S685" s="9" t="n"/>
      <c r="T685" s="9" t="n"/>
      <c r="U685" s="9">
        <f>IF(Q685="","",IF(W685=0,"已付款PAID",IF(V685&gt;0,"部分核销","未付款N/P")))</f>
        <v/>
      </c>
      <c r="V685" s="10">
        <f>IF(G685="","",SUMIFS(回款核销!$H:$H,回款核销!$C:$C,G685)+SUMIFS(回款核销!$H:$H,回款核销!$B:$B,D685,回款核销!$C:$C,""))</f>
        <v/>
      </c>
      <c r="W685" s="10">
        <f>IF(Q685="","",MAX(0,Q685-V685))</f>
        <v/>
      </c>
      <c r="X685" s="9" t="n"/>
      <c r="Y685" s="10">
        <f>IF(OR(N685="",X685=""),"",N685*X685)</f>
        <v/>
      </c>
      <c r="Z685" s="10">
        <f>IF(OR(Q685="",Y685=""),"",Q685-Y685)</f>
        <v/>
      </c>
      <c r="AA685" s="9" t="n"/>
      <c r="AB685" s="9" t="n"/>
    </row>
    <row r="686" ht="22" customHeight="1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10">
        <f>IF(OR(N686="",P686=""),"",N686*P686)</f>
        <v/>
      </c>
      <c r="R686" s="9" t="n"/>
      <c r="S686" s="9" t="n"/>
      <c r="T686" s="9" t="n"/>
      <c r="U686" s="9">
        <f>IF(Q686="","",IF(W686=0,"已付款PAID",IF(V686&gt;0,"部分核销","未付款N/P")))</f>
        <v/>
      </c>
      <c r="V686" s="10">
        <f>IF(G686="","",SUMIFS(回款核销!$H:$H,回款核销!$C:$C,G686)+SUMIFS(回款核销!$H:$H,回款核销!$B:$B,D686,回款核销!$C:$C,""))</f>
        <v/>
      </c>
      <c r="W686" s="10">
        <f>IF(Q686="","",MAX(0,Q686-V686))</f>
        <v/>
      </c>
      <c r="X686" s="9" t="n"/>
      <c r="Y686" s="10">
        <f>IF(OR(N686="",X686=""),"",N686*X686)</f>
        <v/>
      </c>
      <c r="Z686" s="10">
        <f>IF(OR(Q686="",Y686=""),"",Q686-Y686)</f>
        <v/>
      </c>
      <c r="AA686" s="9" t="n"/>
      <c r="AB686" s="9" t="n"/>
    </row>
    <row r="687" ht="22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10">
        <f>IF(OR(N687="",P687=""),"",N687*P687)</f>
        <v/>
      </c>
      <c r="R687" s="9" t="n"/>
      <c r="S687" s="9" t="n"/>
      <c r="T687" s="9" t="n"/>
      <c r="U687" s="9">
        <f>IF(Q687="","",IF(W687=0,"已付款PAID",IF(V687&gt;0,"部分核销","未付款N/P")))</f>
        <v/>
      </c>
      <c r="V687" s="10">
        <f>IF(G687="","",SUMIFS(回款核销!$H:$H,回款核销!$C:$C,G687)+SUMIFS(回款核销!$H:$H,回款核销!$B:$B,D687,回款核销!$C:$C,""))</f>
        <v/>
      </c>
      <c r="W687" s="10">
        <f>IF(Q687="","",MAX(0,Q687-V687))</f>
        <v/>
      </c>
      <c r="X687" s="9" t="n"/>
      <c r="Y687" s="10">
        <f>IF(OR(N687="",X687=""),"",N687*X687)</f>
        <v/>
      </c>
      <c r="Z687" s="10">
        <f>IF(OR(Q687="",Y687=""),"",Q687-Y687)</f>
        <v/>
      </c>
      <c r="AA687" s="9" t="n"/>
      <c r="AB687" s="9" t="n"/>
    </row>
    <row r="688" ht="22" customHeight="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10">
        <f>IF(OR(N688="",P688=""),"",N688*P688)</f>
        <v/>
      </c>
      <c r="R688" s="9" t="n"/>
      <c r="S688" s="9" t="n"/>
      <c r="T688" s="9" t="n"/>
      <c r="U688" s="9">
        <f>IF(Q688="","",IF(W688=0,"已付款PAID",IF(V688&gt;0,"部分核销","未付款N/P")))</f>
        <v/>
      </c>
      <c r="V688" s="10">
        <f>IF(G688="","",SUMIFS(回款核销!$H:$H,回款核销!$C:$C,G688)+SUMIFS(回款核销!$H:$H,回款核销!$B:$B,D688,回款核销!$C:$C,""))</f>
        <v/>
      </c>
      <c r="W688" s="10">
        <f>IF(Q688="","",MAX(0,Q688-V688))</f>
        <v/>
      </c>
      <c r="X688" s="9" t="n"/>
      <c r="Y688" s="10">
        <f>IF(OR(N688="",X688=""),"",N688*X688)</f>
        <v/>
      </c>
      <c r="Z688" s="10">
        <f>IF(OR(Q688="",Y688=""),"",Q688-Y688)</f>
        <v/>
      </c>
      <c r="AA688" s="9" t="n"/>
      <c r="AB688" s="9" t="n"/>
    </row>
    <row r="689" ht="22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10">
        <f>IF(OR(N689="",P689=""),"",N689*P689)</f>
        <v/>
      </c>
      <c r="R689" s="9" t="n"/>
      <c r="S689" s="9" t="n"/>
      <c r="T689" s="9" t="n"/>
      <c r="U689" s="9">
        <f>IF(Q689="","",IF(W689=0,"已付款PAID",IF(V689&gt;0,"部分核销","未付款N/P")))</f>
        <v/>
      </c>
      <c r="V689" s="10">
        <f>IF(G689="","",SUMIFS(回款核销!$H:$H,回款核销!$C:$C,G689)+SUMIFS(回款核销!$H:$H,回款核销!$B:$B,D689,回款核销!$C:$C,""))</f>
        <v/>
      </c>
      <c r="W689" s="10">
        <f>IF(Q689="","",MAX(0,Q689-V689))</f>
        <v/>
      </c>
      <c r="X689" s="9" t="n"/>
      <c r="Y689" s="10">
        <f>IF(OR(N689="",X689=""),"",N689*X689)</f>
        <v/>
      </c>
      <c r="Z689" s="10">
        <f>IF(OR(Q689="",Y689=""),"",Q689-Y689)</f>
        <v/>
      </c>
      <c r="AA689" s="9" t="n"/>
      <c r="AB689" s="9" t="n"/>
    </row>
    <row r="690" ht="22" customHeight="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10">
        <f>IF(OR(N690="",P690=""),"",N690*P690)</f>
        <v/>
      </c>
      <c r="R690" s="9" t="n"/>
      <c r="S690" s="9" t="n"/>
      <c r="T690" s="9" t="n"/>
      <c r="U690" s="9">
        <f>IF(Q690="","",IF(W690=0,"已付款PAID",IF(V690&gt;0,"部分核销","未付款N/P")))</f>
        <v/>
      </c>
      <c r="V690" s="10">
        <f>IF(G690="","",SUMIFS(回款核销!$H:$H,回款核销!$C:$C,G690)+SUMIFS(回款核销!$H:$H,回款核销!$B:$B,D690,回款核销!$C:$C,""))</f>
        <v/>
      </c>
      <c r="W690" s="10">
        <f>IF(Q690="","",MAX(0,Q690-V690))</f>
        <v/>
      </c>
      <c r="X690" s="9" t="n"/>
      <c r="Y690" s="10">
        <f>IF(OR(N690="",X690=""),"",N690*X690)</f>
        <v/>
      </c>
      <c r="Z690" s="10">
        <f>IF(OR(Q690="",Y690=""),"",Q690-Y690)</f>
        <v/>
      </c>
      <c r="AA690" s="9" t="n"/>
      <c r="AB690" s="9" t="n"/>
    </row>
    <row r="691" ht="22" customHeight="1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10">
        <f>IF(OR(N691="",P691=""),"",N691*P691)</f>
        <v/>
      </c>
      <c r="R691" s="9" t="n"/>
      <c r="S691" s="9" t="n"/>
      <c r="T691" s="9" t="n"/>
      <c r="U691" s="9">
        <f>IF(Q691="","",IF(W691=0,"已付款PAID",IF(V691&gt;0,"部分核销","未付款N/P")))</f>
        <v/>
      </c>
      <c r="V691" s="10">
        <f>IF(G691="","",SUMIFS(回款核销!$H:$H,回款核销!$C:$C,G691)+SUMIFS(回款核销!$H:$H,回款核销!$B:$B,D691,回款核销!$C:$C,""))</f>
        <v/>
      </c>
      <c r="W691" s="10">
        <f>IF(Q691="","",MAX(0,Q691-V691))</f>
        <v/>
      </c>
      <c r="X691" s="9" t="n"/>
      <c r="Y691" s="10">
        <f>IF(OR(N691="",X691=""),"",N691*X691)</f>
        <v/>
      </c>
      <c r="Z691" s="10">
        <f>IF(OR(Q691="",Y691=""),"",Q691-Y691)</f>
        <v/>
      </c>
      <c r="AA691" s="9" t="n"/>
      <c r="AB691" s="9" t="n"/>
    </row>
    <row r="692" ht="22" customHeight="1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10">
        <f>IF(OR(N692="",P692=""),"",N692*P692)</f>
        <v/>
      </c>
      <c r="R692" s="9" t="n"/>
      <c r="S692" s="9" t="n"/>
      <c r="T692" s="9" t="n"/>
      <c r="U692" s="9">
        <f>IF(Q692="","",IF(W692=0,"已付款PAID",IF(V692&gt;0,"部分核销","未付款N/P")))</f>
        <v/>
      </c>
      <c r="V692" s="10">
        <f>IF(G692="","",SUMIFS(回款核销!$H:$H,回款核销!$C:$C,G692)+SUMIFS(回款核销!$H:$H,回款核销!$B:$B,D692,回款核销!$C:$C,""))</f>
        <v/>
      </c>
      <c r="W692" s="10">
        <f>IF(Q692="","",MAX(0,Q692-V692))</f>
        <v/>
      </c>
      <c r="X692" s="9" t="n"/>
      <c r="Y692" s="10">
        <f>IF(OR(N692="",X692=""),"",N692*X692)</f>
        <v/>
      </c>
      <c r="Z692" s="10">
        <f>IF(OR(Q692="",Y692=""),"",Q692-Y692)</f>
        <v/>
      </c>
      <c r="AA692" s="9" t="n"/>
      <c r="AB692" s="9" t="n"/>
    </row>
    <row r="693" ht="22" customHeight="1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10">
        <f>IF(OR(N693="",P693=""),"",N693*P693)</f>
        <v/>
      </c>
      <c r="R693" s="9" t="n"/>
      <c r="S693" s="9" t="n"/>
      <c r="T693" s="9" t="n"/>
      <c r="U693" s="9">
        <f>IF(Q693="","",IF(W693=0,"已付款PAID",IF(V693&gt;0,"部分核销","未付款N/P")))</f>
        <v/>
      </c>
      <c r="V693" s="10">
        <f>IF(G693="","",SUMIFS(回款核销!$H:$H,回款核销!$C:$C,G693)+SUMIFS(回款核销!$H:$H,回款核销!$B:$B,D693,回款核销!$C:$C,""))</f>
        <v/>
      </c>
      <c r="W693" s="10">
        <f>IF(Q693="","",MAX(0,Q693-V693))</f>
        <v/>
      </c>
      <c r="X693" s="9" t="n"/>
      <c r="Y693" s="10">
        <f>IF(OR(N693="",X693=""),"",N693*X693)</f>
        <v/>
      </c>
      <c r="Z693" s="10">
        <f>IF(OR(Q693="",Y693=""),"",Q693-Y693)</f>
        <v/>
      </c>
      <c r="AA693" s="9" t="n"/>
      <c r="AB693" s="9" t="n"/>
    </row>
    <row r="694" ht="22" customHeight="1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10">
        <f>IF(OR(N694="",P694=""),"",N694*P694)</f>
        <v/>
      </c>
      <c r="R694" s="9" t="n"/>
      <c r="S694" s="9" t="n"/>
      <c r="T694" s="9" t="n"/>
      <c r="U694" s="9">
        <f>IF(Q694="","",IF(W694=0,"已付款PAID",IF(V694&gt;0,"部分核销","未付款N/P")))</f>
        <v/>
      </c>
      <c r="V694" s="10">
        <f>IF(G694="","",SUMIFS(回款核销!$H:$H,回款核销!$C:$C,G694)+SUMIFS(回款核销!$H:$H,回款核销!$B:$B,D694,回款核销!$C:$C,""))</f>
        <v/>
      </c>
      <c r="W694" s="10">
        <f>IF(Q694="","",MAX(0,Q694-V694))</f>
        <v/>
      </c>
      <c r="X694" s="9" t="n"/>
      <c r="Y694" s="10">
        <f>IF(OR(N694="",X694=""),"",N694*X694)</f>
        <v/>
      </c>
      <c r="Z694" s="10">
        <f>IF(OR(Q694="",Y694=""),"",Q694-Y694)</f>
        <v/>
      </c>
      <c r="AA694" s="9" t="n"/>
      <c r="AB694" s="9" t="n"/>
    </row>
    <row r="695" ht="22" customHeight="1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10">
        <f>IF(OR(N695="",P695=""),"",N695*P695)</f>
        <v/>
      </c>
      <c r="R695" s="9" t="n"/>
      <c r="S695" s="9" t="n"/>
      <c r="T695" s="9" t="n"/>
      <c r="U695" s="9">
        <f>IF(Q695="","",IF(W695=0,"已付款PAID",IF(V695&gt;0,"部分核销","未付款N/P")))</f>
        <v/>
      </c>
      <c r="V695" s="10">
        <f>IF(G695="","",SUMIFS(回款核销!$H:$H,回款核销!$C:$C,G695)+SUMIFS(回款核销!$H:$H,回款核销!$B:$B,D695,回款核销!$C:$C,""))</f>
        <v/>
      </c>
      <c r="W695" s="10">
        <f>IF(Q695="","",MAX(0,Q695-V695))</f>
        <v/>
      </c>
      <c r="X695" s="9" t="n"/>
      <c r="Y695" s="10">
        <f>IF(OR(N695="",X695=""),"",N695*X695)</f>
        <v/>
      </c>
      <c r="Z695" s="10">
        <f>IF(OR(Q695="",Y695=""),"",Q695-Y695)</f>
        <v/>
      </c>
      <c r="AA695" s="9" t="n"/>
      <c r="AB695" s="9" t="n"/>
    </row>
    <row r="696" ht="22" customHeight="1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10">
        <f>IF(OR(N696="",P696=""),"",N696*P696)</f>
        <v/>
      </c>
      <c r="R696" s="9" t="n"/>
      <c r="S696" s="9" t="n"/>
      <c r="T696" s="9" t="n"/>
      <c r="U696" s="9">
        <f>IF(Q696="","",IF(W696=0,"已付款PAID",IF(V696&gt;0,"部分核销","未付款N/P")))</f>
        <v/>
      </c>
      <c r="V696" s="10">
        <f>IF(G696="","",SUMIFS(回款核销!$H:$H,回款核销!$C:$C,G696)+SUMIFS(回款核销!$H:$H,回款核销!$B:$B,D696,回款核销!$C:$C,""))</f>
        <v/>
      </c>
      <c r="W696" s="10">
        <f>IF(Q696="","",MAX(0,Q696-V696))</f>
        <v/>
      </c>
      <c r="X696" s="9" t="n"/>
      <c r="Y696" s="10">
        <f>IF(OR(N696="",X696=""),"",N696*X696)</f>
        <v/>
      </c>
      <c r="Z696" s="10">
        <f>IF(OR(Q696="",Y696=""),"",Q696-Y696)</f>
        <v/>
      </c>
      <c r="AA696" s="9" t="n"/>
      <c r="AB696" s="9" t="n"/>
    </row>
    <row r="697" ht="22" customHeight="1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10">
        <f>IF(OR(N697="",P697=""),"",N697*P697)</f>
        <v/>
      </c>
      <c r="R697" s="9" t="n"/>
      <c r="S697" s="9" t="n"/>
      <c r="T697" s="9" t="n"/>
      <c r="U697" s="9">
        <f>IF(Q697="","",IF(W697=0,"已付款PAID",IF(V697&gt;0,"部分核销","未付款N/P")))</f>
        <v/>
      </c>
      <c r="V697" s="10">
        <f>IF(G697="","",SUMIFS(回款核销!$H:$H,回款核销!$C:$C,G697)+SUMIFS(回款核销!$H:$H,回款核销!$B:$B,D697,回款核销!$C:$C,""))</f>
        <v/>
      </c>
      <c r="W697" s="10">
        <f>IF(Q697="","",MAX(0,Q697-V697))</f>
        <v/>
      </c>
      <c r="X697" s="9" t="n"/>
      <c r="Y697" s="10">
        <f>IF(OR(N697="",X697=""),"",N697*X697)</f>
        <v/>
      </c>
      <c r="Z697" s="10">
        <f>IF(OR(Q697="",Y697=""),"",Q697-Y697)</f>
        <v/>
      </c>
      <c r="AA697" s="9" t="n"/>
      <c r="AB697" s="9" t="n"/>
    </row>
    <row r="698" ht="22" customHeight="1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10">
        <f>IF(OR(N698="",P698=""),"",N698*P698)</f>
        <v/>
      </c>
      <c r="R698" s="9" t="n"/>
      <c r="S698" s="9" t="n"/>
      <c r="T698" s="9" t="n"/>
      <c r="U698" s="9">
        <f>IF(Q698="","",IF(W698=0,"已付款PAID",IF(V698&gt;0,"部分核销","未付款N/P")))</f>
        <v/>
      </c>
      <c r="V698" s="10">
        <f>IF(G698="","",SUMIFS(回款核销!$H:$H,回款核销!$C:$C,G698)+SUMIFS(回款核销!$H:$H,回款核销!$B:$B,D698,回款核销!$C:$C,""))</f>
        <v/>
      </c>
      <c r="W698" s="10">
        <f>IF(Q698="","",MAX(0,Q698-V698))</f>
        <v/>
      </c>
      <c r="X698" s="9" t="n"/>
      <c r="Y698" s="10">
        <f>IF(OR(N698="",X698=""),"",N698*X698)</f>
        <v/>
      </c>
      <c r="Z698" s="10">
        <f>IF(OR(Q698="",Y698=""),"",Q698-Y698)</f>
        <v/>
      </c>
      <c r="AA698" s="9" t="n"/>
      <c r="AB698" s="9" t="n"/>
    </row>
    <row r="699" ht="22" customHeight="1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10">
        <f>IF(OR(N699="",P699=""),"",N699*P699)</f>
        <v/>
      </c>
      <c r="R699" s="9" t="n"/>
      <c r="S699" s="9" t="n"/>
      <c r="T699" s="9" t="n"/>
      <c r="U699" s="9">
        <f>IF(Q699="","",IF(W699=0,"已付款PAID",IF(V699&gt;0,"部分核销","未付款N/P")))</f>
        <v/>
      </c>
      <c r="V699" s="10">
        <f>IF(G699="","",SUMIFS(回款核销!$H:$H,回款核销!$C:$C,G699)+SUMIFS(回款核销!$H:$H,回款核销!$B:$B,D699,回款核销!$C:$C,""))</f>
        <v/>
      </c>
      <c r="W699" s="10">
        <f>IF(Q699="","",MAX(0,Q699-V699))</f>
        <v/>
      </c>
      <c r="X699" s="9" t="n"/>
      <c r="Y699" s="10">
        <f>IF(OR(N699="",X699=""),"",N699*X699)</f>
        <v/>
      </c>
      <c r="Z699" s="10">
        <f>IF(OR(Q699="",Y699=""),"",Q699-Y699)</f>
        <v/>
      </c>
      <c r="AA699" s="9" t="n"/>
      <c r="AB699" s="9" t="n"/>
    </row>
    <row r="700" ht="22" customHeight="1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10">
        <f>IF(OR(N700="",P700=""),"",N700*P700)</f>
        <v/>
      </c>
      <c r="R700" s="9" t="n"/>
      <c r="S700" s="9" t="n"/>
      <c r="T700" s="9" t="n"/>
      <c r="U700" s="9">
        <f>IF(Q700="","",IF(W700=0,"已付款PAID",IF(V700&gt;0,"部分核销","未付款N/P")))</f>
        <v/>
      </c>
      <c r="V700" s="10">
        <f>IF(G700="","",SUMIFS(回款核销!$H:$H,回款核销!$C:$C,G700)+SUMIFS(回款核销!$H:$H,回款核销!$B:$B,D700,回款核销!$C:$C,""))</f>
        <v/>
      </c>
      <c r="W700" s="10">
        <f>IF(Q700="","",MAX(0,Q700-V700))</f>
        <v/>
      </c>
      <c r="X700" s="9" t="n"/>
      <c r="Y700" s="10">
        <f>IF(OR(N700="",X700=""),"",N700*X700)</f>
        <v/>
      </c>
      <c r="Z700" s="10">
        <f>IF(OR(Q700="",Y700=""),"",Q700-Y700)</f>
        <v/>
      </c>
      <c r="AA700" s="9" t="n"/>
      <c r="AB700" s="9" t="n"/>
    </row>
    <row r="701" ht="22" customHeight="1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10">
        <f>IF(OR(N701="",P701=""),"",N701*P701)</f>
        <v/>
      </c>
      <c r="R701" s="9" t="n"/>
      <c r="S701" s="9" t="n"/>
      <c r="T701" s="9" t="n"/>
      <c r="U701" s="9">
        <f>IF(Q701="","",IF(W701=0,"已付款PAID",IF(V701&gt;0,"部分核销","未付款N/P")))</f>
        <v/>
      </c>
      <c r="V701" s="10">
        <f>IF(G701="","",SUMIFS(回款核销!$H:$H,回款核销!$C:$C,G701)+SUMIFS(回款核销!$H:$H,回款核销!$B:$B,D701,回款核销!$C:$C,""))</f>
        <v/>
      </c>
      <c r="W701" s="10">
        <f>IF(Q701="","",MAX(0,Q701-V701))</f>
        <v/>
      </c>
      <c r="X701" s="9" t="n"/>
      <c r="Y701" s="10">
        <f>IF(OR(N701="",X701=""),"",N701*X701)</f>
        <v/>
      </c>
      <c r="Z701" s="10">
        <f>IF(OR(Q701="",Y701=""),"",Q701-Y701)</f>
        <v/>
      </c>
      <c r="AA701" s="9" t="n"/>
      <c r="AB701" s="9" t="n"/>
    </row>
    <row r="702" ht="22" customHeight="1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10">
        <f>IF(OR(N702="",P702=""),"",N702*P702)</f>
        <v/>
      </c>
      <c r="R702" s="9" t="n"/>
      <c r="S702" s="9" t="n"/>
      <c r="T702" s="9" t="n"/>
      <c r="U702" s="9">
        <f>IF(Q702="","",IF(W702=0,"已付款PAID",IF(V702&gt;0,"部分核销","未付款N/P")))</f>
        <v/>
      </c>
      <c r="V702" s="10">
        <f>IF(G702="","",SUMIFS(回款核销!$H:$H,回款核销!$C:$C,G702)+SUMIFS(回款核销!$H:$H,回款核销!$B:$B,D702,回款核销!$C:$C,""))</f>
        <v/>
      </c>
      <c r="W702" s="10">
        <f>IF(Q702="","",MAX(0,Q702-V702))</f>
        <v/>
      </c>
      <c r="X702" s="9" t="n"/>
      <c r="Y702" s="10">
        <f>IF(OR(N702="",X702=""),"",N702*X702)</f>
        <v/>
      </c>
      <c r="Z702" s="10">
        <f>IF(OR(Q702="",Y702=""),"",Q702-Y702)</f>
        <v/>
      </c>
      <c r="AA702" s="9" t="n"/>
      <c r="AB702" s="9" t="n"/>
    </row>
    <row r="703" ht="22" customHeight="1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10">
        <f>IF(OR(N703="",P703=""),"",N703*P703)</f>
        <v/>
      </c>
      <c r="R703" s="9" t="n"/>
      <c r="S703" s="9" t="n"/>
      <c r="T703" s="9" t="n"/>
      <c r="U703" s="9">
        <f>IF(Q703="","",IF(W703=0,"已付款PAID",IF(V703&gt;0,"部分核销","未付款N/P")))</f>
        <v/>
      </c>
      <c r="V703" s="10">
        <f>IF(G703="","",SUMIFS(回款核销!$H:$H,回款核销!$C:$C,G703)+SUMIFS(回款核销!$H:$H,回款核销!$B:$B,D703,回款核销!$C:$C,""))</f>
        <v/>
      </c>
      <c r="W703" s="10">
        <f>IF(Q703="","",MAX(0,Q703-V703))</f>
        <v/>
      </c>
      <c r="X703" s="9" t="n"/>
      <c r="Y703" s="10">
        <f>IF(OR(N703="",X703=""),"",N703*X703)</f>
        <v/>
      </c>
      <c r="Z703" s="10">
        <f>IF(OR(Q703="",Y703=""),"",Q703-Y703)</f>
        <v/>
      </c>
      <c r="AA703" s="9" t="n"/>
      <c r="AB703" s="9" t="n"/>
    </row>
    <row r="704" ht="22" customHeight="1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10">
        <f>IF(OR(N704="",P704=""),"",N704*P704)</f>
        <v/>
      </c>
      <c r="R704" s="9" t="n"/>
      <c r="S704" s="9" t="n"/>
      <c r="T704" s="9" t="n"/>
      <c r="U704" s="9">
        <f>IF(Q704="","",IF(W704=0,"已付款PAID",IF(V704&gt;0,"部分核销","未付款N/P")))</f>
        <v/>
      </c>
      <c r="V704" s="10">
        <f>IF(G704="","",SUMIFS(回款核销!$H:$H,回款核销!$C:$C,G704)+SUMIFS(回款核销!$H:$H,回款核销!$B:$B,D704,回款核销!$C:$C,""))</f>
        <v/>
      </c>
      <c r="W704" s="10">
        <f>IF(Q704="","",MAX(0,Q704-V704))</f>
        <v/>
      </c>
      <c r="X704" s="9" t="n"/>
      <c r="Y704" s="10">
        <f>IF(OR(N704="",X704=""),"",N704*X704)</f>
        <v/>
      </c>
      <c r="Z704" s="10">
        <f>IF(OR(Q704="",Y704=""),"",Q704-Y704)</f>
        <v/>
      </c>
      <c r="AA704" s="9" t="n"/>
      <c r="AB704" s="9" t="n"/>
    </row>
    <row r="705" ht="22" customHeight="1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10">
        <f>IF(OR(N705="",P705=""),"",N705*P705)</f>
        <v/>
      </c>
      <c r="R705" s="9" t="n"/>
      <c r="S705" s="9" t="n"/>
      <c r="T705" s="9" t="n"/>
      <c r="U705" s="9">
        <f>IF(Q705="","",IF(W705=0,"已付款PAID",IF(V705&gt;0,"部分核销","未付款N/P")))</f>
        <v/>
      </c>
      <c r="V705" s="10">
        <f>IF(G705="","",SUMIFS(回款核销!$H:$H,回款核销!$C:$C,G705)+SUMIFS(回款核销!$H:$H,回款核销!$B:$B,D705,回款核销!$C:$C,""))</f>
        <v/>
      </c>
      <c r="W705" s="10">
        <f>IF(Q705="","",MAX(0,Q705-V705))</f>
        <v/>
      </c>
      <c r="X705" s="9" t="n"/>
      <c r="Y705" s="10">
        <f>IF(OR(N705="",X705=""),"",N705*X705)</f>
        <v/>
      </c>
      <c r="Z705" s="10">
        <f>IF(OR(Q705="",Y705=""),"",Q705-Y705)</f>
        <v/>
      </c>
      <c r="AA705" s="9" t="n"/>
      <c r="AB705" s="9" t="n"/>
    </row>
    <row r="706" ht="22" customHeight="1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10">
        <f>IF(OR(N706="",P706=""),"",N706*P706)</f>
        <v/>
      </c>
      <c r="R706" s="9" t="n"/>
      <c r="S706" s="9" t="n"/>
      <c r="T706" s="9" t="n"/>
      <c r="U706" s="9">
        <f>IF(Q706="","",IF(W706=0,"已付款PAID",IF(V706&gt;0,"部分核销","未付款N/P")))</f>
        <v/>
      </c>
      <c r="V706" s="10">
        <f>IF(G706="","",SUMIFS(回款核销!$H:$H,回款核销!$C:$C,G706)+SUMIFS(回款核销!$H:$H,回款核销!$B:$B,D706,回款核销!$C:$C,""))</f>
        <v/>
      </c>
      <c r="W706" s="10">
        <f>IF(Q706="","",MAX(0,Q706-V706))</f>
        <v/>
      </c>
      <c r="X706" s="9" t="n"/>
      <c r="Y706" s="10">
        <f>IF(OR(N706="",X706=""),"",N706*X706)</f>
        <v/>
      </c>
      <c r="Z706" s="10">
        <f>IF(OR(Q706="",Y706=""),"",Q706-Y706)</f>
        <v/>
      </c>
      <c r="AA706" s="9" t="n"/>
      <c r="AB706" s="9" t="n"/>
    </row>
    <row r="707" ht="22" customHeight="1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10">
        <f>IF(OR(N707="",P707=""),"",N707*P707)</f>
        <v/>
      </c>
      <c r="R707" s="9" t="n"/>
      <c r="S707" s="9" t="n"/>
      <c r="T707" s="9" t="n"/>
      <c r="U707" s="9">
        <f>IF(Q707="","",IF(W707=0,"已付款PAID",IF(V707&gt;0,"部分核销","未付款N/P")))</f>
        <v/>
      </c>
      <c r="V707" s="10">
        <f>IF(G707="","",SUMIFS(回款核销!$H:$H,回款核销!$C:$C,G707)+SUMIFS(回款核销!$H:$H,回款核销!$B:$B,D707,回款核销!$C:$C,""))</f>
        <v/>
      </c>
      <c r="W707" s="10">
        <f>IF(Q707="","",MAX(0,Q707-V707))</f>
        <v/>
      </c>
      <c r="X707" s="9" t="n"/>
      <c r="Y707" s="10">
        <f>IF(OR(N707="",X707=""),"",N707*X707)</f>
        <v/>
      </c>
      <c r="Z707" s="10">
        <f>IF(OR(Q707="",Y707=""),"",Q707-Y707)</f>
        <v/>
      </c>
      <c r="AA707" s="9" t="n"/>
      <c r="AB707" s="9" t="n"/>
    </row>
    <row r="708" ht="22" customHeight="1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10">
        <f>IF(OR(N708="",P708=""),"",N708*P708)</f>
        <v/>
      </c>
      <c r="R708" s="9" t="n"/>
      <c r="S708" s="9" t="n"/>
      <c r="T708" s="9" t="n"/>
      <c r="U708" s="9">
        <f>IF(Q708="","",IF(W708=0,"已付款PAID",IF(V708&gt;0,"部分核销","未付款N/P")))</f>
        <v/>
      </c>
      <c r="V708" s="10">
        <f>IF(G708="","",SUMIFS(回款核销!$H:$H,回款核销!$C:$C,G708)+SUMIFS(回款核销!$H:$H,回款核销!$B:$B,D708,回款核销!$C:$C,""))</f>
        <v/>
      </c>
      <c r="W708" s="10">
        <f>IF(Q708="","",MAX(0,Q708-V708))</f>
        <v/>
      </c>
      <c r="X708" s="9" t="n"/>
      <c r="Y708" s="10">
        <f>IF(OR(N708="",X708=""),"",N708*X708)</f>
        <v/>
      </c>
      <c r="Z708" s="10">
        <f>IF(OR(Q708="",Y708=""),"",Q708-Y708)</f>
        <v/>
      </c>
      <c r="AA708" s="9" t="n"/>
      <c r="AB708" s="9" t="n"/>
    </row>
    <row r="709" ht="22" customHeight="1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10">
        <f>IF(OR(N709="",P709=""),"",N709*P709)</f>
        <v/>
      </c>
      <c r="R709" s="9" t="n"/>
      <c r="S709" s="9" t="n"/>
      <c r="T709" s="9" t="n"/>
      <c r="U709" s="9">
        <f>IF(Q709="","",IF(W709=0,"已付款PAID",IF(V709&gt;0,"部分核销","未付款N/P")))</f>
        <v/>
      </c>
      <c r="V709" s="10">
        <f>IF(G709="","",SUMIFS(回款核销!$H:$H,回款核销!$C:$C,G709)+SUMIFS(回款核销!$H:$H,回款核销!$B:$B,D709,回款核销!$C:$C,""))</f>
        <v/>
      </c>
      <c r="W709" s="10">
        <f>IF(Q709="","",MAX(0,Q709-V709))</f>
        <v/>
      </c>
      <c r="X709" s="9" t="n"/>
      <c r="Y709" s="10">
        <f>IF(OR(N709="",X709=""),"",N709*X709)</f>
        <v/>
      </c>
      <c r="Z709" s="10">
        <f>IF(OR(Q709="",Y709=""),"",Q709-Y709)</f>
        <v/>
      </c>
      <c r="AA709" s="9" t="n"/>
      <c r="AB709" s="9" t="n"/>
    </row>
    <row r="710" ht="22" customHeight="1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10">
        <f>IF(OR(N710="",P710=""),"",N710*P710)</f>
        <v/>
      </c>
      <c r="R710" s="9" t="n"/>
      <c r="S710" s="9" t="n"/>
      <c r="T710" s="9" t="n"/>
      <c r="U710" s="9">
        <f>IF(Q710="","",IF(W710=0,"已付款PAID",IF(V710&gt;0,"部分核销","未付款N/P")))</f>
        <v/>
      </c>
      <c r="V710" s="10">
        <f>IF(G710="","",SUMIFS(回款核销!$H:$H,回款核销!$C:$C,G710)+SUMIFS(回款核销!$H:$H,回款核销!$B:$B,D710,回款核销!$C:$C,""))</f>
        <v/>
      </c>
      <c r="W710" s="10">
        <f>IF(Q710="","",MAX(0,Q710-V710))</f>
        <v/>
      </c>
      <c r="X710" s="9" t="n"/>
      <c r="Y710" s="10">
        <f>IF(OR(N710="",X710=""),"",N710*X710)</f>
        <v/>
      </c>
      <c r="Z710" s="10">
        <f>IF(OR(Q710="",Y710=""),"",Q710-Y710)</f>
        <v/>
      </c>
      <c r="AA710" s="9" t="n"/>
      <c r="AB710" s="9" t="n"/>
    </row>
    <row r="711" ht="22" customHeight="1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10">
        <f>IF(OR(N711="",P711=""),"",N711*P711)</f>
        <v/>
      </c>
      <c r="R711" s="9" t="n"/>
      <c r="S711" s="9" t="n"/>
      <c r="T711" s="9" t="n"/>
      <c r="U711" s="9">
        <f>IF(Q711="","",IF(W711=0,"已付款PAID",IF(V711&gt;0,"部分核销","未付款N/P")))</f>
        <v/>
      </c>
      <c r="V711" s="10">
        <f>IF(G711="","",SUMIFS(回款核销!$H:$H,回款核销!$C:$C,G711)+SUMIFS(回款核销!$H:$H,回款核销!$B:$B,D711,回款核销!$C:$C,""))</f>
        <v/>
      </c>
      <c r="W711" s="10">
        <f>IF(Q711="","",MAX(0,Q711-V711))</f>
        <v/>
      </c>
      <c r="X711" s="9" t="n"/>
      <c r="Y711" s="10">
        <f>IF(OR(N711="",X711=""),"",N711*X711)</f>
        <v/>
      </c>
      <c r="Z711" s="10">
        <f>IF(OR(Q711="",Y711=""),"",Q711-Y711)</f>
        <v/>
      </c>
      <c r="AA711" s="9" t="n"/>
      <c r="AB711" s="9" t="n"/>
    </row>
    <row r="712" ht="22" customHeight="1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10">
        <f>IF(OR(N712="",P712=""),"",N712*P712)</f>
        <v/>
      </c>
      <c r="R712" s="9" t="n"/>
      <c r="S712" s="9" t="n"/>
      <c r="T712" s="9" t="n"/>
      <c r="U712" s="9">
        <f>IF(Q712="","",IF(W712=0,"已付款PAID",IF(V712&gt;0,"部分核销","未付款N/P")))</f>
        <v/>
      </c>
      <c r="V712" s="10">
        <f>IF(G712="","",SUMIFS(回款核销!$H:$H,回款核销!$C:$C,G712)+SUMIFS(回款核销!$H:$H,回款核销!$B:$B,D712,回款核销!$C:$C,""))</f>
        <v/>
      </c>
      <c r="W712" s="10">
        <f>IF(Q712="","",MAX(0,Q712-V712))</f>
        <v/>
      </c>
      <c r="X712" s="9" t="n"/>
      <c r="Y712" s="10">
        <f>IF(OR(N712="",X712=""),"",N712*X712)</f>
        <v/>
      </c>
      <c r="Z712" s="10">
        <f>IF(OR(Q712="",Y712=""),"",Q712-Y712)</f>
        <v/>
      </c>
      <c r="AA712" s="9" t="n"/>
      <c r="AB712" s="9" t="n"/>
    </row>
    <row r="713" ht="22" customHeight="1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10">
        <f>IF(OR(N713="",P713=""),"",N713*P713)</f>
        <v/>
      </c>
      <c r="R713" s="9" t="n"/>
      <c r="S713" s="9" t="n"/>
      <c r="T713" s="9" t="n"/>
      <c r="U713" s="9">
        <f>IF(Q713="","",IF(W713=0,"已付款PAID",IF(V713&gt;0,"部分核销","未付款N/P")))</f>
        <v/>
      </c>
      <c r="V713" s="10">
        <f>IF(G713="","",SUMIFS(回款核销!$H:$H,回款核销!$C:$C,G713)+SUMIFS(回款核销!$H:$H,回款核销!$B:$B,D713,回款核销!$C:$C,""))</f>
        <v/>
      </c>
      <c r="W713" s="10">
        <f>IF(Q713="","",MAX(0,Q713-V713))</f>
        <v/>
      </c>
      <c r="X713" s="9" t="n"/>
      <c r="Y713" s="10">
        <f>IF(OR(N713="",X713=""),"",N713*X713)</f>
        <v/>
      </c>
      <c r="Z713" s="10">
        <f>IF(OR(Q713="",Y713=""),"",Q713-Y713)</f>
        <v/>
      </c>
      <c r="AA713" s="9" t="n"/>
      <c r="AB713" s="9" t="n"/>
    </row>
    <row r="714" ht="22" customHeight="1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10">
        <f>IF(OR(N714="",P714=""),"",N714*P714)</f>
        <v/>
      </c>
      <c r="R714" s="9" t="n"/>
      <c r="S714" s="9" t="n"/>
      <c r="T714" s="9" t="n"/>
      <c r="U714" s="9">
        <f>IF(Q714="","",IF(W714=0,"已付款PAID",IF(V714&gt;0,"部分核销","未付款N/P")))</f>
        <v/>
      </c>
      <c r="V714" s="10">
        <f>IF(G714="","",SUMIFS(回款核销!$H:$H,回款核销!$C:$C,G714)+SUMIFS(回款核销!$H:$H,回款核销!$B:$B,D714,回款核销!$C:$C,""))</f>
        <v/>
      </c>
      <c r="W714" s="10">
        <f>IF(Q714="","",MAX(0,Q714-V714))</f>
        <v/>
      </c>
      <c r="X714" s="9" t="n"/>
      <c r="Y714" s="10">
        <f>IF(OR(N714="",X714=""),"",N714*X714)</f>
        <v/>
      </c>
      <c r="Z714" s="10">
        <f>IF(OR(Q714="",Y714=""),"",Q714-Y714)</f>
        <v/>
      </c>
      <c r="AA714" s="9" t="n"/>
      <c r="AB714" s="9" t="n"/>
    </row>
    <row r="715" ht="22" customHeight="1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10">
        <f>IF(OR(N715="",P715=""),"",N715*P715)</f>
        <v/>
      </c>
      <c r="R715" s="9" t="n"/>
      <c r="S715" s="9" t="n"/>
      <c r="T715" s="9" t="n"/>
      <c r="U715" s="9">
        <f>IF(Q715="","",IF(W715=0,"已付款PAID",IF(V715&gt;0,"部分核销","未付款N/P")))</f>
        <v/>
      </c>
      <c r="V715" s="10">
        <f>IF(G715="","",SUMIFS(回款核销!$H:$H,回款核销!$C:$C,G715)+SUMIFS(回款核销!$H:$H,回款核销!$B:$B,D715,回款核销!$C:$C,""))</f>
        <v/>
      </c>
      <c r="W715" s="10">
        <f>IF(Q715="","",MAX(0,Q715-V715))</f>
        <v/>
      </c>
      <c r="X715" s="9" t="n"/>
      <c r="Y715" s="10">
        <f>IF(OR(N715="",X715=""),"",N715*X715)</f>
        <v/>
      </c>
      <c r="Z715" s="10">
        <f>IF(OR(Q715="",Y715=""),"",Q715-Y715)</f>
        <v/>
      </c>
      <c r="AA715" s="9" t="n"/>
      <c r="AB715" s="9" t="n"/>
    </row>
    <row r="716" ht="22" customHeight="1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10">
        <f>IF(OR(N716="",P716=""),"",N716*P716)</f>
        <v/>
      </c>
      <c r="R716" s="9" t="n"/>
      <c r="S716" s="9" t="n"/>
      <c r="T716" s="9" t="n"/>
      <c r="U716" s="9">
        <f>IF(Q716="","",IF(W716=0,"已付款PAID",IF(V716&gt;0,"部分核销","未付款N/P")))</f>
        <v/>
      </c>
      <c r="V716" s="10">
        <f>IF(G716="","",SUMIFS(回款核销!$H:$H,回款核销!$C:$C,G716)+SUMIFS(回款核销!$H:$H,回款核销!$B:$B,D716,回款核销!$C:$C,""))</f>
        <v/>
      </c>
      <c r="W716" s="10">
        <f>IF(Q716="","",MAX(0,Q716-V716))</f>
        <v/>
      </c>
      <c r="X716" s="9" t="n"/>
      <c r="Y716" s="10">
        <f>IF(OR(N716="",X716=""),"",N716*X716)</f>
        <v/>
      </c>
      <c r="Z716" s="10">
        <f>IF(OR(Q716="",Y716=""),"",Q716-Y716)</f>
        <v/>
      </c>
      <c r="AA716" s="9" t="n"/>
      <c r="AB716" s="9" t="n"/>
    </row>
    <row r="717" ht="22" customHeight="1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10">
        <f>IF(OR(N717="",P717=""),"",N717*P717)</f>
        <v/>
      </c>
      <c r="R717" s="9" t="n"/>
      <c r="S717" s="9" t="n"/>
      <c r="T717" s="9" t="n"/>
      <c r="U717" s="9">
        <f>IF(Q717="","",IF(W717=0,"已付款PAID",IF(V717&gt;0,"部分核销","未付款N/P")))</f>
        <v/>
      </c>
      <c r="V717" s="10">
        <f>IF(G717="","",SUMIFS(回款核销!$H:$H,回款核销!$C:$C,G717)+SUMIFS(回款核销!$H:$H,回款核销!$B:$B,D717,回款核销!$C:$C,""))</f>
        <v/>
      </c>
      <c r="W717" s="10">
        <f>IF(Q717="","",MAX(0,Q717-V717))</f>
        <v/>
      </c>
      <c r="X717" s="9" t="n"/>
      <c r="Y717" s="10">
        <f>IF(OR(N717="",X717=""),"",N717*X717)</f>
        <v/>
      </c>
      <c r="Z717" s="10">
        <f>IF(OR(Q717="",Y717=""),"",Q717-Y717)</f>
        <v/>
      </c>
      <c r="AA717" s="9" t="n"/>
      <c r="AB717" s="9" t="n"/>
    </row>
    <row r="718" ht="22" customHeight="1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10">
        <f>IF(OR(N718="",P718=""),"",N718*P718)</f>
        <v/>
      </c>
      <c r="R718" s="9" t="n"/>
      <c r="S718" s="9" t="n"/>
      <c r="T718" s="9" t="n"/>
      <c r="U718" s="9">
        <f>IF(Q718="","",IF(W718=0,"已付款PAID",IF(V718&gt;0,"部分核销","未付款N/P")))</f>
        <v/>
      </c>
      <c r="V718" s="10">
        <f>IF(G718="","",SUMIFS(回款核销!$H:$H,回款核销!$C:$C,G718)+SUMIFS(回款核销!$H:$H,回款核销!$B:$B,D718,回款核销!$C:$C,""))</f>
        <v/>
      </c>
      <c r="W718" s="10">
        <f>IF(Q718="","",MAX(0,Q718-V718))</f>
        <v/>
      </c>
      <c r="X718" s="9" t="n"/>
      <c r="Y718" s="10">
        <f>IF(OR(N718="",X718=""),"",N718*X718)</f>
        <v/>
      </c>
      <c r="Z718" s="10">
        <f>IF(OR(Q718="",Y718=""),"",Q718-Y718)</f>
        <v/>
      </c>
      <c r="AA718" s="9" t="n"/>
      <c r="AB718" s="9" t="n"/>
    </row>
    <row r="719" ht="22" customHeight="1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10">
        <f>IF(OR(N719="",P719=""),"",N719*P719)</f>
        <v/>
      </c>
      <c r="R719" s="9" t="n"/>
      <c r="S719" s="9" t="n"/>
      <c r="T719" s="9" t="n"/>
      <c r="U719" s="9">
        <f>IF(Q719="","",IF(W719=0,"已付款PAID",IF(V719&gt;0,"部分核销","未付款N/P")))</f>
        <v/>
      </c>
      <c r="V719" s="10">
        <f>IF(G719="","",SUMIFS(回款核销!$H:$H,回款核销!$C:$C,G719)+SUMIFS(回款核销!$H:$H,回款核销!$B:$B,D719,回款核销!$C:$C,""))</f>
        <v/>
      </c>
      <c r="W719" s="10">
        <f>IF(Q719="","",MAX(0,Q719-V719))</f>
        <v/>
      </c>
      <c r="X719" s="9" t="n"/>
      <c r="Y719" s="10">
        <f>IF(OR(N719="",X719=""),"",N719*X719)</f>
        <v/>
      </c>
      <c r="Z719" s="10">
        <f>IF(OR(Q719="",Y719=""),"",Q719-Y719)</f>
        <v/>
      </c>
      <c r="AA719" s="9" t="n"/>
      <c r="AB719" s="9" t="n"/>
    </row>
    <row r="720" ht="22" customHeight="1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10">
        <f>IF(OR(N720="",P720=""),"",N720*P720)</f>
        <v/>
      </c>
      <c r="R720" s="9" t="n"/>
      <c r="S720" s="9" t="n"/>
      <c r="T720" s="9" t="n"/>
      <c r="U720" s="9">
        <f>IF(Q720="","",IF(W720=0,"已付款PAID",IF(V720&gt;0,"部分核销","未付款N/P")))</f>
        <v/>
      </c>
      <c r="V720" s="10">
        <f>IF(G720="","",SUMIFS(回款核销!$H:$H,回款核销!$C:$C,G720)+SUMIFS(回款核销!$H:$H,回款核销!$B:$B,D720,回款核销!$C:$C,""))</f>
        <v/>
      </c>
      <c r="W720" s="10">
        <f>IF(Q720="","",MAX(0,Q720-V720))</f>
        <v/>
      </c>
      <c r="X720" s="9" t="n"/>
      <c r="Y720" s="10">
        <f>IF(OR(N720="",X720=""),"",N720*X720)</f>
        <v/>
      </c>
      <c r="Z720" s="10">
        <f>IF(OR(Q720="",Y720=""),"",Q720-Y720)</f>
        <v/>
      </c>
      <c r="AA720" s="9" t="n"/>
      <c r="AB720" s="9" t="n"/>
    </row>
    <row r="721" ht="22" customHeight="1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10">
        <f>IF(OR(N721="",P721=""),"",N721*P721)</f>
        <v/>
      </c>
      <c r="R721" s="9" t="n"/>
      <c r="S721" s="9" t="n"/>
      <c r="T721" s="9" t="n"/>
      <c r="U721" s="9">
        <f>IF(Q721="","",IF(W721=0,"已付款PAID",IF(V721&gt;0,"部分核销","未付款N/P")))</f>
        <v/>
      </c>
      <c r="V721" s="10">
        <f>IF(G721="","",SUMIFS(回款核销!$H:$H,回款核销!$C:$C,G721)+SUMIFS(回款核销!$H:$H,回款核销!$B:$B,D721,回款核销!$C:$C,""))</f>
        <v/>
      </c>
      <c r="W721" s="10">
        <f>IF(Q721="","",MAX(0,Q721-V721))</f>
        <v/>
      </c>
      <c r="X721" s="9" t="n"/>
      <c r="Y721" s="10">
        <f>IF(OR(N721="",X721=""),"",N721*X721)</f>
        <v/>
      </c>
      <c r="Z721" s="10">
        <f>IF(OR(Q721="",Y721=""),"",Q721-Y721)</f>
        <v/>
      </c>
      <c r="AA721" s="9" t="n"/>
      <c r="AB721" s="9" t="n"/>
    </row>
    <row r="722" ht="22" customHeight="1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10">
        <f>IF(OR(N722="",P722=""),"",N722*P722)</f>
        <v/>
      </c>
      <c r="R722" s="9" t="n"/>
      <c r="S722" s="9" t="n"/>
      <c r="T722" s="9" t="n"/>
      <c r="U722" s="9">
        <f>IF(Q722="","",IF(W722=0,"已付款PAID",IF(V722&gt;0,"部分核销","未付款N/P")))</f>
        <v/>
      </c>
      <c r="V722" s="10">
        <f>IF(G722="","",SUMIFS(回款核销!$H:$H,回款核销!$C:$C,G722)+SUMIFS(回款核销!$H:$H,回款核销!$B:$B,D722,回款核销!$C:$C,""))</f>
        <v/>
      </c>
      <c r="W722" s="10">
        <f>IF(Q722="","",MAX(0,Q722-V722))</f>
        <v/>
      </c>
      <c r="X722" s="9" t="n"/>
      <c r="Y722" s="10">
        <f>IF(OR(N722="",X722=""),"",N722*X722)</f>
        <v/>
      </c>
      <c r="Z722" s="10">
        <f>IF(OR(Q722="",Y722=""),"",Q722-Y722)</f>
        <v/>
      </c>
      <c r="AA722" s="9" t="n"/>
      <c r="AB722" s="9" t="n"/>
    </row>
    <row r="723" ht="22" customHeight="1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10">
        <f>IF(OR(N723="",P723=""),"",N723*P723)</f>
        <v/>
      </c>
      <c r="R723" s="9" t="n"/>
      <c r="S723" s="9" t="n"/>
      <c r="T723" s="9" t="n"/>
      <c r="U723" s="9">
        <f>IF(Q723="","",IF(W723=0,"已付款PAID",IF(V723&gt;0,"部分核销","未付款N/P")))</f>
        <v/>
      </c>
      <c r="V723" s="10">
        <f>IF(G723="","",SUMIFS(回款核销!$H:$H,回款核销!$C:$C,G723)+SUMIFS(回款核销!$H:$H,回款核销!$B:$B,D723,回款核销!$C:$C,""))</f>
        <v/>
      </c>
      <c r="W723" s="10">
        <f>IF(Q723="","",MAX(0,Q723-V723))</f>
        <v/>
      </c>
      <c r="X723" s="9" t="n"/>
      <c r="Y723" s="10">
        <f>IF(OR(N723="",X723=""),"",N723*X723)</f>
        <v/>
      </c>
      <c r="Z723" s="10">
        <f>IF(OR(Q723="",Y723=""),"",Q723-Y723)</f>
        <v/>
      </c>
      <c r="AA723" s="9" t="n"/>
      <c r="AB723" s="9" t="n"/>
    </row>
    <row r="724" ht="22" customHeight="1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10">
        <f>IF(OR(N724="",P724=""),"",N724*P724)</f>
        <v/>
      </c>
      <c r="R724" s="9" t="n"/>
      <c r="S724" s="9" t="n"/>
      <c r="T724" s="9" t="n"/>
      <c r="U724" s="9">
        <f>IF(Q724="","",IF(W724=0,"已付款PAID",IF(V724&gt;0,"部分核销","未付款N/P")))</f>
        <v/>
      </c>
      <c r="V724" s="10">
        <f>IF(G724="","",SUMIFS(回款核销!$H:$H,回款核销!$C:$C,G724)+SUMIFS(回款核销!$H:$H,回款核销!$B:$B,D724,回款核销!$C:$C,""))</f>
        <v/>
      </c>
      <c r="W724" s="10">
        <f>IF(Q724="","",MAX(0,Q724-V724))</f>
        <v/>
      </c>
      <c r="X724" s="9" t="n"/>
      <c r="Y724" s="10">
        <f>IF(OR(N724="",X724=""),"",N724*X724)</f>
        <v/>
      </c>
      <c r="Z724" s="10">
        <f>IF(OR(Q724="",Y724=""),"",Q724-Y724)</f>
        <v/>
      </c>
      <c r="AA724" s="9" t="n"/>
      <c r="AB724" s="9" t="n"/>
    </row>
    <row r="725" ht="22" customHeight="1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10">
        <f>IF(OR(N725="",P725=""),"",N725*P725)</f>
        <v/>
      </c>
      <c r="R725" s="9" t="n"/>
      <c r="S725" s="9" t="n"/>
      <c r="T725" s="9" t="n"/>
      <c r="U725" s="9">
        <f>IF(Q725="","",IF(W725=0,"已付款PAID",IF(V725&gt;0,"部分核销","未付款N/P")))</f>
        <v/>
      </c>
      <c r="V725" s="10">
        <f>IF(G725="","",SUMIFS(回款核销!$H:$H,回款核销!$C:$C,G725)+SUMIFS(回款核销!$H:$H,回款核销!$B:$B,D725,回款核销!$C:$C,""))</f>
        <v/>
      </c>
      <c r="W725" s="10">
        <f>IF(Q725="","",MAX(0,Q725-V725))</f>
        <v/>
      </c>
      <c r="X725" s="9" t="n"/>
      <c r="Y725" s="10">
        <f>IF(OR(N725="",X725=""),"",N725*X725)</f>
        <v/>
      </c>
      <c r="Z725" s="10">
        <f>IF(OR(Q725="",Y725=""),"",Q725-Y725)</f>
        <v/>
      </c>
      <c r="AA725" s="9" t="n"/>
      <c r="AB725" s="9" t="n"/>
    </row>
    <row r="726" ht="22" customHeight="1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10">
        <f>IF(OR(N726="",P726=""),"",N726*P726)</f>
        <v/>
      </c>
      <c r="R726" s="9" t="n"/>
      <c r="S726" s="9" t="n"/>
      <c r="T726" s="9" t="n"/>
      <c r="U726" s="9">
        <f>IF(Q726="","",IF(W726=0,"已付款PAID",IF(V726&gt;0,"部分核销","未付款N/P")))</f>
        <v/>
      </c>
      <c r="V726" s="10">
        <f>IF(G726="","",SUMIFS(回款核销!$H:$H,回款核销!$C:$C,G726)+SUMIFS(回款核销!$H:$H,回款核销!$B:$B,D726,回款核销!$C:$C,""))</f>
        <v/>
      </c>
      <c r="W726" s="10">
        <f>IF(Q726="","",MAX(0,Q726-V726))</f>
        <v/>
      </c>
      <c r="X726" s="9" t="n"/>
      <c r="Y726" s="10">
        <f>IF(OR(N726="",X726=""),"",N726*X726)</f>
        <v/>
      </c>
      <c r="Z726" s="10">
        <f>IF(OR(Q726="",Y726=""),"",Q726-Y726)</f>
        <v/>
      </c>
      <c r="AA726" s="9" t="n"/>
      <c r="AB726" s="9" t="n"/>
    </row>
    <row r="727" ht="22" customHeight="1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10">
        <f>IF(OR(N727="",P727=""),"",N727*P727)</f>
        <v/>
      </c>
      <c r="R727" s="9" t="n"/>
      <c r="S727" s="9" t="n"/>
      <c r="T727" s="9" t="n"/>
      <c r="U727" s="9">
        <f>IF(Q727="","",IF(W727=0,"已付款PAID",IF(V727&gt;0,"部分核销","未付款N/P")))</f>
        <v/>
      </c>
      <c r="V727" s="10">
        <f>IF(G727="","",SUMIFS(回款核销!$H:$H,回款核销!$C:$C,G727)+SUMIFS(回款核销!$H:$H,回款核销!$B:$B,D727,回款核销!$C:$C,""))</f>
        <v/>
      </c>
      <c r="W727" s="10">
        <f>IF(Q727="","",MAX(0,Q727-V727))</f>
        <v/>
      </c>
      <c r="X727" s="9" t="n"/>
      <c r="Y727" s="10">
        <f>IF(OR(N727="",X727=""),"",N727*X727)</f>
        <v/>
      </c>
      <c r="Z727" s="10">
        <f>IF(OR(Q727="",Y727=""),"",Q727-Y727)</f>
        <v/>
      </c>
      <c r="AA727" s="9" t="n"/>
      <c r="AB727" s="9" t="n"/>
    </row>
    <row r="728" ht="22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10">
        <f>IF(OR(N728="",P728=""),"",N728*P728)</f>
        <v/>
      </c>
      <c r="R728" s="9" t="n"/>
      <c r="S728" s="9" t="n"/>
      <c r="T728" s="9" t="n"/>
      <c r="U728" s="9">
        <f>IF(Q728="","",IF(W728=0,"已付款PAID",IF(V728&gt;0,"部分核销","未付款N/P")))</f>
        <v/>
      </c>
      <c r="V728" s="10">
        <f>IF(G728="","",SUMIFS(回款核销!$H:$H,回款核销!$C:$C,G728)+SUMIFS(回款核销!$H:$H,回款核销!$B:$B,D728,回款核销!$C:$C,""))</f>
        <v/>
      </c>
      <c r="W728" s="10">
        <f>IF(Q728="","",MAX(0,Q728-V728))</f>
        <v/>
      </c>
      <c r="X728" s="9" t="n"/>
      <c r="Y728" s="10">
        <f>IF(OR(N728="",X728=""),"",N728*X728)</f>
        <v/>
      </c>
      <c r="Z728" s="10">
        <f>IF(OR(Q728="",Y728=""),"",Q728-Y728)</f>
        <v/>
      </c>
      <c r="AA728" s="9" t="n"/>
      <c r="AB728" s="9" t="n"/>
    </row>
    <row r="729" ht="22" customHeight="1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10">
        <f>IF(OR(N729="",P729=""),"",N729*P729)</f>
        <v/>
      </c>
      <c r="R729" s="9" t="n"/>
      <c r="S729" s="9" t="n"/>
      <c r="T729" s="9" t="n"/>
      <c r="U729" s="9">
        <f>IF(Q729="","",IF(W729=0,"已付款PAID",IF(V729&gt;0,"部分核销","未付款N/P")))</f>
        <v/>
      </c>
      <c r="V729" s="10">
        <f>IF(G729="","",SUMIFS(回款核销!$H:$H,回款核销!$C:$C,G729)+SUMIFS(回款核销!$H:$H,回款核销!$B:$B,D729,回款核销!$C:$C,""))</f>
        <v/>
      </c>
      <c r="W729" s="10">
        <f>IF(Q729="","",MAX(0,Q729-V729))</f>
        <v/>
      </c>
      <c r="X729" s="9" t="n"/>
      <c r="Y729" s="10">
        <f>IF(OR(N729="",X729=""),"",N729*X729)</f>
        <v/>
      </c>
      <c r="Z729" s="10">
        <f>IF(OR(Q729="",Y729=""),"",Q729-Y729)</f>
        <v/>
      </c>
      <c r="AA729" s="9" t="n"/>
      <c r="AB729" s="9" t="n"/>
    </row>
    <row r="730" ht="22" customHeight="1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10">
        <f>IF(OR(N730="",P730=""),"",N730*P730)</f>
        <v/>
      </c>
      <c r="R730" s="9" t="n"/>
      <c r="S730" s="9" t="n"/>
      <c r="T730" s="9" t="n"/>
      <c r="U730" s="9">
        <f>IF(Q730="","",IF(W730=0,"已付款PAID",IF(V730&gt;0,"部分核销","未付款N/P")))</f>
        <v/>
      </c>
      <c r="V730" s="10">
        <f>IF(G730="","",SUMIFS(回款核销!$H:$H,回款核销!$C:$C,G730)+SUMIFS(回款核销!$H:$H,回款核销!$B:$B,D730,回款核销!$C:$C,""))</f>
        <v/>
      </c>
      <c r="W730" s="10">
        <f>IF(Q730="","",MAX(0,Q730-V730))</f>
        <v/>
      </c>
      <c r="X730" s="9" t="n"/>
      <c r="Y730" s="10">
        <f>IF(OR(N730="",X730=""),"",N730*X730)</f>
        <v/>
      </c>
      <c r="Z730" s="10">
        <f>IF(OR(Q730="",Y730=""),"",Q730-Y730)</f>
        <v/>
      </c>
      <c r="AA730" s="9" t="n"/>
      <c r="AB730" s="9" t="n"/>
    </row>
    <row r="731" ht="22" customHeight="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10">
        <f>IF(OR(N731="",P731=""),"",N731*P731)</f>
        <v/>
      </c>
      <c r="R731" s="9" t="n"/>
      <c r="S731" s="9" t="n"/>
      <c r="T731" s="9" t="n"/>
      <c r="U731" s="9">
        <f>IF(Q731="","",IF(W731=0,"已付款PAID",IF(V731&gt;0,"部分核销","未付款N/P")))</f>
        <v/>
      </c>
      <c r="V731" s="10">
        <f>IF(G731="","",SUMIFS(回款核销!$H:$H,回款核销!$C:$C,G731)+SUMIFS(回款核销!$H:$H,回款核销!$B:$B,D731,回款核销!$C:$C,""))</f>
        <v/>
      </c>
      <c r="W731" s="10">
        <f>IF(Q731="","",MAX(0,Q731-V731))</f>
        <v/>
      </c>
      <c r="X731" s="9" t="n"/>
      <c r="Y731" s="10">
        <f>IF(OR(N731="",X731=""),"",N731*X731)</f>
        <v/>
      </c>
      <c r="Z731" s="10">
        <f>IF(OR(Q731="",Y731=""),"",Q731-Y731)</f>
        <v/>
      </c>
      <c r="AA731" s="9" t="n"/>
      <c r="AB731" s="9" t="n"/>
    </row>
    <row r="732" ht="22" customHeight="1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10">
        <f>IF(OR(N732="",P732=""),"",N732*P732)</f>
        <v/>
      </c>
      <c r="R732" s="9" t="n"/>
      <c r="S732" s="9" t="n"/>
      <c r="T732" s="9" t="n"/>
      <c r="U732" s="9">
        <f>IF(Q732="","",IF(W732=0,"已付款PAID",IF(V732&gt;0,"部分核销","未付款N/P")))</f>
        <v/>
      </c>
      <c r="V732" s="10">
        <f>IF(G732="","",SUMIFS(回款核销!$H:$H,回款核销!$C:$C,G732)+SUMIFS(回款核销!$H:$H,回款核销!$B:$B,D732,回款核销!$C:$C,""))</f>
        <v/>
      </c>
      <c r="W732" s="10">
        <f>IF(Q732="","",MAX(0,Q732-V732))</f>
        <v/>
      </c>
      <c r="X732" s="9" t="n"/>
      <c r="Y732" s="10">
        <f>IF(OR(N732="",X732=""),"",N732*X732)</f>
        <v/>
      </c>
      <c r="Z732" s="10">
        <f>IF(OR(Q732="",Y732=""),"",Q732-Y732)</f>
        <v/>
      </c>
      <c r="AA732" s="9" t="n"/>
      <c r="AB732" s="9" t="n"/>
    </row>
    <row r="733" ht="22" customHeight="1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10">
        <f>IF(OR(N733="",P733=""),"",N733*P733)</f>
        <v/>
      </c>
      <c r="R733" s="9" t="n"/>
      <c r="S733" s="9" t="n"/>
      <c r="T733" s="9" t="n"/>
      <c r="U733" s="9">
        <f>IF(Q733="","",IF(W733=0,"已付款PAID",IF(V733&gt;0,"部分核销","未付款N/P")))</f>
        <v/>
      </c>
      <c r="V733" s="10">
        <f>IF(G733="","",SUMIFS(回款核销!$H:$H,回款核销!$C:$C,G733)+SUMIFS(回款核销!$H:$H,回款核销!$B:$B,D733,回款核销!$C:$C,""))</f>
        <v/>
      </c>
      <c r="W733" s="10">
        <f>IF(Q733="","",MAX(0,Q733-V733))</f>
        <v/>
      </c>
      <c r="X733" s="9" t="n"/>
      <c r="Y733" s="10">
        <f>IF(OR(N733="",X733=""),"",N733*X733)</f>
        <v/>
      </c>
      <c r="Z733" s="10">
        <f>IF(OR(Q733="",Y733=""),"",Q733-Y733)</f>
        <v/>
      </c>
      <c r="AA733" s="9" t="n"/>
      <c r="AB733" s="9" t="n"/>
    </row>
    <row r="734" ht="22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10">
        <f>IF(OR(N734="",P734=""),"",N734*P734)</f>
        <v/>
      </c>
      <c r="R734" s="9" t="n"/>
      <c r="S734" s="9" t="n"/>
      <c r="T734" s="9" t="n"/>
      <c r="U734" s="9">
        <f>IF(Q734="","",IF(W734=0,"已付款PAID",IF(V734&gt;0,"部分核销","未付款N/P")))</f>
        <v/>
      </c>
      <c r="V734" s="10">
        <f>IF(G734="","",SUMIFS(回款核销!$H:$H,回款核销!$C:$C,G734)+SUMIFS(回款核销!$H:$H,回款核销!$B:$B,D734,回款核销!$C:$C,""))</f>
        <v/>
      </c>
      <c r="W734" s="10">
        <f>IF(Q734="","",MAX(0,Q734-V734))</f>
        <v/>
      </c>
      <c r="X734" s="9" t="n"/>
      <c r="Y734" s="10">
        <f>IF(OR(N734="",X734=""),"",N734*X734)</f>
        <v/>
      </c>
      <c r="Z734" s="10">
        <f>IF(OR(Q734="",Y734=""),"",Q734-Y734)</f>
        <v/>
      </c>
      <c r="AA734" s="9" t="n"/>
      <c r="AB734" s="9" t="n"/>
    </row>
    <row r="735" ht="22" customHeight="1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10">
        <f>IF(OR(N735="",P735=""),"",N735*P735)</f>
        <v/>
      </c>
      <c r="R735" s="9" t="n"/>
      <c r="S735" s="9" t="n"/>
      <c r="T735" s="9" t="n"/>
      <c r="U735" s="9">
        <f>IF(Q735="","",IF(W735=0,"已付款PAID",IF(V735&gt;0,"部分核销","未付款N/P")))</f>
        <v/>
      </c>
      <c r="V735" s="10">
        <f>IF(G735="","",SUMIFS(回款核销!$H:$H,回款核销!$C:$C,G735)+SUMIFS(回款核销!$H:$H,回款核销!$B:$B,D735,回款核销!$C:$C,""))</f>
        <v/>
      </c>
      <c r="W735" s="10">
        <f>IF(Q735="","",MAX(0,Q735-V735))</f>
        <v/>
      </c>
      <c r="X735" s="9" t="n"/>
      <c r="Y735" s="10">
        <f>IF(OR(N735="",X735=""),"",N735*X735)</f>
        <v/>
      </c>
      <c r="Z735" s="10">
        <f>IF(OR(Q735="",Y735=""),"",Q735-Y735)</f>
        <v/>
      </c>
      <c r="AA735" s="9" t="n"/>
      <c r="AB735" s="9" t="n"/>
    </row>
    <row r="736" ht="22" customHeight="1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10">
        <f>IF(OR(N736="",P736=""),"",N736*P736)</f>
        <v/>
      </c>
      <c r="R736" s="9" t="n"/>
      <c r="S736" s="9" t="n"/>
      <c r="T736" s="9" t="n"/>
      <c r="U736" s="9">
        <f>IF(Q736="","",IF(W736=0,"已付款PAID",IF(V736&gt;0,"部分核销","未付款N/P")))</f>
        <v/>
      </c>
      <c r="V736" s="10">
        <f>IF(G736="","",SUMIFS(回款核销!$H:$H,回款核销!$C:$C,G736)+SUMIFS(回款核销!$H:$H,回款核销!$B:$B,D736,回款核销!$C:$C,""))</f>
        <v/>
      </c>
      <c r="W736" s="10">
        <f>IF(Q736="","",MAX(0,Q736-V736))</f>
        <v/>
      </c>
      <c r="X736" s="9" t="n"/>
      <c r="Y736" s="10">
        <f>IF(OR(N736="",X736=""),"",N736*X736)</f>
        <v/>
      </c>
      <c r="Z736" s="10">
        <f>IF(OR(Q736="",Y736=""),"",Q736-Y736)</f>
        <v/>
      </c>
      <c r="AA736" s="9" t="n"/>
      <c r="AB736" s="9" t="n"/>
    </row>
    <row r="737" ht="22" customHeight="1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10">
        <f>IF(OR(N737="",P737=""),"",N737*P737)</f>
        <v/>
      </c>
      <c r="R737" s="9" t="n"/>
      <c r="S737" s="9" t="n"/>
      <c r="T737" s="9" t="n"/>
      <c r="U737" s="9">
        <f>IF(Q737="","",IF(W737=0,"已付款PAID",IF(V737&gt;0,"部分核销","未付款N/P")))</f>
        <v/>
      </c>
      <c r="V737" s="10">
        <f>IF(G737="","",SUMIFS(回款核销!$H:$H,回款核销!$C:$C,G737)+SUMIFS(回款核销!$H:$H,回款核销!$B:$B,D737,回款核销!$C:$C,""))</f>
        <v/>
      </c>
      <c r="W737" s="10">
        <f>IF(Q737="","",MAX(0,Q737-V737))</f>
        <v/>
      </c>
      <c r="X737" s="9" t="n"/>
      <c r="Y737" s="10">
        <f>IF(OR(N737="",X737=""),"",N737*X737)</f>
        <v/>
      </c>
      <c r="Z737" s="10">
        <f>IF(OR(Q737="",Y737=""),"",Q737-Y737)</f>
        <v/>
      </c>
      <c r="AA737" s="9" t="n"/>
      <c r="AB737" s="9" t="n"/>
    </row>
    <row r="738" ht="22" customHeight="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10">
        <f>IF(OR(N738="",P738=""),"",N738*P738)</f>
        <v/>
      </c>
      <c r="R738" s="9" t="n"/>
      <c r="S738" s="9" t="n"/>
      <c r="T738" s="9" t="n"/>
      <c r="U738" s="9">
        <f>IF(Q738="","",IF(W738=0,"已付款PAID",IF(V738&gt;0,"部分核销","未付款N/P")))</f>
        <v/>
      </c>
      <c r="V738" s="10">
        <f>IF(G738="","",SUMIFS(回款核销!$H:$H,回款核销!$C:$C,G738)+SUMIFS(回款核销!$H:$H,回款核销!$B:$B,D738,回款核销!$C:$C,""))</f>
        <v/>
      </c>
      <c r="W738" s="10">
        <f>IF(Q738="","",MAX(0,Q738-V738))</f>
        <v/>
      </c>
      <c r="X738" s="9" t="n"/>
      <c r="Y738" s="10">
        <f>IF(OR(N738="",X738=""),"",N738*X738)</f>
        <v/>
      </c>
      <c r="Z738" s="10">
        <f>IF(OR(Q738="",Y738=""),"",Q738-Y738)</f>
        <v/>
      </c>
      <c r="AA738" s="9" t="n"/>
      <c r="AB738" s="9" t="n"/>
    </row>
    <row r="739" ht="22" customHeight="1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10">
        <f>IF(OR(N739="",P739=""),"",N739*P739)</f>
        <v/>
      </c>
      <c r="R739" s="9" t="n"/>
      <c r="S739" s="9" t="n"/>
      <c r="T739" s="9" t="n"/>
      <c r="U739" s="9">
        <f>IF(Q739="","",IF(W739=0,"已付款PAID",IF(V739&gt;0,"部分核销","未付款N/P")))</f>
        <v/>
      </c>
      <c r="V739" s="10">
        <f>IF(G739="","",SUMIFS(回款核销!$H:$H,回款核销!$C:$C,G739)+SUMIFS(回款核销!$H:$H,回款核销!$B:$B,D739,回款核销!$C:$C,""))</f>
        <v/>
      </c>
      <c r="W739" s="10">
        <f>IF(Q739="","",MAX(0,Q739-V739))</f>
        <v/>
      </c>
      <c r="X739" s="9" t="n"/>
      <c r="Y739" s="10">
        <f>IF(OR(N739="",X739=""),"",N739*X739)</f>
        <v/>
      </c>
      <c r="Z739" s="10">
        <f>IF(OR(Q739="",Y739=""),"",Q739-Y739)</f>
        <v/>
      </c>
      <c r="AA739" s="9" t="n"/>
      <c r="AB739" s="9" t="n"/>
    </row>
    <row r="740" ht="22" customHeight="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10">
        <f>IF(OR(N740="",P740=""),"",N740*P740)</f>
        <v/>
      </c>
      <c r="R740" s="9" t="n"/>
      <c r="S740" s="9" t="n"/>
      <c r="T740" s="9" t="n"/>
      <c r="U740" s="9">
        <f>IF(Q740="","",IF(W740=0,"已付款PAID",IF(V740&gt;0,"部分核销","未付款N/P")))</f>
        <v/>
      </c>
      <c r="V740" s="10">
        <f>IF(G740="","",SUMIFS(回款核销!$H:$H,回款核销!$C:$C,G740)+SUMIFS(回款核销!$H:$H,回款核销!$B:$B,D740,回款核销!$C:$C,""))</f>
        <v/>
      </c>
      <c r="W740" s="10">
        <f>IF(Q740="","",MAX(0,Q740-V740))</f>
        <v/>
      </c>
      <c r="X740" s="9" t="n"/>
      <c r="Y740" s="10">
        <f>IF(OR(N740="",X740=""),"",N740*X740)</f>
        <v/>
      </c>
      <c r="Z740" s="10">
        <f>IF(OR(Q740="",Y740=""),"",Q740-Y740)</f>
        <v/>
      </c>
      <c r="AA740" s="9" t="n"/>
      <c r="AB740" s="9" t="n"/>
    </row>
    <row r="741" ht="22" customHeight="1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10">
        <f>IF(OR(N741="",P741=""),"",N741*P741)</f>
        <v/>
      </c>
      <c r="R741" s="9" t="n"/>
      <c r="S741" s="9" t="n"/>
      <c r="T741" s="9" t="n"/>
      <c r="U741" s="9">
        <f>IF(Q741="","",IF(W741=0,"已付款PAID",IF(V741&gt;0,"部分核销","未付款N/P")))</f>
        <v/>
      </c>
      <c r="V741" s="10">
        <f>IF(G741="","",SUMIFS(回款核销!$H:$H,回款核销!$C:$C,G741)+SUMIFS(回款核销!$H:$H,回款核销!$B:$B,D741,回款核销!$C:$C,""))</f>
        <v/>
      </c>
      <c r="W741" s="10">
        <f>IF(Q741="","",MAX(0,Q741-V741))</f>
        <v/>
      </c>
      <c r="X741" s="9" t="n"/>
      <c r="Y741" s="10">
        <f>IF(OR(N741="",X741=""),"",N741*X741)</f>
        <v/>
      </c>
      <c r="Z741" s="10">
        <f>IF(OR(Q741="",Y741=""),"",Q741-Y741)</f>
        <v/>
      </c>
      <c r="AA741" s="9" t="n"/>
      <c r="AB741" s="9" t="n"/>
    </row>
    <row r="742" ht="22" customHeight="1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10">
        <f>IF(OR(N742="",P742=""),"",N742*P742)</f>
        <v/>
      </c>
      <c r="R742" s="9" t="n"/>
      <c r="S742" s="9" t="n"/>
      <c r="T742" s="9" t="n"/>
      <c r="U742" s="9">
        <f>IF(Q742="","",IF(W742=0,"已付款PAID",IF(V742&gt;0,"部分核销","未付款N/P")))</f>
        <v/>
      </c>
      <c r="V742" s="10">
        <f>IF(G742="","",SUMIFS(回款核销!$H:$H,回款核销!$C:$C,G742)+SUMIFS(回款核销!$H:$H,回款核销!$B:$B,D742,回款核销!$C:$C,""))</f>
        <v/>
      </c>
      <c r="W742" s="10">
        <f>IF(Q742="","",MAX(0,Q742-V742))</f>
        <v/>
      </c>
      <c r="X742" s="9" t="n"/>
      <c r="Y742" s="10">
        <f>IF(OR(N742="",X742=""),"",N742*X742)</f>
        <v/>
      </c>
      <c r="Z742" s="10">
        <f>IF(OR(Q742="",Y742=""),"",Q742-Y742)</f>
        <v/>
      </c>
      <c r="AA742" s="9" t="n"/>
      <c r="AB742" s="9" t="n"/>
    </row>
    <row r="743" ht="22" customHeight="1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10">
        <f>IF(OR(N743="",P743=""),"",N743*P743)</f>
        <v/>
      </c>
      <c r="R743" s="9" t="n"/>
      <c r="S743" s="9" t="n"/>
      <c r="T743" s="9" t="n"/>
      <c r="U743" s="9">
        <f>IF(Q743="","",IF(W743=0,"已付款PAID",IF(V743&gt;0,"部分核销","未付款N/P")))</f>
        <v/>
      </c>
      <c r="V743" s="10">
        <f>IF(G743="","",SUMIFS(回款核销!$H:$H,回款核销!$C:$C,G743)+SUMIFS(回款核销!$H:$H,回款核销!$B:$B,D743,回款核销!$C:$C,""))</f>
        <v/>
      </c>
      <c r="W743" s="10">
        <f>IF(Q743="","",MAX(0,Q743-V743))</f>
        <v/>
      </c>
      <c r="X743" s="9" t="n"/>
      <c r="Y743" s="10">
        <f>IF(OR(N743="",X743=""),"",N743*X743)</f>
        <v/>
      </c>
      <c r="Z743" s="10">
        <f>IF(OR(Q743="",Y743=""),"",Q743-Y743)</f>
        <v/>
      </c>
      <c r="AA743" s="9" t="n"/>
      <c r="AB743" s="9" t="n"/>
    </row>
    <row r="744" ht="22" customHeight="1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10">
        <f>IF(OR(N744="",P744=""),"",N744*P744)</f>
        <v/>
      </c>
      <c r="R744" s="9" t="n"/>
      <c r="S744" s="9" t="n"/>
      <c r="T744" s="9" t="n"/>
      <c r="U744" s="9">
        <f>IF(Q744="","",IF(W744=0,"已付款PAID",IF(V744&gt;0,"部分核销","未付款N/P")))</f>
        <v/>
      </c>
      <c r="V744" s="10">
        <f>IF(G744="","",SUMIFS(回款核销!$H:$H,回款核销!$C:$C,G744)+SUMIFS(回款核销!$H:$H,回款核销!$B:$B,D744,回款核销!$C:$C,""))</f>
        <v/>
      </c>
      <c r="W744" s="10">
        <f>IF(Q744="","",MAX(0,Q744-V744))</f>
        <v/>
      </c>
      <c r="X744" s="9" t="n"/>
      <c r="Y744" s="10">
        <f>IF(OR(N744="",X744=""),"",N744*X744)</f>
        <v/>
      </c>
      <c r="Z744" s="10">
        <f>IF(OR(Q744="",Y744=""),"",Q744-Y744)</f>
        <v/>
      </c>
      <c r="AA744" s="9" t="n"/>
      <c r="AB744" s="9" t="n"/>
    </row>
    <row r="745" ht="22" customHeight="1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10">
        <f>IF(OR(N745="",P745=""),"",N745*P745)</f>
        <v/>
      </c>
      <c r="R745" s="9" t="n"/>
      <c r="S745" s="9" t="n"/>
      <c r="T745" s="9" t="n"/>
      <c r="U745" s="9">
        <f>IF(Q745="","",IF(W745=0,"已付款PAID",IF(V745&gt;0,"部分核销","未付款N/P")))</f>
        <v/>
      </c>
      <c r="V745" s="10">
        <f>IF(G745="","",SUMIFS(回款核销!$H:$H,回款核销!$C:$C,G745)+SUMIFS(回款核销!$H:$H,回款核销!$B:$B,D745,回款核销!$C:$C,""))</f>
        <v/>
      </c>
      <c r="W745" s="10">
        <f>IF(Q745="","",MAX(0,Q745-V745))</f>
        <v/>
      </c>
      <c r="X745" s="9" t="n"/>
      <c r="Y745" s="10">
        <f>IF(OR(N745="",X745=""),"",N745*X745)</f>
        <v/>
      </c>
      <c r="Z745" s="10">
        <f>IF(OR(Q745="",Y745=""),"",Q745-Y745)</f>
        <v/>
      </c>
      <c r="AA745" s="9" t="n"/>
      <c r="AB745" s="9" t="n"/>
    </row>
    <row r="746" ht="22" customHeight="1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10">
        <f>IF(OR(N746="",P746=""),"",N746*P746)</f>
        <v/>
      </c>
      <c r="R746" s="9" t="n"/>
      <c r="S746" s="9" t="n"/>
      <c r="T746" s="9" t="n"/>
      <c r="U746" s="9">
        <f>IF(Q746="","",IF(W746=0,"已付款PAID",IF(V746&gt;0,"部分核销","未付款N/P")))</f>
        <v/>
      </c>
      <c r="V746" s="10">
        <f>IF(G746="","",SUMIFS(回款核销!$H:$H,回款核销!$C:$C,G746)+SUMIFS(回款核销!$H:$H,回款核销!$B:$B,D746,回款核销!$C:$C,""))</f>
        <v/>
      </c>
      <c r="W746" s="10">
        <f>IF(Q746="","",MAX(0,Q746-V746))</f>
        <v/>
      </c>
      <c r="X746" s="9" t="n"/>
      <c r="Y746" s="10">
        <f>IF(OR(N746="",X746=""),"",N746*X746)</f>
        <v/>
      </c>
      <c r="Z746" s="10">
        <f>IF(OR(Q746="",Y746=""),"",Q746-Y746)</f>
        <v/>
      </c>
      <c r="AA746" s="9" t="n"/>
      <c r="AB746" s="9" t="n"/>
    </row>
    <row r="747" ht="22" customHeight="1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10">
        <f>IF(OR(N747="",P747=""),"",N747*P747)</f>
        <v/>
      </c>
      <c r="R747" s="9" t="n"/>
      <c r="S747" s="9" t="n"/>
      <c r="T747" s="9" t="n"/>
      <c r="U747" s="9">
        <f>IF(Q747="","",IF(W747=0,"已付款PAID",IF(V747&gt;0,"部分核销","未付款N/P")))</f>
        <v/>
      </c>
      <c r="V747" s="10">
        <f>IF(G747="","",SUMIFS(回款核销!$H:$H,回款核销!$C:$C,G747)+SUMIFS(回款核销!$H:$H,回款核销!$B:$B,D747,回款核销!$C:$C,""))</f>
        <v/>
      </c>
      <c r="W747" s="10">
        <f>IF(Q747="","",MAX(0,Q747-V747))</f>
        <v/>
      </c>
      <c r="X747" s="9" t="n"/>
      <c r="Y747" s="10">
        <f>IF(OR(N747="",X747=""),"",N747*X747)</f>
        <v/>
      </c>
      <c r="Z747" s="10">
        <f>IF(OR(Q747="",Y747=""),"",Q747-Y747)</f>
        <v/>
      </c>
      <c r="AA747" s="9" t="n"/>
      <c r="AB747" s="9" t="n"/>
    </row>
    <row r="748" ht="22" customHeight="1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10">
        <f>IF(OR(N748="",P748=""),"",N748*P748)</f>
        <v/>
      </c>
      <c r="R748" s="9" t="n"/>
      <c r="S748" s="9" t="n"/>
      <c r="T748" s="9" t="n"/>
      <c r="U748" s="9">
        <f>IF(Q748="","",IF(W748=0,"已付款PAID",IF(V748&gt;0,"部分核销","未付款N/P")))</f>
        <v/>
      </c>
      <c r="V748" s="10">
        <f>IF(G748="","",SUMIFS(回款核销!$H:$H,回款核销!$C:$C,G748)+SUMIFS(回款核销!$H:$H,回款核销!$B:$B,D748,回款核销!$C:$C,""))</f>
        <v/>
      </c>
      <c r="W748" s="10">
        <f>IF(Q748="","",MAX(0,Q748-V748))</f>
        <v/>
      </c>
      <c r="X748" s="9" t="n"/>
      <c r="Y748" s="10">
        <f>IF(OR(N748="",X748=""),"",N748*X748)</f>
        <v/>
      </c>
      <c r="Z748" s="10">
        <f>IF(OR(Q748="",Y748=""),"",Q748-Y748)</f>
        <v/>
      </c>
      <c r="AA748" s="9" t="n"/>
      <c r="AB748" s="9" t="n"/>
    </row>
    <row r="749" ht="22" customHeight="1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10">
        <f>IF(OR(N749="",P749=""),"",N749*P749)</f>
        <v/>
      </c>
      <c r="R749" s="9" t="n"/>
      <c r="S749" s="9" t="n"/>
      <c r="T749" s="9" t="n"/>
      <c r="U749" s="9">
        <f>IF(Q749="","",IF(W749=0,"已付款PAID",IF(V749&gt;0,"部分核销","未付款N/P")))</f>
        <v/>
      </c>
      <c r="V749" s="10">
        <f>IF(G749="","",SUMIFS(回款核销!$H:$H,回款核销!$C:$C,G749)+SUMIFS(回款核销!$H:$H,回款核销!$B:$B,D749,回款核销!$C:$C,""))</f>
        <v/>
      </c>
      <c r="W749" s="10">
        <f>IF(Q749="","",MAX(0,Q749-V749))</f>
        <v/>
      </c>
      <c r="X749" s="9" t="n"/>
      <c r="Y749" s="10">
        <f>IF(OR(N749="",X749=""),"",N749*X749)</f>
        <v/>
      </c>
      <c r="Z749" s="10">
        <f>IF(OR(Q749="",Y749=""),"",Q749-Y749)</f>
        <v/>
      </c>
      <c r="AA749" s="9" t="n"/>
      <c r="AB749" s="9" t="n"/>
    </row>
    <row r="750" ht="22" customHeight="1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10">
        <f>IF(OR(N750="",P750=""),"",N750*P750)</f>
        <v/>
      </c>
      <c r="R750" s="9" t="n"/>
      <c r="S750" s="9" t="n"/>
      <c r="T750" s="9" t="n"/>
      <c r="U750" s="9">
        <f>IF(Q750="","",IF(W750=0,"已付款PAID",IF(V750&gt;0,"部分核销","未付款N/P")))</f>
        <v/>
      </c>
      <c r="V750" s="10">
        <f>IF(G750="","",SUMIFS(回款核销!$H:$H,回款核销!$C:$C,G750)+SUMIFS(回款核销!$H:$H,回款核销!$B:$B,D750,回款核销!$C:$C,""))</f>
        <v/>
      </c>
      <c r="W750" s="10">
        <f>IF(Q750="","",MAX(0,Q750-V750))</f>
        <v/>
      </c>
      <c r="X750" s="9" t="n"/>
      <c r="Y750" s="10">
        <f>IF(OR(N750="",X750=""),"",N750*X750)</f>
        <v/>
      </c>
      <c r="Z750" s="10">
        <f>IF(OR(Q750="",Y750=""),"",Q750-Y750)</f>
        <v/>
      </c>
      <c r="AA750" s="9" t="n"/>
      <c r="AB750" s="9" t="n"/>
    </row>
    <row r="751" ht="22" customHeight="1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10">
        <f>IF(OR(N751="",P751=""),"",N751*P751)</f>
        <v/>
      </c>
      <c r="R751" s="9" t="n"/>
      <c r="S751" s="9" t="n"/>
      <c r="T751" s="9" t="n"/>
      <c r="U751" s="9">
        <f>IF(Q751="","",IF(W751=0,"已付款PAID",IF(V751&gt;0,"部分核销","未付款N/P")))</f>
        <v/>
      </c>
      <c r="V751" s="10">
        <f>IF(G751="","",SUMIFS(回款核销!$H:$H,回款核销!$C:$C,G751)+SUMIFS(回款核销!$H:$H,回款核销!$B:$B,D751,回款核销!$C:$C,""))</f>
        <v/>
      </c>
      <c r="W751" s="10">
        <f>IF(Q751="","",MAX(0,Q751-V751))</f>
        <v/>
      </c>
      <c r="X751" s="9" t="n"/>
      <c r="Y751" s="10">
        <f>IF(OR(N751="",X751=""),"",N751*X751)</f>
        <v/>
      </c>
      <c r="Z751" s="10">
        <f>IF(OR(Q751="",Y751=""),"",Q751-Y751)</f>
        <v/>
      </c>
      <c r="AA751" s="9" t="n"/>
      <c r="AB751" s="9" t="n"/>
    </row>
    <row r="752" ht="22" customHeight="1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10">
        <f>IF(OR(N752="",P752=""),"",N752*P752)</f>
        <v/>
      </c>
      <c r="R752" s="9" t="n"/>
      <c r="S752" s="9" t="n"/>
      <c r="T752" s="9" t="n"/>
      <c r="U752" s="9">
        <f>IF(Q752="","",IF(W752=0,"已付款PAID",IF(V752&gt;0,"部分核销","未付款N/P")))</f>
        <v/>
      </c>
      <c r="V752" s="10">
        <f>IF(G752="","",SUMIFS(回款核销!$H:$H,回款核销!$C:$C,G752)+SUMIFS(回款核销!$H:$H,回款核销!$B:$B,D752,回款核销!$C:$C,""))</f>
        <v/>
      </c>
      <c r="W752" s="10">
        <f>IF(Q752="","",MAX(0,Q752-V752))</f>
        <v/>
      </c>
      <c r="X752" s="9" t="n"/>
      <c r="Y752" s="10">
        <f>IF(OR(N752="",X752=""),"",N752*X752)</f>
        <v/>
      </c>
      <c r="Z752" s="10">
        <f>IF(OR(Q752="",Y752=""),"",Q752-Y752)</f>
        <v/>
      </c>
      <c r="AA752" s="9" t="n"/>
      <c r="AB752" s="9" t="n"/>
    </row>
    <row r="753" ht="22" customHeight="1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10">
        <f>IF(OR(N753="",P753=""),"",N753*P753)</f>
        <v/>
      </c>
      <c r="R753" s="9" t="n"/>
      <c r="S753" s="9" t="n"/>
      <c r="T753" s="9" t="n"/>
      <c r="U753" s="9">
        <f>IF(Q753="","",IF(W753=0,"已付款PAID",IF(V753&gt;0,"部分核销","未付款N/P")))</f>
        <v/>
      </c>
      <c r="V753" s="10">
        <f>IF(G753="","",SUMIFS(回款核销!$H:$H,回款核销!$C:$C,G753)+SUMIFS(回款核销!$H:$H,回款核销!$B:$B,D753,回款核销!$C:$C,""))</f>
        <v/>
      </c>
      <c r="W753" s="10">
        <f>IF(Q753="","",MAX(0,Q753-V753))</f>
        <v/>
      </c>
      <c r="X753" s="9" t="n"/>
      <c r="Y753" s="10">
        <f>IF(OR(N753="",X753=""),"",N753*X753)</f>
        <v/>
      </c>
      <c r="Z753" s="10">
        <f>IF(OR(Q753="",Y753=""),"",Q753-Y753)</f>
        <v/>
      </c>
      <c r="AA753" s="9" t="n"/>
      <c r="AB753" s="9" t="n"/>
    </row>
    <row r="754" ht="22" customHeight="1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10">
        <f>IF(OR(N754="",P754=""),"",N754*P754)</f>
        <v/>
      </c>
      <c r="R754" s="9" t="n"/>
      <c r="S754" s="9" t="n"/>
      <c r="T754" s="9" t="n"/>
      <c r="U754" s="9">
        <f>IF(Q754="","",IF(W754=0,"已付款PAID",IF(V754&gt;0,"部分核销","未付款N/P")))</f>
        <v/>
      </c>
      <c r="V754" s="10">
        <f>IF(G754="","",SUMIFS(回款核销!$H:$H,回款核销!$C:$C,G754)+SUMIFS(回款核销!$H:$H,回款核销!$B:$B,D754,回款核销!$C:$C,""))</f>
        <v/>
      </c>
      <c r="W754" s="10">
        <f>IF(Q754="","",MAX(0,Q754-V754))</f>
        <v/>
      </c>
      <c r="X754" s="9" t="n"/>
      <c r="Y754" s="10">
        <f>IF(OR(N754="",X754=""),"",N754*X754)</f>
        <v/>
      </c>
      <c r="Z754" s="10">
        <f>IF(OR(Q754="",Y754=""),"",Q754-Y754)</f>
        <v/>
      </c>
      <c r="AA754" s="9" t="n"/>
      <c r="AB754" s="9" t="n"/>
    </row>
    <row r="755" ht="22" customHeight="1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10">
        <f>IF(OR(N755="",P755=""),"",N755*P755)</f>
        <v/>
      </c>
      <c r="R755" s="9" t="n"/>
      <c r="S755" s="9" t="n"/>
      <c r="T755" s="9" t="n"/>
      <c r="U755" s="9">
        <f>IF(Q755="","",IF(W755=0,"已付款PAID",IF(V755&gt;0,"部分核销","未付款N/P")))</f>
        <v/>
      </c>
      <c r="V755" s="10">
        <f>IF(G755="","",SUMIFS(回款核销!$H:$H,回款核销!$C:$C,G755)+SUMIFS(回款核销!$H:$H,回款核销!$B:$B,D755,回款核销!$C:$C,""))</f>
        <v/>
      </c>
      <c r="W755" s="10">
        <f>IF(Q755="","",MAX(0,Q755-V755))</f>
        <v/>
      </c>
      <c r="X755" s="9" t="n"/>
      <c r="Y755" s="10">
        <f>IF(OR(N755="",X755=""),"",N755*X755)</f>
        <v/>
      </c>
      <c r="Z755" s="10">
        <f>IF(OR(Q755="",Y755=""),"",Q755-Y755)</f>
        <v/>
      </c>
      <c r="AA755" s="9" t="n"/>
      <c r="AB755" s="9" t="n"/>
    </row>
    <row r="756" ht="22" customHeight="1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10">
        <f>IF(OR(N756="",P756=""),"",N756*P756)</f>
        <v/>
      </c>
      <c r="R756" s="9" t="n"/>
      <c r="S756" s="9" t="n"/>
      <c r="T756" s="9" t="n"/>
      <c r="U756" s="9">
        <f>IF(Q756="","",IF(W756=0,"已付款PAID",IF(V756&gt;0,"部分核销","未付款N/P")))</f>
        <v/>
      </c>
      <c r="V756" s="10">
        <f>IF(G756="","",SUMIFS(回款核销!$H:$H,回款核销!$C:$C,G756)+SUMIFS(回款核销!$H:$H,回款核销!$B:$B,D756,回款核销!$C:$C,""))</f>
        <v/>
      </c>
      <c r="W756" s="10">
        <f>IF(Q756="","",MAX(0,Q756-V756))</f>
        <v/>
      </c>
      <c r="X756" s="9" t="n"/>
      <c r="Y756" s="10">
        <f>IF(OR(N756="",X756=""),"",N756*X756)</f>
        <v/>
      </c>
      <c r="Z756" s="10">
        <f>IF(OR(Q756="",Y756=""),"",Q756-Y756)</f>
        <v/>
      </c>
      <c r="AA756" s="9" t="n"/>
      <c r="AB756" s="9" t="n"/>
    </row>
    <row r="757" ht="22" customHeight="1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10">
        <f>IF(OR(N757="",P757=""),"",N757*P757)</f>
        <v/>
      </c>
      <c r="R757" s="9" t="n"/>
      <c r="S757" s="9" t="n"/>
      <c r="T757" s="9" t="n"/>
      <c r="U757" s="9">
        <f>IF(Q757="","",IF(W757=0,"已付款PAID",IF(V757&gt;0,"部分核销","未付款N/P")))</f>
        <v/>
      </c>
      <c r="V757" s="10">
        <f>IF(G757="","",SUMIFS(回款核销!$H:$H,回款核销!$C:$C,G757)+SUMIFS(回款核销!$H:$H,回款核销!$B:$B,D757,回款核销!$C:$C,""))</f>
        <v/>
      </c>
      <c r="W757" s="10">
        <f>IF(Q757="","",MAX(0,Q757-V757))</f>
        <v/>
      </c>
      <c r="X757" s="9" t="n"/>
      <c r="Y757" s="10">
        <f>IF(OR(N757="",X757=""),"",N757*X757)</f>
        <v/>
      </c>
      <c r="Z757" s="10">
        <f>IF(OR(Q757="",Y757=""),"",Q757-Y757)</f>
        <v/>
      </c>
      <c r="AA757" s="9" t="n"/>
      <c r="AB757" s="9" t="n"/>
    </row>
    <row r="758" ht="22" customHeight="1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10">
        <f>IF(OR(N758="",P758=""),"",N758*P758)</f>
        <v/>
      </c>
      <c r="R758" s="9" t="n"/>
      <c r="S758" s="9" t="n"/>
      <c r="T758" s="9" t="n"/>
      <c r="U758" s="9">
        <f>IF(Q758="","",IF(W758=0,"已付款PAID",IF(V758&gt;0,"部分核销","未付款N/P")))</f>
        <v/>
      </c>
      <c r="V758" s="10">
        <f>IF(G758="","",SUMIFS(回款核销!$H:$H,回款核销!$C:$C,G758)+SUMIFS(回款核销!$H:$H,回款核销!$B:$B,D758,回款核销!$C:$C,""))</f>
        <v/>
      </c>
      <c r="W758" s="10">
        <f>IF(Q758="","",MAX(0,Q758-V758))</f>
        <v/>
      </c>
      <c r="X758" s="9" t="n"/>
      <c r="Y758" s="10">
        <f>IF(OR(N758="",X758=""),"",N758*X758)</f>
        <v/>
      </c>
      <c r="Z758" s="10">
        <f>IF(OR(Q758="",Y758=""),"",Q758-Y758)</f>
        <v/>
      </c>
      <c r="AA758" s="9" t="n"/>
      <c r="AB758" s="9" t="n"/>
    </row>
    <row r="759" ht="22" customHeight="1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10">
        <f>IF(OR(N759="",P759=""),"",N759*P759)</f>
        <v/>
      </c>
      <c r="R759" s="9" t="n"/>
      <c r="S759" s="9" t="n"/>
      <c r="T759" s="9" t="n"/>
      <c r="U759" s="9">
        <f>IF(Q759="","",IF(W759=0,"已付款PAID",IF(V759&gt;0,"部分核销","未付款N/P")))</f>
        <v/>
      </c>
      <c r="V759" s="10">
        <f>IF(G759="","",SUMIFS(回款核销!$H:$H,回款核销!$C:$C,G759)+SUMIFS(回款核销!$H:$H,回款核销!$B:$B,D759,回款核销!$C:$C,""))</f>
        <v/>
      </c>
      <c r="W759" s="10">
        <f>IF(Q759="","",MAX(0,Q759-V759))</f>
        <v/>
      </c>
      <c r="X759" s="9" t="n"/>
      <c r="Y759" s="10">
        <f>IF(OR(N759="",X759=""),"",N759*X759)</f>
        <v/>
      </c>
      <c r="Z759" s="10">
        <f>IF(OR(Q759="",Y759=""),"",Q759-Y759)</f>
        <v/>
      </c>
      <c r="AA759" s="9" t="n"/>
      <c r="AB759" s="9" t="n"/>
    </row>
    <row r="760" ht="22" customHeight="1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10">
        <f>IF(OR(N760="",P760=""),"",N760*P760)</f>
        <v/>
      </c>
      <c r="R760" s="9" t="n"/>
      <c r="S760" s="9" t="n"/>
      <c r="T760" s="9" t="n"/>
      <c r="U760" s="9">
        <f>IF(Q760="","",IF(W760=0,"已付款PAID",IF(V760&gt;0,"部分核销","未付款N/P")))</f>
        <v/>
      </c>
      <c r="V760" s="10">
        <f>IF(G760="","",SUMIFS(回款核销!$H:$H,回款核销!$C:$C,G760)+SUMIFS(回款核销!$H:$H,回款核销!$B:$B,D760,回款核销!$C:$C,""))</f>
        <v/>
      </c>
      <c r="W760" s="10">
        <f>IF(Q760="","",MAX(0,Q760-V760))</f>
        <v/>
      </c>
      <c r="X760" s="9" t="n"/>
      <c r="Y760" s="10">
        <f>IF(OR(N760="",X760=""),"",N760*X760)</f>
        <v/>
      </c>
      <c r="Z760" s="10">
        <f>IF(OR(Q760="",Y760=""),"",Q760-Y760)</f>
        <v/>
      </c>
      <c r="AA760" s="9" t="n"/>
      <c r="AB760" s="9" t="n"/>
    </row>
    <row r="761" ht="22" customHeight="1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10">
        <f>IF(OR(N761="",P761=""),"",N761*P761)</f>
        <v/>
      </c>
      <c r="R761" s="9" t="n"/>
      <c r="S761" s="9" t="n"/>
      <c r="T761" s="9" t="n"/>
      <c r="U761" s="9">
        <f>IF(Q761="","",IF(W761=0,"已付款PAID",IF(V761&gt;0,"部分核销","未付款N/P")))</f>
        <v/>
      </c>
      <c r="V761" s="10">
        <f>IF(G761="","",SUMIFS(回款核销!$H:$H,回款核销!$C:$C,G761)+SUMIFS(回款核销!$H:$H,回款核销!$B:$B,D761,回款核销!$C:$C,""))</f>
        <v/>
      </c>
      <c r="W761" s="10">
        <f>IF(Q761="","",MAX(0,Q761-V761))</f>
        <v/>
      </c>
      <c r="X761" s="9" t="n"/>
      <c r="Y761" s="10">
        <f>IF(OR(N761="",X761=""),"",N761*X761)</f>
        <v/>
      </c>
      <c r="Z761" s="10">
        <f>IF(OR(Q761="",Y761=""),"",Q761-Y761)</f>
        <v/>
      </c>
      <c r="AA761" s="9" t="n"/>
      <c r="AB761" s="9" t="n"/>
    </row>
    <row r="762" ht="22" customHeight="1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10">
        <f>IF(OR(N762="",P762=""),"",N762*P762)</f>
        <v/>
      </c>
      <c r="R762" s="9" t="n"/>
      <c r="S762" s="9" t="n"/>
      <c r="T762" s="9" t="n"/>
      <c r="U762" s="9">
        <f>IF(Q762="","",IF(W762=0,"已付款PAID",IF(V762&gt;0,"部分核销","未付款N/P")))</f>
        <v/>
      </c>
      <c r="V762" s="10">
        <f>IF(G762="","",SUMIFS(回款核销!$H:$H,回款核销!$C:$C,G762)+SUMIFS(回款核销!$H:$H,回款核销!$B:$B,D762,回款核销!$C:$C,""))</f>
        <v/>
      </c>
      <c r="W762" s="10">
        <f>IF(Q762="","",MAX(0,Q762-V762))</f>
        <v/>
      </c>
      <c r="X762" s="9" t="n"/>
      <c r="Y762" s="10">
        <f>IF(OR(N762="",X762=""),"",N762*X762)</f>
        <v/>
      </c>
      <c r="Z762" s="10">
        <f>IF(OR(Q762="",Y762=""),"",Q762-Y762)</f>
        <v/>
      </c>
      <c r="AA762" s="9" t="n"/>
      <c r="AB762" s="9" t="n"/>
    </row>
    <row r="763" ht="22" customHeight="1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10">
        <f>IF(OR(N763="",P763=""),"",N763*P763)</f>
        <v/>
      </c>
      <c r="R763" s="9" t="n"/>
      <c r="S763" s="9" t="n"/>
      <c r="T763" s="9" t="n"/>
      <c r="U763" s="9">
        <f>IF(Q763="","",IF(W763=0,"已付款PAID",IF(V763&gt;0,"部分核销","未付款N/P")))</f>
        <v/>
      </c>
      <c r="V763" s="10">
        <f>IF(G763="","",SUMIFS(回款核销!$H:$H,回款核销!$C:$C,G763)+SUMIFS(回款核销!$H:$H,回款核销!$B:$B,D763,回款核销!$C:$C,""))</f>
        <v/>
      </c>
      <c r="W763" s="10">
        <f>IF(Q763="","",MAX(0,Q763-V763))</f>
        <v/>
      </c>
      <c r="X763" s="9" t="n"/>
      <c r="Y763" s="10">
        <f>IF(OR(N763="",X763=""),"",N763*X763)</f>
        <v/>
      </c>
      <c r="Z763" s="10">
        <f>IF(OR(Q763="",Y763=""),"",Q763-Y763)</f>
        <v/>
      </c>
      <c r="AA763" s="9" t="n"/>
      <c r="AB763" s="9" t="n"/>
    </row>
    <row r="764" ht="22" customHeight="1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10">
        <f>IF(OR(N764="",P764=""),"",N764*P764)</f>
        <v/>
      </c>
      <c r="R764" s="9" t="n"/>
      <c r="S764" s="9" t="n"/>
      <c r="T764" s="9" t="n"/>
      <c r="U764" s="9">
        <f>IF(Q764="","",IF(W764=0,"已付款PAID",IF(V764&gt;0,"部分核销","未付款N/P")))</f>
        <v/>
      </c>
      <c r="V764" s="10">
        <f>IF(G764="","",SUMIFS(回款核销!$H:$H,回款核销!$C:$C,G764)+SUMIFS(回款核销!$H:$H,回款核销!$B:$B,D764,回款核销!$C:$C,""))</f>
        <v/>
      </c>
      <c r="W764" s="10">
        <f>IF(Q764="","",MAX(0,Q764-V764))</f>
        <v/>
      </c>
      <c r="X764" s="9" t="n"/>
      <c r="Y764" s="10">
        <f>IF(OR(N764="",X764=""),"",N764*X764)</f>
        <v/>
      </c>
      <c r="Z764" s="10">
        <f>IF(OR(Q764="",Y764=""),"",Q764-Y764)</f>
        <v/>
      </c>
      <c r="AA764" s="9" t="n"/>
      <c r="AB764" s="9" t="n"/>
    </row>
    <row r="765" ht="22" customHeight="1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10">
        <f>IF(OR(N765="",P765=""),"",N765*P765)</f>
        <v/>
      </c>
      <c r="R765" s="9" t="n"/>
      <c r="S765" s="9" t="n"/>
      <c r="T765" s="9" t="n"/>
      <c r="U765" s="9">
        <f>IF(Q765="","",IF(W765=0,"已付款PAID",IF(V765&gt;0,"部分核销","未付款N/P")))</f>
        <v/>
      </c>
      <c r="V765" s="10">
        <f>IF(G765="","",SUMIFS(回款核销!$H:$H,回款核销!$C:$C,G765)+SUMIFS(回款核销!$H:$H,回款核销!$B:$B,D765,回款核销!$C:$C,""))</f>
        <v/>
      </c>
      <c r="W765" s="10">
        <f>IF(Q765="","",MAX(0,Q765-V765))</f>
        <v/>
      </c>
      <c r="X765" s="9" t="n"/>
      <c r="Y765" s="10">
        <f>IF(OR(N765="",X765=""),"",N765*X765)</f>
        <v/>
      </c>
      <c r="Z765" s="10">
        <f>IF(OR(Q765="",Y765=""),"",Q765-Y765)</f>
        <v/>
      </c>
      <c r="AA765" s="9" t="n"/>
      <c r="AB765" s="9" t="n"/>
    </row>
    <row r="766" ht="22" customHeight="1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10">
        <f>IF(OR(N766="",P766=""),"",N766*P766)</f>
        <v/>
      </c>
      <c r="R766" s="9" t="n"/>
      <c r="S766" s="9" t="n"/>
      <c r="T766" s="9" t="n"/>
      <c r="U766" s="9">
        <f>IF(Q766="","",IF(W766=0,"已付款PAID",IF(V766&gt;0,"部分核销","未付款N/P")))</f>
        <v/>
      </c>
      <c r="V766" s="10">
        <f>IF(G766="","",SUMIFS(回款核销!$H:$H,回款核销!$C:$C,G766)+SUMIFS(回款核销!$H:$H,回款核销!$B:$B,D766,回款核销!$C:$C,""))</f>
        <v/>
      </c>
      <c r="W766" s="10">
        <f>IF(Q766="","",MAX(0,Q766-V766))</f>
        <v/>
      </c>
      <c r="X766" s="9" t="n"/>
      <c r="Y766" s="10">
        <f>IF(OR(N766="",X766=""),"",N766*X766)</f>
        <v/>
      </c>
      <c r="Z766" s="10">
        <f>IF(OR(Q766="",Y766=""),"",Q766-Y766)</f>
        <v/>
      </c>
      <c r="AA766" s="9" t="n"/>
      <c r="AB766" s="9" t="n"/>
    </row>
    <row r="767" ht="22" customHeight="1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10">
        <f>IF(OR(N767="",P767=""),"",N767*P767)</f>
        <v/>
      </c>
      <c r="R767" s="9" t="n"/>
      <c r="S767" s="9" t="n"/>
      <c r="T767" s="9" t="n"/>
      <c r="U767" s="9">
        <f>IF(Q767="","",IF(W767=0,"已付款PAID",IF(V767&gt;0,"部分核销","未付款N/P")))</f>
        <v/>
      </c>
      <c r="V767" s="10">
        <f>IF(G767="","",SUMIFS(回款核销!$H:$H,回款核销!$C:$C,G767)+SUMIFS(回款核销!$H:$H,回款核销!$B:$B,D767,回款核销!$C:$C,""))</f>
        <v/>
      </c>
      <c r="W767" s="10">
        <f>IF(Q767="","",MAX(0,Q767-V767))</f>
        <v/>
      </c>
      <c r="X767" s="9" t="n"/>
      <c r="Y767" s="10">
        <f>IF(OR(N767="",X767=""),"",N767*X767)</f>
        <v/>
      </c>
      <c r="Z767" s="10">
        <f>IF(OR(Q767="",Y767=""),"",Q767-Y767)</f>
        <v/>
      </c>
      <c r="AA767" s="9" t="n"/>
      <c r="AB767" s="9" t="n"/>
    </row>
    <row r="768" ht="22" customHeight="1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10">
        <f>IF(OR(N768="",P768=""),"",N768*P768)</f>
        <v/>
      </c>
      <c r="R768" s="9" t="n"/>
      <c r="S768" s="9" t="n"/>
      <c r="T768" s="9" t="n"/>
      <c r="U768" s="9">
        <f>IF(Q768="","",IF(W768=0,"已付款PAID",IF(V768&gt;0,"部分核销","未付款N/P")))</f>
        <v/>
      </c>
      <c r="V768" s="10">
        <f>IF(G768="","",SUMIFS(回款核销!$H:$H,回款核销!$C:$C,G768)+SUMIFS(回款核销!$H:$H,回款核销!$B:$B,D768,回款核销!$C:$C,""))</f>
        <v/>
      </c>
      <c r="W768" s="10">
        <f>IF(Q768="","",MAX(0,Q768-V768))</f>
        <v/>
      </c>
      <c r="X768" s="9" t="n"/>
      <c r="Y768" s="10">
        <f>IF(OR(N768="",X768=""),"",N768*X768)</f>
        <v/>
      </c>
      <c r="Z768" s="10">
        <f>IF(OR(Q768="",Y768=""),"",Q768-Y768)</f>
        <v/>
      </c>
      <c r="AA768" s="9" t="n"/>
      <c r="AB768" s="9" t="n"/>
    </row>
    <row r="769" ht="22" customHeight="1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10">
        <f>IF(OR(N769="",P769=""),"",N769*P769)</f>
        <v/>
      </c>
      <c r="R769" s="9" t="n"/>
      <c r="S769" s="9" t="n"/>
      <c r="T769" s="9" t="n"/>
      <c r="U769" s="9">
        <f>IF(Q769="","",IF(W769=0,"已付款PAID",IF(V769&gt;0,"部分核销","未付款N/P")))</f>
        <v/>
      </c>
      <c r="V769" s="10">
        <f>IF(G769="","",SUMIFS(回款核销!$H:$H,回款核销!$C:$C,G769)+SUMIFS(回款核销!$H:$H,回款核销!$B:$B,D769,回款核销!$C:$C,""))</f>
        <v/>
      </c>
      <c r="W769" s="10">
        <f>IF(Q769="","",MAX(0,Q769-V769))</f>
        <v/>
      </c>
      <c r="X769" s="9" t="n"/>
      <c r="Y769" s="10">
        <f>IF(OR(N769="",X769=""),"",N769*X769)</f>
        <v/>
      </c>
      <c r="Z769" s="10">
        <f>IF(OR(Q769="",Y769=""),"",Q769-Y769)</f>
        <v/>
      </c>
      <c r="AA769" s="9" t="n"/>
      <c r="AB769" s="9" t="n"/>
    </row>
    <row r="770" ht="22" customHeight="1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10">
        <f>IF(OR(N770="",P770=""),"",N770*P770)</f>
        <v/>
      </c>
      <c r="R770" s="9" t="n"/>
      <c r="S770" s="9" t="n"/>
      <c r="T770" s="9" t="n"/>
      <c r="U770" s="9">
        <f>IF(Q770="","",IF(W770=0,"已付款PAID",IF(V770&gt;0,"部分核销","未付款N/P")))</f>
        <v/>
      </c>
      <c r="V770" s="10">
        <f>IF(G770="","",SUMIFS(回款核销!$H:$H,回款核销!$C:$C,G770)+SUMIFS(回款核销!$H:$H,回款核销!$B:$B,D770,回款核销!$C:$C,""))</f>
        <v/>
      </c>
      <c r="W770" s="10">
        <f>IF(Q770="","",MAX(0,Q770-V770))</f>
        <v/>
      </c>
      <c r="X770" s="9" t="n"/>
      <c r="Y770" s="10">
        <f>IF(OR(N770="",X770=""),"",N770*X770)</f>
        <v/>
      </c>
      <c r="Z770" s="10">
        <f>IF(OR(Q770="",Y770=""),"",Q770-Y770)</f>
        <v/>
      </c>
      <c r="AA770" s="9" t="n"/>
      <c r="AB770" s="9" t="n"/>
    </row>
    <row r="771" ht="22" customHeight="1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10">
        <f>IF(OR(N771="",P771=""),"",N771*P771)</f>
        <v/>
      </c>
      <c r="R771" s="9" t="n"/>
      <c r="S771" s="9" t="n"/>
      <c r="T771" s="9" t="n"/>
      <c r="U771" s="9">
        <f>IF(Q771="","",IF(W771=0,"已付款PAID",IF(V771&gt;0,"部分核销","未付款N/P")))</f>
        <v/>
      </c>
      <c r="V771" s="10">
        <f>IF(G771="","",SUMIFS(回款核销!$H:$H,回款核销!$C:$C,G771)+SUMIFS(回款核销!$H:$H,回款核销!$B:$B,D771,回款核销!$C:$C,""))</f>
        <v/>
      </c>
      <c r="W771" s="10">
        <f>IF(Q771="","",MAX(0,Q771-V771))</f>
        <v/>
      </c>
      <c r="X771" s="9" t="n"/>
      <c r="Y771" s="10">
        <f>IF(OR(N771="",X771=""),"",N771*X771)</f>
        <v/>
      </c>
      <c r="Z771" s="10">
        <f>IF(OR(Q771="",Y771=""),"",Q771-Y771)</f>
        <v/>
      </c>
      <c r="AA771" s="9" t="n"/>
      <c r="AB771" s="9" t="n"/>
    </row>
    <row r="772" ht="22" customHeight="1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10">
        <f>IF(OR(N772="",P772=""),"",N772*P772)</f>
        <v/>
      </c>
      <c r="R772" s="9" t="n"/>
      <c r="S772" s="9" t="n"/>
      <c r="T772" s="9" t="n"/>
      <c r="U772" s="9">
        <f>IF(Q772="","",IF(W772=0,"已付款PAID",IF(V772&gt;0,"部分核销","未付款N/P")))</f>
        <v/>
      </c>
      <c r="V772" s="10">
        <f>IF(G772="","",SUMIFS(回款核销!$H:$H,回款核销!$C:$C,G772)+SUMIFS(回款核销!$H:$H,回款核销!$B:$B,D772,回款核销!$C:$C,""))</f>
        <v/>
      </c>
      <c r="W772" s="10">
        <f>IF(Q772="","",MAX(0,Q772-V772))</f>
        <v/>
      </c>
      <c r="X772" s="9" t="n"/>
      <c r="Y772" s="10">
        <f>IF(OR(N772="",X772=""),"",N772*X772)</f>
        <v/>
      </c>
      <c r="Z772" s="10">
        <f>IF(OR(Q772="",Y772=""),"",Q772-Y772)</f>
        <v/>
      </c>
      <c r="AA772" s="9" t="n"/>
      <c r="AB772" s="9" t="n"/>
    </row>
    <row r="773" ht="22" customHeight="1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10">
        <f>IF(OR(N773="",P773=""),"",N773*P773)</f>
        <v/>
      </c>
      <c r="R773" s="9" t="n"/>
      <c r="S773" s="9" t="n"/>
      <c r="T773" s="9" t="n"/>
      <c r="U773" s="9">
        <f>IF(Q773="","",IF(W773=0,"已付款PAID",IF(V773&gt;0,"部分核销","未付款N/P")))</f>
        <v/>
      </c>
      <c r="V773" s="10">
        <f>IF(G773="","",SUMIFS(回款核销!$H:$H,回款核销!$C:$C,G773)+SUMIFS(回款核销!$H:$H,回款核销!$B:$B,D773,回款核销!$C:$C,""))</f>
        <v/>
      </c>
      <c r="W773" s="10">
        <f>IF(Q773="","",MAX(0,Q773-V773))</f>
        <v/>
      </c>
      <c r="X773" s="9" t="n"/>
      <c r="Y773" s="10">
        <f>IF(OR(N773="",X773=""),"",N773*X773)</f>
        <v/>
      </c>
      <c r="Z773" s="10">
        <f>IF(OR(Q773="",Y773=""),"",Q773-Y773)</f>
        <v/>
      </c>
      <c r="AA773" s="9" t="n"/>
      <c r="AB773" s="9" t="n"/>
    </row>
    <row r="774" ht="22" customHeight="1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10">
        <f>IF(OR(N774="",P774=""),"",N774*P774)</f>
        <v/>
      </c>
      <c r="R774" s="9" t="n"/>
      <c r="S774" s="9" t="n"/>
      <c r="T774" s="9" t="n"/>
      <c r="U774" s="9">
        <f>IF(Q774="","",IF(W774=0,"已付款PAID",IF(V774&gt;0,"部分核销","未付款N/P")))</f>
        <v/>
      </c>
      <c r="V774" s="10">
        <f>IF(G774="","",SUMIFS(回款核销!$H:$H,回款核销!$C:$C,G774)+SUMIFS(回款核销!$H:$H,回款核销!$B:$B,D774,回款核销!$C:$C,""))</f>
        <v/>
      </c>
      <c r="W774" s="10">
        <f>IF(Q774="","",MAX(0,Q774-V774))</f>
        <v/>
      </c>
      <c r="X774" s="9" t="n"/>
      <c r="Y774" s="10">
        <f>IF(OR(N774="",X774=""),"",N774*X774)</f>
        <v/>
      </c>
      <c r="Z774" s="10">
        <f>IF(OR(Q774="",Y774=""),"",Q774-Y774)</f>
        <v/>
      </c>
      <c r="AA774" s="9" t="n"/>
      <c r="AB774" s="9" t="n"/>
    </row>
    <row r="775" ht="22" customHeight="1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10">
        <f>IF(OR(N775="",P775=""),"",N775*P775)</f>
        <v/>
      </c>
      <c r="R775" s="9" t="n"/>
      <c r="S775" s="9" t="n"/>
      <c r="T775" s="9" t="n"/>
      <c r="U775" s="9">
        <f>IF(Q775="","",IF(W775=0,"已付款PAID",IF(V775&gt;0,"部分核销","未付款N/P")))</f>
        <v/>
      </c>
      <c r="V775" s="10">
        <f>IF(G775="","",SUMIFS(回款核销!$H:$H,回款核销!$C:$C,G775)+SUMIFS(回款核销!$H:$H,回款核销!$B:$B,D775,回款核销!$C:$C,""))</f>
        <v/>
      </c>
      <c r="W775" s="10">
        <f>IF(Q775="","",MAX(0,Q775-V775))</f>
        <v/>
      </c>
      <c r="X775" s="9" t="n"/>
      <c r="Y775" s="10">
        <f>IF(OR(N775="",X775=""),"",N775*X775)</f>
        <v/>
      </c>
      <c r="Z775" s="10">
        <f>IF(OR(Q775="",Y775=""),"",Q775-Y775)</f>
        <v/>
      </c>
      <c r="AA775" s="9" t="n"/>
      <c r="AB775" s="9" t="n"/>
    </row>
    <row r="776" ht="22" customHeight="1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10">
        <f>IF(OR(N776="",P776=""),"",N776*P776)</f>
        <v/>
      </c>
      <c r="R776" s="9" t="n"/>
      <c r="S776" s="9" t="n"/>
      <c r="T776" s="9" t="n"/>
      <c r="U776" s="9">
        <f>IF(Q776="","",IF(W776=0,"已付款PAID",IF(V776&gt;0,"部分核销","未付款N/P")))</f>
        <v/>
      </c>
      <c r="V776" s="10">
        <f>IF(G776="","",SUMIFS(回款核销!$H:$H,回款核销!$C:$C,G776)+SUMIFS(回款核销!$H:$H,回款核销!$B:$B,D776,回款核销!$C:$C,""))</f>
        <v/>
      </c>
      <c r="W776" s="10">
        <f>IF(Q776="","",MAX(0,Q776-V776))</f>
        <v/>
      </c>
      <c r="X776" s="9" t="n"/>
      <c r="Y776" s="10">
        <f>IF(OR(N776="",X776=""),"",N776*X776)</f>
        <v/>
      </c>
      <c r="Z776" s="10">
        <f>IF(OR(Q776="",Y776=""),"",Q776-Y776)</f>
        <v/>
      </c>
      <c r="AA776" s="9" t="n"/>
      <c r="AB776" s="9" t="n"/>
    </row>
    <row r="777" ht="22" customHeight="1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10">
        <f>IF(OR(N777="",P777=""),"",N777*P777)</f>
        <v/>
      </c>
      <c r="R777" s="9" t="n"/>
      <c r="S777" s="9" t="n"/>
      <c r="T777" s="9" t="n"/>
      <c r="U777" s="9">
        <f>IF(Q777="","",IF(W777=0,"已付款PAID",IF(V777&gt;0,"部分核销","未付款N/P")))</f>
        <v/>
      </c>
      <c r="V777" s="10">
        <f>IF(G777="","",SUMIFS(回款核销!$H:$H,回款核销!$C:$C,G777)+SUMIFS(回款核销!$H:$H,回款核销!$B:$B,D777,回款核销!$C:$C,""))</f>
        <v/>
      </c>
      <c r="W777" s="10">
        <f>IF(Q777="","",MAX(0,Q777-V777))</f>
        <v/>
      </c>
      <c r="X777" s="9" t="n"/>
      <c r="Y777" s="10">
        <f>IF(OR(N777="",X777=""),"",N777*X777)</f>
        <v/>
      </c>
      <c r="Z777" s="10">
        <f>IF(OR(Q777="",Y777=""),"",Q777-Y777)</f>
        <v/>
      </c>
      <c r="AA777" s="9" t="n"/>
      <c r="AB777" s="9" t="n"/>
    </row>
    <row r="778" ht="22" customHeight="1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10">
        <f>IF(OR(N778="",P778=""),"",N778*P778)</f>
        <v/>
      </c>
      <c r="R778" s="9" t="n"/>
      <c r="S778" s="9" t="n"/>
      <c r="T778" s="9" t="n"/>
      <c r="U778" s="9">
        <f>IF(Q778="","",IF(W778=0,"已付款PAID",IF(V778&gt;0,"部分核销","未付款N/P")))</f>
        <v/>
      </c>
      <c r="V778" s="10">
        <f>IF(G778="","",SUMIFS(回款核销!$H:$H,回款核销!$C:$C,G778)+SUMIFS(回款核销!$H:$H,回款核销!$B:$B,D778,回款核销!$C:$C,""))</f>
        <v/>
      </c>
      <c r="W778" s="10">
        <f>IF(Q778="","",MAX(0,Q778-V778))</f>
        <v/>
      </c>
      <c r="X778" s="9" t="n"/>
      <c r="Y778" s="10">
        <f>IF(OR(N778="",X778=""),"",N778*X778)</f>
        <v/>
      </c>
      <c r="Z778" s="10">
        <f>IF(OR(Q778="",Y778=""),"",Q778-Y778)</f>
        <v/>
      </c>
      <c r="AA778" s="9" t="n"/>
      <c r="AB778" s="9" t="n"/>
    </row>
    <row r="779" ht="22" customHeight="1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10">
        <f>IF(OR(N779="",P779=""),"",N779*P779)</f>
        <v/>
      </c>
      <c r="R779" s="9" t="n"/>
      <c r="S779" s="9" t="n"/>
      <c r="T779" s="9" t="n"/>
      <c r="U779" s="9">
        <f>IF(Q779="","",IF(W779=0,"已付款PAID",IF(V779&gt;0,"部分核销","未付款N/P")))</f>
        <v/>
      </c>
      <c r="V779" s="10">
        <f>IF(G779="","",SUMIFS(回款核销!$H:$H,回款核销!$C:$C,G779)+SUMIFS(回款核销!$H:$H,回款核销!$B:$B,D779,回款核销!$C:$C,""))</f>
        <v/>
      </c>
      <c r="W779" s="10">
        <f>IF(Q779="","",MAX(0,Q779-V779))</f>
        <v/>
      </c>
      <c r="X779" s="9" t="n"/>
      <c r="Y779" s="10">
        <f>IF(OR(N779="",X779=""),"",N779*X779)</f>
        <v/>
      </c>
      <c r="Z779" s="10">
        <f>IF(OR(Q779="",Y779=""),"",Q779-Y779)</f>
        <v/>
      </c>
      <c r="AA779" s="9" t="n"/>
      <c r="AB779" s="9" t="n"/>
    </row>
    <row r="780" ht="22" customHeight="1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10">
        <f>IF(OR(N780="",P780=""),"",N780*P780)</f>
        <v/>
      </c>
      <c r="R780" s="9" t="n"/>
      <c r="S780" s="9" t="n"/>
      <c r="T780" s="9" t="n"/>
      <c r="U780" s="9">
        <f>IF(Q780="","",IF(W780=0,"已付款PAID",IF(V780&gt;0,"部分核销","未付款N/P")))</f>
        <v/>
      </c>
      <c r="V780" s="10">
        <f>IF(G780="","",SUMIFS(回款核销!$H:$H,回款核销!$C:$C,G780)+SUMIFS(回款核销!$H:$H,回款核销!$B:$B,D780,回款核销!$C:$C,""))</f>
        <v/>
      </c>
      <c r="W780" s="10">
        <f>IF(Q780="","",MAX(0,Q780-V780))</f>
        <v/>
      </c>
      <c r="X780" s="9" t="n"/>
      <c r="Y780" s="10">
        <f>IF(OR(N780="",X780=""),"",N780*X780)</f>
        <v/>
      </c>
      <c r="Z780" s="10">
        <f>IF(OR(Q780="",Y780=""),"",Q780-Y780)</f>
        <v/>
      </c>
      <c r="AA780" s="9" t="n"/>
      <c r="AB780" s="9" t="n"/>
    </row>
    <row r="781" ht="22" customHeight="1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10">
        <f>IF(OR(N781="",P781=""),"",N781*P781)</f>
        <v/>
      </c>
      <c r="R781" s="9" t="n"/>
      <c r="S781" s="9" t="n"/>
      <c r="T781" s="9" t="n"/>
      <c r="U781" s="9">
        <f>IF(Q781="","",IF(W781=0,"已付款PAID",IF(V781&gt;0,"部分核销","未付款N/P")))</f>
        <v/>
      </c>
      <c r="V781" s="10">
        <f>IF(G781="","",SUMIFS(回款核销!$H:$H,回款核销!$C:$C,G781)+SUMIFS(回款核销!$H:$H,回款核销!$B:$B,D781,回款核销!$C:$C,""))</f>
        <v/>
      </c>
      <c r="W781" s="10">
        <f>IF(Q781="","",MAX(0,Q781-V781))</f>
        <v/>
      </c>
      <c r="X781" s="9" t="n"/>
      <c r="Y781" s="10">
        <f>IF(OR(N781="",X781=""),"",N781*X781)</f>
        <v/>
      </c>
      <c r="Z781" s="10">
        <f>IF(OR(Q781="",Y781=""),"",Q781-Y781)</f>
        <v/>
      </c>
      <c r="AA781" s="9" t="n"/>
      <c r="AB781" s="9" t="n"/>
    </row>
    <row r="782" ht="22" customHeight="1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10">
        <f>IF(OR(N782="",P782=""),"",N782*P782)</f>
        <v/>
      </c>
      <c r="R782" s="9" t="n"/>
      <c r="S782" s="9" t="n"/>
      <c r="T782" s="9" t="n"/>
      <c r="U782" s="9">
        <f>IF(Q782="","",IF(W782=0,"已付款PAID",IF(V782&gt;0,"部分核销","未付款N/P")))</f>
        <v/>
      </c>
      <c r="V782" s="10">
        <f>IF(G782="","",SUMIFS(回款核销!$H:$H,回款核销!$C:$C,G782)+SUMIFS(回款核销!$H:$H,回款核销!$B:$B,D782,回款核销!$C:$C,""))</f>
        <v/>
      </c>
      <c r="W782" s="10">
        <f>IF(Q782="","",MAX(0,Q782-V782))</f>
        <v/>
      </c>
      <c r="X782" s="9" t="n"/>
      <c r="Y782" s="10">
        <f>IF(OR(N782="",X782=""),"",N782*X782)</f>
        <v/>
      </c>
      <c r="Z782" s="10">
        <f>IF(OR(Q782="",Y782=""),"",Q782-Y782)</f>
        <v/>
      </c>
      <c r="AA782" s="9" t="n"/>
      <c r="AB782" s="9" t="n"/>
    </row>
    <row r="783" ht="22" customHeight="1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10">
        <f>IF(OR(N783="",P783=""),"",N783*P783)</f>
        <v/>
      </c>
      <c r="R783" s="9" t="n"/>
      <c r="S783" s="9" t="n"/>
      <c r="T783" s="9" t="n"/>
      <c r="U783" s="9">
        <f>IF(Q783="","",IF(W783=0,"已付款PAID",IF(V783&gt;0,"部分核销","未付款N/P")))</f>
        <v/>
      </c>
      <c r="V783" s="10">
        <f>IF(G783="","",SUMIFS(回款核销!$H:$H,回款核销!$C:$C,G783)+SUMIFS(回款核销!$H:$H,回款核销!$B:$B,D783,回款核销!$C:$C,""))</f>
        <v/>
      </c>
      <c r="W783" s="10">
        <f>IF(Q783="","",MAX(0,Q783-V783))</f>
        <v/>
      </c>
      <c r="X783" s="9" t="n"/>
      <c r="Y783" s="10">
        <f>IF(OR(N783="",X783=""),"",N783*X783)</f>
        <v/>
      </c>
      <c r="Z783" s="10">
        <f>IF(OR(Q783="",Y783=""),"",Q783-Y783)</f>
        <v/>
      </c>
      <c r="AA783" s="9" t="n"/>
      <c r="AB783" s="9" t="n"/>
    </row>
    <row r="784" ht="22" customHeight="1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10">
        <f>IF(OR(N784="",P784=""),"",N784*P784)</f>
        <v/>
      </c>
      <c r="R784" s="9" t="n"/>
      <c r="S784" s="9" t="n"/>
      <c r="T784" s="9" t="n"/>
      <c r="U784" s="9">
        <f>IF(Q784="","",IF(W784=0,"已付款PAID",IF(V784&gt;0,"部分核销","未付款N/P")))</f>
        <v/>
      </c>
      <c r="V784" s="10">
        <f>IF(G784="","",SUMIFS(回款核销!$H:$H,回款核销!$C:$C,G784)+SUMIFS(回款核销!$H:$H,回款核销!$B:$B,D784,回款核销!$C:$C,""))</f>
        <v/>
      </c>
      <c r="W784" s="10">
        <f>IF(Q784="","",MAX(0,Q784-V784))</f>
        <v/>
      </c>
      <c r="X784" s="9" t="n"/>
      <c r="Y784" s="10">
        <f>IF(OR(N784="",X784=""),"",N784*X784)</f>
        <v/>
      </c>
      <c r="Z784" s="10">
        <f>IF(OR(Q784="",Y784=""),"",Q784-Y784)</f>
        <v/>
      </c>
      <c r="AA784" s="9" t="n"/>
      <c r="AB784" s="9" t="n"/>
    </row>
    <row r="785" ht="22" customHeight="1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10">
        <f>IF(OR(N785="",P785=""),"",N785*P785)</f>
        <v/>
      </c>
      <c r="R785" s="9" t="n"/>
      <c r="S785" s="9" t="n"/>
      <c r="T785" s="9" t="n"/>
      <c r="U785" s="9">
        <f>IF(Q785="","",IF(W785=0,"已付款PAID",IF(V785&gt;0,"部分核销","未付款N/P")))</f>
        <v/>
      </c>
      <c r="V785" s="10">
        <f>IF(G785="","",SUMIFS(回款核销!$H:$H,回款核销!$C:$C,G785)+SUMIFS(回款核销!$H:$H,回款核销!$B:$B,D785,回款核销!$C:$C,""))</f>
        <v/>
      </c>
      <c r="W785" s="10">
        <f>IF(Q785="","",MAX(0,Q785-V785))</f>
        <v/>
      </c>
      <c r="X785" s="9" t="n"/>
      <c r="Y785" s="10">
        <f>IF(OR(N785="",X785=""),"",N785*X785)</f>
        <v/>
      </c>
      <c r="Z785" s="10">
        <f>IF(OR(Q785="",Y785=""),"",Q785-Y785)</f>
        <v/>
      </c>
      <c r="AA785" s="9" t="n"/>
      <c r="AB785" s="9" t="n"/>
    </row>
    <row r="786" ht="22" customHeight="1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10">
        <f>IF(OR(N786="",P786=""),"",N786*P786)</f>
        <v/>
      </c>
      <c r="R786" s="9" t="n"/>
      <c r="S786" s="9" t="n"/>
      <c r="T786" s="9" t="n"/>
      <c r="U786" s="9">
        <f>IF(Q786="","",IF(W786=0,"已付款PAID",IF(V786&gt;0,"部分核销","未付款N/P")))</f>
        <v/>
      </c>
      <c r="V786" s="10">
        <f>IF(G786="","",SUMIFS(回款核销!$H:$H,回款核销!$C:$C,G786)+SUMIFS(回款核销!$H:$H,回款核销!$B:$B,D786,回款核销!$C:$C,""))</f>
        <v/>
      </c>
      <c r="W786" s="10">
        <f>IF(Q786="","",MAX(0,Q786-V786))</f>
        <v/>
      </c>
      <c r="X786" s="9" t="n"/>
      <c r="Y786" s="10">
        <f>IF(OR(N786="",X786=""),"",N786*X786)</f>
        <v/>
      </c>
      <c r="Z786" s="10">
        <f>IF(OR(Q786="",Y786=""),"",Q786-Y786)</f>
        <v/>
      </c>
      <c r="AA786" s="9" t="n"/>
      <c r="AB786" s="9" t="n"/>
    </row>
    <row r="787" ht="22" customHeight="1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10">
        <f>IF(OR(N787="",P787=""),"",N787*P787)</f>
        <v/>
      </c>
      <c r="R787" s="9" t="n"/>
      <c r="S787" s="9" t="n"/>
      <c r="T787" s="9" t="n"/>
      <c r="U787" s="9">
        <f>IF(Q787="","",IF(W787=0,"已付款PAID",IF(V787&gt;0,"部分核销","未付款N/P")))</f>
        <v/>
      </c>
      <c r="V787" s="10">
        <f>IF(G787="","",SUMIFS(回款核销!$H:$H,回款核销!$C:$C,G787)+SUMIFS(回款核销!$H:$H,回款核销!$B:$B,D787,回款核销!$C:$C,""))</f>
        <v/>
      </c>
      <c r="W787" s="10">
        <f>IF(Q787="","",MAX(0,Q787-V787))</f>
        <v/>
      </c>
      <c r="X787" s="9" t="n"/>
      <c r="Y787" s="10">
        <f>IF(OR(N787="",X787=""),"",N787*X787)</f>
        <v/>
      </c>
      <c r="Z787" s="10">
        <f>IF(OR(Q787="",Y787=""),"",Q787-Y787)</f>
        <v/>
      </c>
      <c r="AA787" s="9" t="n"/>
      <c r="AB787" s="9" t="n"/>
    </row>
    <row r="788" ht="22" customHeight="1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10">
        <f>IF(OR(N788="",P788=""),"",N788*P788)</f>
        <v/>
      </c>
      <c r="R788" s="9" t="n"/>
      <c r="S788" s="9" t="n"/>
      <c r="T788" s="9" t="n"/>
      <c r="U788" s="9">
        <f>IF(Q788="","",IF(W788=0,"已付款PAID",IF(V788&gt;0,"部分核销","未付款N/P")))</f>
        <v/>
      </c>
      <c r="V788" s="10">
        <f>IF(G788="","",SUMIFS(回款核销!$H:$H,回款核销!$C:$C,G788)+SUMIFS(回款核销!$H:$H,回款核销!$B:$B,D788,回款核销!$C:$C,""))</f>
        <v/>
      </c>
      <c r="W788" s="10">
        <f>IF(Q788="","",MAX(0,Q788-V788))</f>
        <v/>
      </c>
      <c r="X788" s="9" t="n"/>
      <c r="Y788" s="10">
        <f>IF(OR(N788="",X788=""),"",N788*X788)</f>
        <v/>
      </c>
      <c r="Z788" s="10">
        <f>IF(OR(Q788="",Y788=""),"",Q788-Y788)</f>
        <v/>
      </c>
      <c r="AA788" s="9" t="n"/>
      <c r="AB788" s="9" t="n"/>
    </row>
    <row r="789" ht="22" customHeight="1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10">
        <f>IF(OR(N789="",P789=""),"",N789*P789)</f>
        <v/>
      </c>
      <c r="R789" s="9" t="n"/>
      <c r="S789" s="9" t="n"/>
      <c r="T789" s="9" t="n"/>
      <c r="U789" s="9">
        <f>IF(Q789="","",IF(W789=0,"已付款PAID",IF(V789&gt;0,"部分核销","未付款N/P")))</f>
        <v/>
      </c>
      <c r="V789" s="10">
        <f>IF(G789="","",SUMIFS(回款核销!$H:$H,回款核销!$C:$C,G789)+SUMIFS(回款核销!$H:$H,回款核销!$B:$B,D789,回款核销!$C:$C,""))</f>
        <v/>
      </c>
      <c r="W789" s="10">
        <f>IF(Q789="","",MAX(0,Q789-V789))</f>
        <v/>
      </c>
      <c r="X789" s="9" t="n"/>
      <c r="Y789" s="10">
        <f>IF(OR(N789="",X789=""),"",N789*X789)</f>
        <v/>
      </c>
      <c r="Z789" s="10">
        <f>IF(OR(Q789="",Y789=""),"",Q789-Y789)</f>
        <v/>
      </c>
      <c r="AA789" s="9" t="n"/>
      <c r="AB789" s="9" t="n"/>
    </row>
    <row r="790" ht="22" customHeight="1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10">
        <f>IF(OR(N790="",P790=""),"",N790*P790)</f>
        <v/>
      </c>
      <c r="R790" s="9" t="n"/>
      <c r="S790" s="9" t="n"/>
      <c r="T790" s="9" t="n"/>
      <c r="U790" s="9">
        <f>IF(Q790="","",IF(W790=0,"已付款PAID",IF(V790&gt;0,"部分核销","未付款N/P")))</f>
        <v/>
      </c>
      <c r="V790" s="10">
        <f>IF(G790="","",SUMIFS(回款核销!$H:$H,回款核销!$C:$C,G790)+SUMIFS(回款核销!$H:$H,回款核销!$B:$B,D790,回款核销!$C:$C,""))</f>
        <v/>
      </c>
      <c r="W790" s="10">
        <f>IF(Q790="","",MAX(0,Q790-V790))</f>
        <v/>
      </c>
      <c r="X790" s="9" t="n"/>
      <c r="Y790" s="10">
        <f>IF(OR(N790="",X790=""),"",N790*X790)</f>
        <v/>
      </c>
      <c r="Z790" s="10">
        <f>IF(OR(Q790="",Y790=""),"",Q790-Y790)</f>
        <v/>
      </c>
      <c r="AA790" s="9" t="n"/>
      <c r="AB790" s="9" t="n"/>
    </row>
    <row r="791" ht="22" customHeight="1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10">
        <f>IF(OR(N791="",P791=""),"",N791*P791)</f>
        <v/>
      </c>
      <c r="R791" s="9" t="n"/>
      <c r="S791" s="9" t="n"/>
      <c r="T791" s="9" t="n"/>
      <c r="U791" s="9">
        <f>IF(Q791="","",IF(W791=0,"已付款PAID",IF(V791&gt;0,"部分核销","未付款N/P")))</f>
        <v/>
      </c>
      <c r="V791" s="10">
        <f>IF(G791="","",SUMIFS(回款核销!$H:$H,回款核销!$C:$C,G791)+SUMIFS(回款核销!$H:$H,回款核销!$B:$B,D791,回款核销!$C:$C,""))</f>
        <v/>
      </c>
      <c r="W791" s="10">
        <f>IF(Q791="","",MAX(0,Q791-V791))</f>
        <v/>
      </c>
      <c r="X791" s="9" t="n"/>
      <c r="Y791" s="10">
        <f>IF(OR(N791="",X791=""),"",N791*X791)</f>
        <v/>
      </c>
      <c r="Z791" s="10">
        <f>IF(OR(Q791="",Y791=""),"",Q791-Y791)</f>
        <v/>
      </c>
      <c r="AA791" s="9" t="n"/>
      <c r="AB791" s="9" t="n"/>
    </row>
    <row r="792" ht="22" customHeight="1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10">
        <f>IF(OR(N792="",P792=""),"",N792*P792)</f>
        <v/>
      </c>
      <c r="R792" s="9" t="n"/>
      <c r="S792" s="9" t="n"/>
      <c r="T792" s="9" t="n"/>
      <c r="U792" s="9">
        <f>IF(Q792="","",IF(W792=0,"已付款PAID",IF(V792&gt;0,"部分核销","未付款N/P")))</f>
        <v/>
      </c>
      <c r="V792" s="10">
        <f>IF(G792="","",SUMIFS(回款核销!$H:$H,回款核销!$C:$C,G792)+SUMIFS(回款核销!$H:$H,回款核销!$B:$B,D792,回款核销!$C:$C,""))</f>
        <v/>
      </c>
      <c r="W792" s="10">
        <f>IF(Q792="","",MAX(0,Q792-V792))</f>
        <v/>
      </c>
      <c r="X792" s="9" t="n"/>
      <c r="Y792" s="10">
        <f>IF(OR(N792="",X792=""),"",N792*X792)</f>
        <v/>
      </c>
      <c r="Z792" s="10">
        <f>IF(OR(Q792="",Y792=""),"",Q792-Y792)</f>
        <v/>
      </c>
      <c r="AA792" s="9" t="n"/>
      <c r="AB792" s="9" t="n"/>
    </row>
    <row r="793" ht="22" customHeight="1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10">
        <f>IF(OR(N793="",P793=""),"",N793*P793)</f>
        <v/>
      </c>
      <c r="R793" s="9" t="n"/>
      <c r="S793" s="9" t="n"/>
      <c r="T793" s="9" t="n"/>
      <c r="U793" s="9">
        <f>IF(Q793="","",IF(W793=0,"已付款PAID",IF(V793&gt;0,"部分核销","未付款N/P")))</f>
        <v/>
      </c>
      <c r="V793" s="10">
        <f>IF(G793="","",SUMIFS(回款核销!$H:$H,回款核销!$C:$C,G793)+SUMIFS(回款核销!$H:$H,回款核销!$B:$B,D793,回款核销!$C:$C,""))</f>
        <v/>
      </c>
      <c r="W793" s="10">
        <f>IF(Q793="","",MAX(0,Q793-V793))</f>
        <v/>
      </c>
      <c r="X793" s="9" t="n"/>
      <c r="Y793" s="10">
        <f>IF(OR(N793="",X793=""),"",N793*X793)</f>
        <v/>
      </c>
      <c r="Z793" s="10">
        <f>IF(OR(Q793="",Y793=""),"",Q793-Y793)</f>
        <v/>
      </c>
      <c r="AA793" s="9" t="n"/>
      <c r="AB793" s="9" t="n"/>
    </row>
    <row r="794" ht="22" customHeight="1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10">
        <f>IF(OR(N794="",P794=""),"",N794*P794)</f>
        <v/>
      </c>
      <c r="R794" s="9" t="n"/>
      <c r="S794" s="9" t="n"/>
      <c r="T794" s="9" t="n"/>
      <c r="U794" s="9">
        <f>IF(Q794="","",IF(W794=0,"已付款PAID",IF(V794&gt;0,"部分核销","未付款N/P")))</f>
        <v/>
      </c>
      <c r="V794" s="10">
        <f>IF(G794="","",SUMIFS(回款核销!$H:$H,回款核销!$C:$C,G794)+SUMIFS(回款核销!$H:$H,回款核销!$B:$B,D794,回款核销!$C:$C,""))</f>
        <v/>
      </c>
      <c r="W794" s="10">
        <f>IF(Q794="","",MAX(0,Q794-V794))</f>
        <v/>
      </c>
      <c r="X794" s="9" t="n"/>
      <c r="Y794" s="10">
        <f>IF(OR(N794="",X794=""),"",N794*X794)</f>
        <v/>
      </c>
      <c r="Z794" s="10">
        <f>IF(OR(Q794="",Y794=""),"",Q794-Y794)</f>
        <v/>
      </c>
      <c r="AA794" s="9" t="n"/>
      <c r="AB794" s="9" t="n"/>
    </row>
    <row r="795" ht="22" customHeight="1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10">
        <f>IF(OR(N795="",P795=""),"",N795*P795)</f>
        <v/>
      </c>
      <c r="R795" s="9" t="n"/>
      <c r="S795" s="9" t="n"/>
      <c r="T795" s="9" t="n"/>
      <c r="U795" s="9">
        <f>IF(Q795="","",IF(W795=0,"已付款PAID",IF(V795&gt;0,"部分核销","未付款N/P")))</f>
        <v/>
      </c>
      <c r="V795" s="10">
        <f>IF(G795="","",SUMIFS(回款核销!$H:$H,回款核销!$C:$C,G795)+SUMIFS(回款核销!$H:$H,回款核销!$B:$B,D795,回款核销!$C:$C,""))</f>
        <v/>
      </c>
      <c r="W795" s="10">
        <f>IF(Q795="","",MAX(0,Q795-V795))</f>
        <v/>
      </c>
      <c r="X795" s="9" t="n"/>
      <c r="Y795" s="10">
        <f>IF(OR(N795="",X795=""),"",N795*X795)</f>
        <v/>
      </c>
      <c r="Z795" s="10">
        <f>IF(OR(Q795="",Y795=""),"",Q795-Y795)</f>
        <v/>
      </c>
      <c r="AA795" s="9" t="n"/>
      <c r="AB795" s="9" t="n"/>
    </row>
    <row r="796" ht="22" customHeight="1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10">
        <f>IF(OR(N796="",P796=""),"",N796*P796)</f>
        <v/>
      </c>
      <c r="R796" s="9" t="n"/>
      <c r="S796" s="9" t="n"/>
      <c r="T796" s="9" t="n"/>
      <c r="U796" s="9">
        <f>IF(Q796="","",IF(W796=0,"已付款PAID",IF(V796&gt;0,"部分核销","未付款N/P")))</f>
        <v/>
      </c>
      <c r="V796" s="10">
        <f>IF(G796="","",SUMIFS(回款核销!$H:$H,回款核销!$C:$C,G796)+SUMIFS(回款核销!$H:$H,回款核销!$B:$B,D796,回款核销!$C:$C,""))</f>
        <v/>
      </c>
      <c r="W796" s="10">
        <f>IF(Q796="","",MAX(0,Q796-V796))</f>
        <v/>
      </c>
      <c r="X796" s="9" t="n"/>
      <c r="Y796" s="10">
        <f>IF(OR(N796="",X796=""),"",N796*X796)</f>
        <v/>
      </c>
      <c r="Z796" s="10">
        <f>IF(OR(Q796="",Y796=""),"",Q796-Y796)</f>
        <v/>
      </c>
      <c r="AA796" s="9" t="n"/>
      <c r="AB796" s="9" t="n"/>
    </row>
    <row r="797" ht="22" customHeight="1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10">
        <f>IF(OR(N797="",P797=""),"",N797*P797)</f>
        <v/>
      </c>
      <c r="R797" s="9" t="n"/>
      <c r="S797" s="9" t="n"/>
      <c r="T797" s="9" t="n"/>
      <c r="U797" s="9">
        <f>IF(Q797="","",IF(W797=0,"已付款PAID",IF(V797&gt;0,"部分核销","未付款N/P")))</f>
        <v/>
      </c>
      <c r="V797" s="10">
        <f>IF(G797="","",SUMIFS(回款核销!$H:$H,回款核销!$C:$C,G797)+SUMIFS(回款核销!$H:$H,回款核销!$B:$B,D797,回款核销!$C:$C,""))</f>
        <v/>
      </c>
      <c r="W797" s="10">
        <f>IF(Q797="","",MAX(0,Q797-V797))</f>
        <v/>
      </c>
      <c r="X797" s="9" t="n"/>
      <c r="Y797" s="10">
        <f>IF(OR(N797="",X797=""),"",N797*X797)</f>
        <v/>
      </c>
      <c r="Z797" s="10">
        <f>IF(OR(Q797="",Y797=""),"",Q797-Y797)</f>
        <v/>
      </c>
      <c r="AA797" s="9" t="n"/>
      <c r="AB797" s="9" t="n"/>
    </row>
    <row r="798" ht="22" customHeight="1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10">
        <f>IF(OR(N798="",P798=""),"",N798*P798)</f>
        <v/>
      </c>
      <c r="R798" s="9" t="n"/>
      <c r="S798" s="9" t="n"/>
      <c r="T798" s="9" t="n"/>
      <c r="U798" s="9">
        <f>IF(Q798="","",IF(W798=0,"已付款PAID",IF(V798&gt;0,"部分核销","未付款N/P")))</f>
        <v/>
      </c>
      <c r="V798" s="10">
        <f>IF(G798="","",SUMIFS(回款核销!$H:$H,回款核销!$C:$C,G798)+SUMIFS(回款核销!$H:$H,回款核销!$B:$B,D798,回款核销!$C:$C,""))</f>
        <v/>
      </c>
      <c r="W798" s="10">
        <f>IF(Q798="","",MAX(0,Q798-V798))</f>
        <v/>
      </c>
      <c r="X798" s="9" t="n"/>
      <c r="Y798" s="10">
        <f>IF(OR(N798="",X798=""),"",N798*X798)</f>
        <v/>
      </c>
      <c r="Z798" s="10">
        <f>IF(OR(Q798="",Y798=""),"",Q798-Y798)</f>
        <v/>
      </c>
      <c r="AA798" s="9" t="n"/>
      <c r="AB798" s="9" t="n"/>
    </row>
    <row r="799" ht="22" customHeight="1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10">
        <f>IF(OR(N799="",P799=""),"",N799*P799)</f>
        <v/>
      </c>
      <c r="R799" s="9" t="n"/>
      <c r="S799" s="9" t="n"/>
      <c r="T799" s="9" t="n"/>
      <c r="U799" s="9">
        <f>IF(Q799="","",IF(W799=0,"已付款PAID",IF(V799&gt;0,"部分核销","未付款N/P")))</f>
        <v/>
      </c>
      <c r="V799" s="10">
        <f>IF(G799="","",SUMIFS(回款核销!$H:$H,回款核销!$C:$C,G799)+SUMIFS(回款核销!$H:$H,回款核销!$B:$B,D799,回款核销!$C:$C,""))</f>
        <v/>
      </c>
      <c r="W799" s="10">
        <f>IF(Q799="","",MAX(0,Q799-V799))</f>
        <v/>
      </c>
      <c r="X799" s="9" t="n"/>
      <c r="Y799" s="10">
        <f>IF(OR(N799="",X799=""),"",N799*X799)</f>
        <v/>
      </c>
      <c r="Z799" s="10">
        <f>IF(OR(Q799="",Y799=""),"",Q799-Y799)</f>
        <v/>
      </c>
      <c r="AA799" s="9" t="n"/>
      <c r="AB799" s="9" t="n"/>
    </row>
    <row r="800" ht="22" customHeight="1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10">
        <f>IF(OR(N800="",P800=""),"",N800*P800)</f>
        <v/>
      </c>
      <c r="R800" s="9" t="n"/>
      <c r="S800" s="9" t="n"/>
      <c r="T800" s="9" t="n"/>
      <c r="U800" s="9">
        <f>IF(Q800="","",IF(W800=0,"已付款PAID",IF(V800&gt;0,"部分核销","未付款N/P")))</f>
        <v/>
      </c>
      <c r="V800" s="10">
        <f>IF(G800="","",SUMIFS(回款核销!$H:$H,回款核销!$C:$C,G800)+SUMIFS(回款核销!$H:$H,回款核销!$B:$B,D800,回款核销!$C:$C,""))</f>
        <v/>
      </c>
      <c r="W800" s="10">
        <f>IF(Q800="","",MAX(0,Q800-V800))</f>
        <v/>
      </c>
      <c r="X800" s="9" t="n"/>
      <c r="Y800" s="10">
        <f>IF(OR(N800="",X800=""),"",N800*X800)</f>
        <v/>
      </c>
      <c r="Z800" s="10">
        <f>IF(OR(Q800="",Y800=""),"",Q800-Y800)</f>
        <v/>
      </c>
      <c r="AA800" s="9" t="n"/>
      <c r="AB800" s="9" t="n"/>
    </row>
    <row r="801" ht="22" customHeight="1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10">
        <f>IF(OR(N801="",P801=""),"",N801*P801)</f>
        <v/>
      </c>
      <c r="R801" s="9" t="n"/>
      <c r="S801" s="9" t="n"/>
      <c r="T801" s="9" t="n"/>
      <c r="U801" s="9">
        <f>IF(Q801="","",IF(W801=0,"已付款PAID",IF(V801&gt;0,"部分核销","未付款N/P")))</f>
        <v/>
      </c>
      <c r="V801" s="10">
        <f>IF(G801="","",SUMIFS(回款核销!$H:$H,回款核销!$C:$C,G801)+SUMIFS(回款核销!$H:$H,回款核销!$B:$B,D801,回款核销!$C:$C,""))</f>
        <v/>
      </c>
      <c r="W801" s="10">
        <f>IF(Q801="","",MAX(0,Q801-V801))</f>
        <v/>
      </c>
      <c r="X801" s="9" t="n"/>
      <c r="Y801" s="10">
        <f>IF(OR(N801="",X801=""),"",N801*X801)</f>
        <v/>
      </c>
      <c r="Z801" s="10">
        <f>IF(OR(Q801="",Y801=""),"",Q801-Y801)</f>
        <v/>
      </c>
      <c r="AA801" s="9" t="n"/>
      <c r="AB801" s="9" t="n"/>
    </row>
    <row r="802" ht="22" customHeight="1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10">
        <f>IF(OR(N802="",P802=""),"",N802*P802)</f>
        <v/>
      </c>
      <c r="R802" s="9" t="n"/>
      <c r="S802" s="9" t="n"/>
      <c r="T802" s="9" t="n"/>
      <c r="U802" s="9">
        <f>IF(Q802="","",IF(W802=0,"已付款PAID",IF(V802&gt;0,"部分核销","未付款N/P")))</f>
        <v/>
      </c>
      <c r="V802" s="10">
        <f>IF(G802="","",SUMIFS(回款核销!$H:$H,回款核销!$C:$C,G802)+SUMIFS(回款核销!$H:$H,回款核销!$B:$B,D802,回款核销!$C:$C,""))</f>
        <v/>
      </c>
      <c r="W802" s="10">
        <f>IF(Q802="","",MAX(0,Q802-V802))</f>
        <v/>
      </c>
      <c r="X802" s="9" t="n"/>
      <c r="Y802" s="10">
        <f>IF(OR(N802="",X802=""),"",N802*X802)</f>
        <v/>
      </c>
      <c r="Z802" s="10">
        <f>IF(OR(Q802="",Y802=""),"",Q802-Y802)</f>
        <v/>
      </c>
      <c r="AA802" s="9" t="n"/>
      <c r="AB802" s="9" t="n"/>
    </row>
    <row r="803" ht="22" customHeight="1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10">
        <f>IF(OR(N803="",P803=""),"",N803*P803)</f>
        <v/>
      </c>
      <c r="R803" s="9" t="n"/>
      <c r="S803" s="9" t="n"/>
      <c r="T803" s="9" t="n"/>
      <c r="U803" s="9">
        <f>IF(Q803="","",IF(W803=0,"已付款PAID",IF(V803&gt;0,"部分核销","未付款N/P")))</f>
        <v/>
      </c>
      <c r="V803" s="10">
        <f>IF(G803="","",SUMIFS(回款核销!$H:$H,回款核销!$C:$C,G803)+SUMIFS(回款核销!$H:$H,回款核销!$B:$B,D803,回款核销!$C:$C,""))</f>
        <v/>
      </c>
      <c r="W803" s="10">
        <f>IF(Q803="","",MAX(0,Q803-V803))</f>
        <v/>
      </c>
      <c r="X803" s="9" t="n"/>
      <c r="Y803" s="10">
        <f>IF(OR(N803="",X803=""),"",N803*X803)</f>
        <v/>
      </c>
      <c r="Z803" s="10">
        <f>IF(OR(Q803="",Y803=""),"",Q803-Y803)</f>
        <v/>
      </c>
      <c r="AA803" s="9" t="n"/>
      <c r="AB803" s="9" t="n"/>
    </row>
    <row r="804" ht="22" customHeight="1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10">
        <f>IF(OR(N804="",P804=""),"",N804*P804)</f>
        <v/>
      </c>
      <c r="R804" s="9" t="n"/>
      <c r="S804" s="9" t="n"/>
      <c r="T804" s="9" t="n"/>
      <c r="U804" s="9">
        <f>IF(Q804="","",IF(W804=0,"已付款PAID",IF(V804&gt;0,"部分核销","未付款N/P")))</f>
        <v/>
      </c>
      <c r="V804" s="10">
        <f>IF(G804="","",SUMIFS(回款核销!$H:$H,回款核销!$C:$C,G804)+SUMIFS(回款核销!$H:$H,回款核销!$B:$B,D804,回款核销!$C:$C,""))</f>
        <v/>
      </c>
      <c r="W804" s="10">
        <f>IF(Q804="","",MAX(0,Q804-V804))</f>
        <v/>
      </c>
      <c r="X804" s="9" t="n"/>
      <c r="Y804" s="10">
        <f>IF(OR(N804="",X804=""),"",N804*X804)</f>
        <v/>
      </c>
      <c r="Z804" s="10">
        <f>IF(OR(Q804="",Y804=""),"",Q804-Y804)</f>
        <v/>
      </c>
      <c r="AA804" s="9" t="n"/>
      <c r="AB804" s="9" t="n"/>
    </row>
    <row r="805" ht="22" customHeight="1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10">
        <f>IF(OR(N805="",P805=""),"",N805*P805)</f>
        <v/>
      </c>
      <c r="R805" s="9" t="n"/>
      <c r="S805" s="9" t="n"/>
      <c r="T805" s="9" t="n"/>
      <c r="U805" s="9">
        <f>IF(Q805="","",IF(W805=0,"已付款PAID",IF(V805&gt;0,"部分核销","未付款N/P")))</f>
        <v/>
      </c>
      <c r="V805" s="10">
        <f>IF(G805="","",SUMIFS(回款核销!$H:$H,回款核销!$C:$C,G805)+SUMIFS(回款核销!$H:$H,回款核销!$B:$B,D805,回款核销!$C:$C,""))</f>
        <v/>
      </c>
      <c r="W805" s="10">
        <f>IF(Q805="","",MAX(0,Q805-V805))</f>
        <v/>
      </c>
      <c r="X805" s="9" t="n"/>
      <c r="Y805" s="10">
        <f>IF(OR(N805="",X805=""),"",N805*X805)</f>
        <v/>
      </c>
      <c r="Z805" s="10">
        <f>IF(OR(Q805="",Y805=""),"",Q805-Y805)</f>
        <v/>
      </c>
      <c r="AA805" s="9" t="n"/>
      <c r="AB805" s="9" t="n"/>
    </row>
    <row r="806" ht="22" customHeight="1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10">
        <f>IF(OR(N806="",P806=""),"",N806*P806)</f>
        <v/>
      </c>
      <c r="R806" s="9" t="n"/>
      <c r="S806" s="9" t="n"/>
      <c r="T806" s="9" t="n"/>
      <c r="U806" s="9">
        <f>IF(Q806="","",IF(W806=0,"已付款PAID",IF(V806&gt;0,"部分核销","未付款N/P")))</f>
        <v/>
      </c>
      <c r="V806" s="10">
        <f>IF(G806="","",SUMIFS(回款核销!$H:$H,回款核销!$C:$C,G806)+SUMIFS(回款核销!$H:$H,回款核销!$B:$B,D806,回款核销!$C:$C,""))</f>
        <v/>
      </c>
      <c r="W806" s="10">
        <f>IF(Q806="","",MAX(0,Q806-V806))</f>
        <v/>
      </c>
      <c r="X806" s="9" t="n"/>
      <c r="Y806" s="10">
        <f>IF(OR(N806="",X806=""),"",N806*X806)</f>
        <v/>
      </c>
      <c r="Z806" s="10">
        <f>IF(OR(Q806="",Y806=""),"",Q806-Y806)</f>
        <v/>
      </c>
      <c r="AA806" s="9" t="n"/>
      <c r="AB806" s="9" t="n"/>
    </row>
    <row r="807" ht="22" customHeight="1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10">
        <f>IF(OR(N807="",P807=""),"",N807*P807)</f>
        <v/>
      </c>
      <c r="R807" s="9" t="n"/>
      <c r="S807" s="9" t="n"/>
      <c r="T807" s="9" t="n"/>
      <c r="U807" s="9">
        <f>IF(Q807="","",IF(W807=0,"已付款PAID",IF(V807&gt;0,"部分核销","未付款N/P")))</f>
        <v/>
      </c>
      <c r="V807" s="10">
        <f>IF(G807="","",SUMIFS(回款核销!$H:$H,回款核销!$C:$C,G807)+SUMIFS(回款核销!$H:$H,回款核销!$B:$B,D807,回款核销!$C:$C,""))</f>
        <v/>
      </c>
      <c r="W807" s="10">
        <f>IF(Q807="","",MAX(0,Q807-V807))</f>
        <v/>
      </c>
      <c r="X807" s="9" t="n"/>
      <c r="Y807" s="10">
        <f>IF(OR(N807="",X807=""),"",N807*X807)</f>
        <v/>
      </c>
      <c r="Z807" s="10">
        <f>IF(OR(Q807="",Y807=""),"",Q807-Y807)</f>
        <v/>
      </c>
      <c r="AA807" s="9" t="n"/>
      <c r="AB807" s="9" t="n"/>
    </row>
    <row r="808" ht="22" customHeight="1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10">
        <f>IF(OR(N808="",P808=""),"",N808*P808)</f>
        <v/>
      </c>
      <c r="R808" s="9" t="n"/>
      <c r="S808" s="9" t="n"/>
      <c r="T808" s="9" t="n"/>
      <c r="U808" s="9">
        <f>IF(Q808="","",IF(W808=0,"已付款PAID",IF(V808&gt;0,"部分核销","未付款N/P")))</f>
        <v/>
      </c>
      <c r="V808" s="10">
        <f>IF(G808="","",SUMIFS(回款核销!$H:$H,回款核销!$C:$C,G808)+SUMIFS(回款核销!$H:$H,回款核销!$B:$B,D808,回款核销!$C:$C,""))</f>
        <v/>
      </c>
      <c r="W808" s="10">
        <f>IF(Q808="","",MAX(0,Q808-V808))</f>
        <v/>
      </c>
      <c r="X808" s="9" t="n"/>
      <c r="Y808" s="10">
        <f>IF(OR(N808="",X808=""),"",N808*X808)</f>
        <v/>
      </c>
      <c r="Z808" s="10">
        <f>IF(OR(Q808="",Y808=""),"",Q808-Y808)</f>
        <v/>
      </c>
      <c r="AA808" s="9" t="n"/>
      <c r="AB808" s="9" t="n"/>
    </row>
    <row r="809" ht="22" customHeight="1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10">
        <f>IF(OR(N809="",P809=""),"",N809*P809)</f>
        <v/>
      </c>
      <c r="R809" s="9" t="n"/>
      <c r="S809" s="9" t="n"/>
      <c r="T809" s="9" t="n"/>
      <c r="U809" s="9">
        <f>IF(Q809="","",IF(W809=0,"已付款PAID",IF(V809&gt;0,"部分核销","未付款N/P")))</f>
        <v/>
      </c>
      <c r="V809" s="10">
        <f>IF(G809="","",SUMIFS(回款核销!$H:$H,回款核销!$C:$C,G809)+SUMIFS(回款核销!$H:$H,回款核销!$B:$B,D809,回款核销!$C:$C,""))</f>
        <v/>
      </c>
      <c r="W809" s="10">
        <f>IF(Q809="","",MAX(0,Q809-V809))</f>
        <v/>
      </c>
      <c r="X809" s="9" t="n"/>
      <c r="Y809" s="10">
        <f>IF(OR(N809="",X809=""),"",N809*X809)</f>
        <v/>
      </c>
      <c r="Z809" s="10">
        <f>IF(OR(Q809="",Y809=""),"",Q809-Y809)</f>
        <v/>
      </c>
      <c r="AA809" s="9" t="n"/>
      <c r="AB809" s="9" t="n"/>
    </row>
    <row r="810" ht="22" customHeight="1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10">
        <f>IF(OR(N810="",P810=""),"",N810*P810)</f>
        <v/>
      </c>
      <c r="R810" s="9" t="n"/>
      <c r="S810" s="9" t="n"/>
      <c r="T810" s="9" t="n"/>
      <c r="U810" s="9">
        <f>IF(Q810="","",IF(W810=0,"已付款PAID",IF(V810&gt;0,"部分核销","未付款N/P")))</f>
        <v/>
      </c>
      <c r="V810" s="10">
        <f>IF(G810="","",SUMIFS(回款核销!$H:$H,回款核销!$C:$C,G810)+SUMIFS(回款核销!$H:$H,回款核销!$B:$B,D810,回款核销!$C:$C,""))</f>
        <v/>
      </c>
      <c r="W810" s="10">
        <f>IF(Q810="","",MAX(0,Q810-V810))</f>
        <v/>
      </c>
      <c r="X810" s="9" t="n"/>
      <c r="Y810" s="10">
        <f>IF(OR(N810="",X810=""),"",N810*X810)</f>
        <v/>
      </c>
      <c r="Z810" s="10">
        <f>IF(OR(Q810="",Y810=""),"",Q810-Y810)</f>
        <v/>
      </c>
      <c r="AA810" s="9" t="n"/>
      <c r="AB810" s="9" t="n"/>
    </row>
    <row r="811" ht="22" customHeight="1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10">
        <f>IF(OR(N811="",P811=""),"",N811*P811)</f>
        <v/>
      </c>
      <c r="R811" s="9" t="n"/>
      <c r="S811" s="9" t="n"/>
      <c r="T811" s="9" t="n"/>
      <c r="U811" s="9">
        <f>IF(Q811="","",IF(W811=0,"已付款PAID",IF(V811&gt;0,"部分核销","未付款N/P")))</f>
        <v/>
      </c>
      <c r="V811" s="10">
        <f>IF(G811="","",SUMIFS(回款核销!$H:$H,回款核销!$C:$C,G811)+SUMIFS(回款核销!$H:$H,回款核销!$B:$B,D811,回款核销!$C:$C,""))</f>
        <v/>
      </c>
      <c r="W811" s="10">
        <f>IF(Q811="","",MAX(0,Q811-V811))</f>
        <v/>
      </c>
      <c r="X811" s="9" t="n"/>
      <c r="Y811" s="10">
        <f>IF(OR(N811="",X811=""),"",N811*X811)</f>
        <v/>
      </c>
      <c r="Z811" s="10">
        <f>IF(OR(Q811="",Y811=""),"",Q811-Y811)</f>
        <v/>
      </c>
      <c r="AA811" s="9" t="n"/>
      <c r="AB811" s="9" t="n"/>
    </row>
    <row r="812" ht="22" customHeight="1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10">
        <f>IF(OR(N812="",P812=""),"",N812*P812)</f>
        <v/>
      </c>
      <c r="R812" s="9" t="n"/>
      <c r="S812" s="9" t="n"/>
      <c r="T812" s="9" t="n"/>
      <c r="U812" s="9">
        <f>IF(Q812="","",IF(W812=0,"已付款PAID",IF(V812&gt;0,"部分核销","未付款N/P")))</f>
        <v/>
      </c>
      <c r="V812" s="10">
        <f>IF(G812="","",SUMIFS(回款核销!$H:$H,回款核销!$C:$C,G812)+SUMIFS(回款核销!$H:$H,回款核销!$B:$B,D812,回款核销!$C:$C,""))</f>
        <v/>
      </c>
      <c r="W812" s="10">
        <f>IF(Q812="","",MAX(0,Q812-V812))</f>
        <v/>
      </c>
      <c r="X812" s="9" t="n"/>
      <c r="Y812" s="10">
        <f>IF(OR(N812="",X812=""),"",N812*X812)</f>
        <v/>
      </c>
      <c r="Z812" s="10">
        <f>IF(OR(Q812="",Y812=""),"",Q812-Y812)</f>
        <v/>
      </c>
      <c r="AA812" s="9" t="n"/>
      <c r="AB812" s="9" t="n"/>
    </row>
    <row r="813" ht="22" customHeight="1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10">
        <f>IF(OR(N813="",P813=""),"",N813*P813)</f>
        <v/>
      </c>
      <c r="R813" s="9" t="n"/>
      <c r="S813" s="9" t="n"/>
      <c r="T813" s="9" t="n"/>
      <c r="U813" s="9">
        <f>IF(Q813="","",IF(W813=0,"已付款PAID",IF(V813&gt;0,"部分核销","未付款N/P")))</f>
        <v/>
      </c>
      <c r="V813" s="10">
        <f>IF(G813="","",SUMIFS(回款核销!$H:$H,回款核销!$C:$C,G813)+SUMIFS(回款核销!$H:$H,回款核销!$B:$B,D813,回款核销!$C:$C,""))</f>
        <v/>
      </c>
      <c r="W813" s="10">
        <f>IF(Q813="","",MAX(0,Q813-V813))</f>
        <v/>
      </c>
      <c r="X813" s="9" t="n"/>
      <c r="Y813" s="10">
        <f>IF(OR(N813="",X813=""),"",N813*X813)</f>
        <v/>
      </c>
      <c r="Z813" s="10">
        <f>IF(OR(Q813="",Y813=""),"",Q813-Y813)</f>
        <v/>
      </c>
      <c r="AA813" s="9" t="n"/>
      <c r="AB813" s="9" t="n"/>
    </row>
    <row r="814" ht="22" customHeight="1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10">
        <f>IF(OR(N814="",P814=""),"",N814*P814)</f>
        <v/>
      </c>
      <c r="R814" s="9" t="n"/>
      <c r="S814" s="9" t="n"/>
      <c r="T814" s="9" t="n"/>
      <c r="U814" s="9">
        <f>IF(Q814="","",IF(W814=0,"已付款PAID",IF(V814&gt;0,"部分核销","未付款N/P")))</f>
        <v/>
      </c>
      <c r="V814" s="10">
        <f>IF(G814="","",SUMIFS(回款核销!$H:$H,回款核销!$C:$C,G814)+SUMIFS(回款核销!$H:$H,回款核销!$B:$B,D814,回款核销!$C:$C,""))</f>
        <v/>
      </c>
      <c r="W814" s="10">
        <f>IF(Q814="","",MAX(0,Q814-V814))</f>
        <v/>
      </c>
      <c r="X814" s="9" t="n"/>
      <c r="Y814" s="10">
        <f>IF(OR(N814="",X814=""),"",N814*X814)</f>
        <v/>
      </c>
      <c r="Z814" s="10">
        <f>IF(OR(Q814="",Y814=""),"",Q814-Y814)</f>
        <v/>
      </c>
      <c r="AA814" s="9" t="n"/>
      <c r="AB814" s="9" t="n"/>
    </row>
    <row r="815" ht="22" customHeight="1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10">
        <f>IF(OR(N815="",P815=""),"",N815*P815)</f>
        <v/>
      </c>
      <c r="R815" s="9" t="n"/>
      <c r="S815" s="9" t="n"/>
      <c r="T815" s="9" t="n"/>
      <c r="U815" s="9">
        <f>IF(Q815="","",IF(W815=0,"已付款PAID",IF(V815&gt;0,"部分核销","未付款N/P")))</f>
        <v/>
      </c>
      <c r="V815" s="10">
        <f>IF(G815="","",SUMIFS(回款核销!$H:$H,回款核销!$C:$C,G815)+SUMIFS(回款核销!$H:$H,回款核销!$B:$B,D815,回款核销!$C:$C,""))</f>
        <v/>
      </c>
      <c r="W815" s="10">
        <f>IF(Q815="","",MAX(0,Q815-V815))</f>
        <v/>
      </c>
      <c r="X815" s="9" t="n"/>
      <c r="Y815" s="10">
        <f>IF(OR(N815="",X815=""),"",N815*X815)</f>
        <v/>
      </c>
      <c r="Z815" s="10">
        <f>IF(OR(Q815="",Y815=""),"",Q815-Y815)</f>
        <v/>
      </c>
      <c r="AA815" s="9" t="n"/>
      <c r="AB815" s="9" t="n"/>
    </row>
    <row r="816" ht="22" customHeight="1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10">
        <f>IF(OR(N816="",P816=""),"",N816*P816)</f>
        <v/>
      </c>
      <c r="R816" s="9" t="n"/>
      <c r="S816" s="9" t="n"/>
      <c r="T816" s="9" t="n"/>
      <c r="U816" s="9">
        <f>IF(Q816="","",IF(W816=0,"已付款PAID",IF(V816&gt;0,"部分核销","未付款N/P")))</f>
        <v/>
      </c>
      <c r="V816" s="10">
        <f>IF(G816="","",SUMIFS(回款核销!$H:$H,回款核销!$C:$C,G816)+SUMIFS(回款核销!$H:$H,回款核销!$B:$B,D816,回款核销!$C:$C,""))</f>
        <v/>
      </c>
      <c r="W816" s="10">
        <f>IF(Q816="","",MAX(0,Q816-V816))</f>
        <v/>
      </c>
      <c r="X816" s="9" t="n"/>
      <c r="Y816" s="10">
        <f>IF(OR(N816="",X816=""),"",N816*X816)</f>
        <v/>
      </c>
      <c r="Z816" s="10">
        <f>IF(OR(Q816="",Y816=""),"",Q816-Y816)</f>
        <v/>
      </c>
      <c r="AA816" s="9" t="n"/>
      <c r="AB816" s="9" t="n"/>
    </row>
    <row r="817" ht="22" customHeight="1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10">
        <f>IF(OR(N817="",P817=""),"",N817*P817)</f>
        <v/>
      </c>
      <c r="R817" s="9" t="n"/>
      <c r="S817" s="9" t="n"/>
      <c r="T817" s="9" t="n"/>
      <c r="U817" s="9">
        <f>IF(Q817="","",IF(W817=0,"已付款PAID",IF(V817&gt;0,"部分核销","未付款N/P")))</f>
        <v/>
      </c>
      <c r="V817" s="10">
        <f>IF(G817="","",SUMIFS(回款核销!$H:$H,回款核销!$C:$C,G817)+SUMIFS(回款核销!$H:$H,回款核销!$B:$B,D817,回款核销!$C:$C,""))</f>
        <v/>
      </c>
      <c r="W817" s="10">
        <f>IF(Q817="","",MAX(0,Q817-V817))</f>
        <v/>
      </c>
      <c r="X817" s="9" t="n"/>
      <c r="Y817" s="10">
        <f>IF(OR(N817="",X817=""),"",N817*X817)</f>
        <v/>
      </c>
      <c r="Z817" s="10">
        <f>IF(OR(Q817="",Y817=""),"",Q817-Y817)</f>
        <v/>
      </c>
      <c r="AA817" s="9" t="n"/>
      <c r="AB817" s="9" t="n"/>
    </row>
    <row r="818" ht="22" customHeight="1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10">
        <f>IF(OR(N818="",P818=""),"",N818*P818)</f>
        <v/>
      </c>
      <c r="R818" s="9" t="n"/>
      <c r="S818" s="9" t="n"/>
      <c r="T818" s="9" t="n"/>
      <c r="U818" s="9">
        <f>IF(Q818="","",IF(W818=0,"已付款PAID",IF(V818&gt;0,"部分核销","未付款N/P")))</f>
        <v/>
      </c>
      <c r="V818" s="10">
        <f>IF(G818="","",SUMIFS(回款核销!$H:$H,回款核销!$C:$C,G818)+SUMIFS(回款核销!$H:$H,回款核销!$B:$B,D818,回款核销!$C:$C,""))</f>
        <v/>
      </c>
      <c r="W818" s="10">
        <f>IF(Q818="","",MAX(0,Q818-V818))</f>
        <v/>
      </c>
      <c r="X818" s="9" t="n"/>
      <c r="Y818" s="10">
        <f>IF(OR(N818="",X818=""),"",N818*X818)</f>
        <v/>
      </c>
      <c r="Z818" s="10">
        <f>IF(OR(Q818="",Y818=""),"",Q818-Y818)</f>
        <v/>
      </c>
      <c r="AA818" s="9" t="n"/>
      <c r="AB818" s="9" t="n"/>
    </row>
    <row r="819" ht="22" customHeight="1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10">
        <f>IF(OR(N819="",P819=""),"",N819*P819)</f>
        <v/>
      </c>
      <c r="R819" s="9" t="n"/>
      <c r="S819" s="9" t="n"/>
      <c r="T819" s="9" t="n"/>
      <c r="U819" s="9">
        <f>IF(Q819="","",IF(W819=0,"已付款PAID",IF(V819&gt;0,"部分核销","未付款N/P")))</f>
        <v/>
      </c>
      <c r="V819" s="10">
        <f>IF(G819="","",SUMIFS(回款核销!$H:$H,回款核销!$C:$C,G819)+SUMIFS(回款核销!$H:$H,回款核销!$B:$B,D819,回款核销!$C:$C,""))</f>
        <v/>
      </c>
      <c r="W819" s="10">
        <f>IF(Q819="","",MAX(0,Q819-V819))</f>
        <v/>
      </c>
      <c r="X819" s="9" t="n"/>
      <c r="Y819" s="10">
        <f>IF(OR(N819="",X819=""),"",N819*X819)</f>
        <v/>
      </c>
      <c r="Z819" s="10">
        <f>IF(OR(Q819="",Y819=""),"",Q819-Y819)</f>
        <v/>
      </c>
      <c r="AA819" s="9" t="n"/>
      <c r="AB819" s="9" t="n"/>
    </row>
    <row r="820" ht="22" customHeight="1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10">
        <f>IF(OR(N820="",P820=""),"",N820*P820)</f>
        <v/>
      </c>
      <c r="R820" s="9" t="n"/>
      <c r="S820" s="9" t="n"/>
      <c r="T820" s="9" t="n"/>
      <c r="U820" s="9">
        <f>IF(Q820="","",IF(W820=0,"已付款PAID",IF(V820&gt;0,"部分核销","未付款N/P")))</f>
        <v/>
      </c>
      <c r="V820" s="10">
        <f>IF(G820="","",SUMIFS(回款核销!$H:$H,回款核销!$C:$C,G820)+SUMIFS(回款核销!$H:$H,回款核销!$B:$B,D820,回款核销!$C:$C,""))</f>
        <v/>
      </c>
      <c r="W820" s="10">
        <f>IF(Q820="","",MAX(0,Q820-V820))</f>
        <v/>
      </c>
      <c r="X820" s="9" t="n"/>
      <c r="Y820" s="10">
        <f>IF(OR(N820="",X820=""),"",N820*X820)</f>
        <v/>
      </c>
      <c r="Z820" s="10">
        <f>IF(OR(Q820="",Y820=""),"",Q820-Y820)</f>
        <v/>
      </c>
      <c r="AA820" s="9" t="n"/>
      <c r="AB820" s="9" t="n"/>
    </row>
    <row r="821" ht="22" customHeight="1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10">
        <f>IF(OR(N821="",P821=""),"",N821*P821)</f>
        <v/>
      </c>
      <c r="R821" s="9" t="n"/>
      <c r="S821" s="9" t="n"/>
      <c r="T821" s="9" t="n"/>
      <c r="U821" s="9">
        <f>IF(Q821="","",IF(W821=0,"已付款PAID",IF(V821&gt;0,"部分核销","未付款N/P")))</f>
        <v/>
      </c>
      <c r="V821" s="10">
        <f>IF(G821="","",SUMIFS(回款核销!$H:$H,回款核销!$C:$C,G821)+SUMIFS(回款核销!$H:$H,回款核销!$B:$B,D821,回款核销!$C:$C,""))</f>
        <v/>
      </c>
      <c r="W821" s="10">
        <f>IF(Q821="","",MAX(0,Q821-V821))</f>
        <v/>
      </c>
      <c r="X821" s="9" t="n"/>
      <c r="Y821" s="10">
        <f>IF(OR(N821="",X821=""),"",N821*X821)</f>
        <v/>
      </c>
      <c r="Z821" s="10">
        <f>IF(OR(Q821="",Y821=""),"",Q821-Y821)</f>
        <v/>
      </c>
      <c r="AA821" s="9" t="n"/>
      <c r="AB821" s="9" t="n"/>
    </row>
    <row r="822" ht="22" customHeight="1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10">
        <f>IF(OR(N822="",P822=""),"",N822*P822)</f>
        <v/>
      </c>
      <c r="R822" s="9" t="n"/>
      <c r="S822" s="9" t="n"/>
      <c r="T822" s="9" t="n"/>
      <c r="U822" s="9">
        <f>IF(Q822="","",IF(W822=0,"已付款PAID",IF(V822&gt;0,"部分核销","未付款N/P")))</f>
        <v/>
      </c>
      <c r="V822" s="10">
        <f>IF(G822="","",SUMIFS(回款核销!$H:$H,回款核销!$C:$C,G822)+SUMIFS(回款核销!$H:$H,回款核销!$B:$B,D822,回款核销!$C:$C,""))</f>
        <v/>
      </c>
      <c r="W822" s="10">
        <f>IF(Q822="","",MAX(0,Q822-V822))</f>
        <v/>
      </c>
      <c r="X822" s="9" t="n"/>
      <c r="Y822" s="10">
        <f>IF(OR(N822="",X822=""),"",N822*X822)</f>
        <v/>
      </c>
      <c r="Z822" s="10">
        <f>IF(OR(Q822="",Y822=""),"",Q822-Y822)</f>
        <v/>
      </c>
      <c r="AA822" s="9" t="n"/>
      <c r="AB822" s="9" t="n"/>
    </row>
    <row r="823" ht="22" customHeight="1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10">
        <f>IF(OR(N823="",P823=""),"",N823*P823)</f>
        <v/>
      </c>
      <c r="R823" s="9" t="n"/>
      <c r="S823" s="9" t="n"/>
      <c r="T823" s="9" t="n"/>
      <c r="U823" s="9">
        <f>IF(Q823="","",IF(W823=0,"已付款PAID",IF(V823&gt;0,"部分核销","未付款N/P")))</f>
        <v/>
      </c>
      <c r="V823" s="10">
        <f>IF(G823="","",SUMIFS(回款核销!$H:$H,回款核销!$C:$C,G823)+SUMIFS(回款核销!$H:$H,回款核销!$B:$B,D823,回款核销!$C:$C,""))</f>
        <v/>
      </c>
      <c r="W823" s="10">
        <f>IF(Q823="","",MAX(0,Q823-V823))</f>
        <v/>
      </c>
      <c r="X823" s="9" t="n"/>
      <c r="Y823" s="10">
        <f>IF(OR(N823="",X823=""),"",N823*X823)</f>
        <v/>
      </c>
      <c r="Z823" s="10">
        <f>IF(OR(Q823="",Y823=""),"",Q823-Y823)</f>
        <v/>
      </c>
      <c r="AA823" s="9" t="n"/>
      <c r="AB823" s="9" t="n"/>
    </row>
    <row r="824" ht="22" customHeight="1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10">
        <f>IF(OR(N824="",P824=""),"",N824*P824)</f>
        <v/>
      </c>
      <c r="R824" s="9" t="n"/>
      <c r="S824" s="9" t="n"/>
      <c r="T824" s="9" t="n"/>
      <c r="U824" s="9">
        <f>IF(Q824="","",IF(W824=0,"已付款PAID",IF(V824&gt;0,"部分核销","未付款N/P")))</f>
        <v/>
      </c>
      <c r="V824" s="10">
        <f>IF(G824="","",SUMIFS(回款核销!$H:$H,回款核销!$C:$C,G824)+SUMIFS(回款核销!$H:$H,回款核销!$B:$B,D824,回款核销!$C:$C,""))</f>
        <v/>
      </c>
      <c r="W824" s="10">
        <f>IF(Q824="","",MAX(0,Q824-V824))</f>
        <v/>
      </c>
      <c r="X824" s="9" t="n"/>
      <c r="Y824" s="10">
        <f>IF(OR(N824="",X824=""),"",N824*X824)</f>
        <v/>
      </c>
      <c r="Z824" s="10">
        <f>IF(OR(Q824="",Y824=""),"",Q824-Y824)</f>
        <v/>
      </c>
      <c r="AA824" s="9" t="n"/>
      <c r="AB824" s="9" t="n"/>
    </row>
    <row r="825" ht="22" customHeight="1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10">
        <f>IF(OR(N825="",P825=""),"",N825*P825)</f>
        <v/>
      </c>
      <c r="R825" s="9" t="n"/>
      <c r="S825" s="9" t="n"/>
      <c r="T825" s="9" t="n"/>
      <c r="U825" s="9">
        <f>IF(Q825="","",IF(W825=0,"已付款PAID",IF(V825&gt;0,"部分核销","未付款N/P")))</f>
        <v/>
      </c>
      <c r="V825" s="10">
        <f>IF(G825="","",SUMIFS(回款核销!$H:$H,回款核销!$C:$C,G825)+SUMIFS(回款核销!$H:$H,回款核销!$B:$B,D825,回款核销!$C:$C,""))</f>
        <v/>
      </c>
      <c r="W825" s="10">
        <f>IF(Q825="","",MAX(0,Q825-V825))</f>
        <v/>
      </c>
      <c r="X825" s="9" t="n"/>
      <c r="Y825" s="10">
        <f>IF(OR(N825="",X825=""),"",N825*X825)</f>
        <v/>
      </c>
      <c r="Z825" s="10">
        <f>IF(OR(Q825="",Y825=""),"",Q825-Y825)</f>
        <v/>
      </c>
      <c r="AA825" s="9" t="n"/>
      <c r="AB825" s="9" t="n"/>
    </row>
    <row r="826" ht="22" customHeight="1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10">
        <f>IF(OR(N826="",P826=""),"",N826*P826)</f>
        <v/>
      </c>
      <c r="R826" s="9" t="n"/>
      <c r="S826" s="9" t="n"/>
      <c r="T826" s="9" t="n"/>
      <c r="U826" s="9">
        <f>IF(Q826="","",IF(W826=0,"已付款PAID",IF(V826&gt;0,"部分核销","未付款N/P")))</f>
        <v/>
      </c>
      <c r="V826" s="10">
        <f>IF(G826="","",SUMIFS(回款核销!$H:$H,回款核销!$C:$C,G826)+SUMIFS(回款核销!$H:$H,回款核销!$B:$B,D826,回款核销!$C:$C,""))</f>
        <v/>
      </c>
      <c r="W826" s="10">
        <f>IF(Q826="","",MAX(0,Q826-V826))</f>
        <v/>
      </c>
      <c r="X826" s="9" t="n"/>
      <c r="Y826" s="10">
        <f>IF(OR(N826="",X826=""),"",N826*X826)</f>
        <v/>
      </c>
      <c r="Z826" s="10">
        <f>IF(OR(Q826="",Y826=""),"",Q826-Y826)</f>
        <v/>
      </c>
      <c r="AA826" s="9" t="n"/>
      <c r="AB826" s="9" t="n"/>
    </row>
    <row r="827" ht="22" customHeight="1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10">
        <f>IF(OR(N827="",P827=""),"",N827*P827)</f>
        <v/>
      </c>
      <c r="R827" s="9" t="n"/>
      <c r="S827" s="9" t="n"/>
      <c r="T827" s="9" t="n"/>
      <c r="U827" s="9">
        <f>IF(Q827="","",IF(W827=0,"已付款PAID",IF(V827&gt;0,"部分核销","未付款N/P")))</f>
        <v/>
      </c>
      <c r="V827" s="10">
        <f>IF(G827="","",SUMIFS(回款核销!$H:$H,回款核销!$C:$C,G827)+SUMIFS(回款核销!$H:$H,回款核销!$B:$B,D827,回款核销!$C:$C,""))</f>
        <v/>
      </c>
      <c r="W827" s="10">
        <f>IF(Q827="","",MAX(0,Q827-V827))</f>
        <v/>
      </c>
      <c r="X827" s="9" t="n"/>
      <c r="Y827" s="10">
        <f>IF(OR(N827="",X827=""),"",N827*X827)</f>
        <v/>
      </c>
      <c r="Z827" s="10">
        <f>IF(OR(Q827="",Y827=""),"",Q827-Y827)</f>
        <v/>
      </c>
      <c r="AA827" s="9" t="n"/>
      <c r="AB827" s="9" t="n"/>
    </row>
    <row r="828" ht="22" customHeight="1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10">
        <f>IF(OR(N828="",P828=""),"",N828*P828)</f>
        <v/>
      </c>
      <c r="R828" s="9" t="n"/>
      <c r="S828" s="9" t="n"/>
      <c r="T828" s="9" t="n"/>
      <c r="U828" s="9">
        <f>IF(Q828="","",IF(W828=0,"已付款PAID",IF(V828&gt;0,"部分核销","未付款N/P")))</f>
        <v/>
      </c>
      <c r="V828" s="10">
        <f>IF(G828="","",SUMIFS(回款核销!$H:$H,回款核销!$C:$C,G828)+SUMIFS(回款核销!$H:$H,回款核销!$B:$B,D828,回款核销!$C:$C,""))</f>
        <v/>
      </c>
      <c r="W828" s="10">
        <f>IF(Q828="","",MAX(0,Q828-V828))</f>
        <v/>
      </c>
      <c r="X828" s="9" t="n"/>
      <c r="Y828" s="10">
        <f>IF(OR(N828="",X828=""),"",N828*X828)</f>
        <v/>
      </c>
      <c r="Z828" s="10">
        <f>IF(OR(Q828="",Y828=""),"",Q828-Y828)</f>
        <v/>
      </c>
      <c r="AA828" s="9" t="n"/>
      <c r="AB828" s="9" t="n"/>
    </row>
    <row r="829" ht="22" customHeight="1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10">
        <f>IF(OR(N829="",P829=""),"",N829*P829)</f>
        <v/>
      </c>
      <c r="R829" s="9" t="n"/>
      <c r="S829" s="9" t="n"/>
      <c r="T829" s="9" t="n"/>
      <c r="U829" s="9">
        <f>IF(Q829="","",IF(W829=0,"已付款PAID",IF(V829&gt;0,"部分核销","未付款N/P")))</f>
        <v/>
      </c>
      <c r="V829" s="10">
        <f>IF(G829="","",SUMIFS(回款核销!$H:$H,回款核销!$C:$C,G829)+SUMIFS(回款核销!$H:$H,回款核销!$B:$B,D829,回款核销!$C:$C,""))</f>
        <v/>
      </c>
      <c r="W829" s="10">
        <f>IF(Q829="","",MAX(0,Q829-V829))</f>
        <v/>
      </c>
      <c r="X829" s="9" t="n"/>
      <c r="Y829" s="10">
        <f>IF(OR(N829="",X829=""),"",N829*X829)</f>
        <v/>
      </c>
      <c r="Z829" s="10">
        <f>IF(OR(Q829="",Y829=""),"",Q829-Y829)</f>
        <v/>
      </c>
      <c r="AA829" s="9" t="n"/>
      <c r="AB829" s="9" t="n"/>
    </row>
    <row r="830" ht="22" customHeight="1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10">
        <f>IF(OR(N830="",P830=""),"",N830*P830)</f>
        <v/>
      </c>
      <c r="R830" s="9" t="n"/>
      <c r="S830" s="9" t="n"/>
      <c r="T830" s="9" t="n"/>
      <c r="U830" s="9">
        <f>IF(Q830="","",IF(W830=0,"已付款PAID",IF(V830&gt;0,"部分核销","未付款N/P")))</f>
        <v/>
      </c>
      <c r="V830" s="10">
        <f>IF(G830="","",SUMIFS(回款核销!$H:$H,回款核销!$C:$C,G830)+SUMIFS(回款核销!$H:$H,回款核销!$B:$B,D830,回款核销!$C:$C,""))</f>
        <v/>
      </c>
      <c r="W830" s="10">
        <f>IF(Q830="","",MAX(0,Q830-V830))</f>
        <v/>
      </c>
      <c r="X830" s="9" t="n"/>
      <c r="Y830" s="10">
        <f>IF(OR(N830="",X830=""),"",N830*X830)</f>
        <v/>
      </c>
      <c r="Z830" s="10">
        <f>IF(OR(Q830="",Y830=""),"",Q830-Y830)</f>
        <v/>
      </c>
      <c r="AA830" s="9" t="n"/>
      <c r="AB830" s="9" t="n"/>
    </row>
    <row r="831" ht="22" customHeight="1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10">
        <f>IF(OR(N831="",P831=""),"",N831*P831)</f>
        <v/>
      </c>
      <c r="R831" s="9" t="n"/>
      <c r="S831" s="9" t="n"/>
      <c r="T831" s="9" t="n"/>
      <c r="U831" s="9">
        <f>IF(Q831="","",IF(W831=0,"已付款PAID",IF(V831&gt;0,"部分核销","未付款N/P")))</f>
        <v/>
      </c>
      <c r="V831" s="10">
        <f>IF(G831="","",SUMIFS(回款核销!$H:$H,回款核销!$C:$C,G831)+SUMIFS(回款核销!$H:$H,回款核销!$B:$B,D831,回款核销!$C:$C,""))</f>
        <v/>
      </c>
      <c r="W831" s="10">
        <f>IF(Q831="","",MAX(0,Q831-V831))</f>
        <v/>
      </c>
      <c r="X831" s="9" t="n"/>
      <c r="Y831" s="10">
        <f>IF(OR(N831="",X831=""),"",N831*X831)</f>
        <v/>
      </c>
      <c r="Z831" s="10">
        <f>IF(OR(Q831="",Y831=""),"",Q831-Y831)</f>
        <v/>
      </c>
      <c r="AA831" s="9" t="n"/>
      <c r="AB831" s="9" t="n"/>
    </row>
    <row r="832" ht="22" customHeight="1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10">
        <f>IF(OR(N832="",P832=""),"",N832*P832)</f>
        <v/>
      </c>
      <c r="R832" s="9" t="n"/>
      <c r="S832" s="9" t="n"/>
      <c r="T832" s="9" t="n"/>
      <c r="U832" s="9">
        <f>IF(Q832="","",IF(W832=0,"已付款PAID",IF(V832&gt;0,"部分核销","未付款N/P")))</f>
        <v/>
      </c>
      <c r="V832" s="10">
        <f>IF(G832="","",SUMIFS(回款核销!$H:$H,回款核销!$C:$C,G832)+SUMIFS(回款核销!$H:$H,回款核销!$B:$B,D832,回款核销!$C:$C,""))</f>
        <v/>
      </c>
      <c r="W832" s="10">
        <f>IF(Q832="","",MAX(0,Q832-V832))</f>
        <v/>
      </c>
      <c r="X832" s="9" t="n"/>
      <c r="Y832" s="10">
        <f>IF(OR(N832="",X832=""),"",N832*X832)</f>
        <v/>
      </c>
      <c r="Z832" s="10">
        <f>IF(OR(Q832="",Y832=""),"",Q832-Y832)</f>
        <v/>
      </c>
      <c r="AA832" s="9" t="n"/>
      <c r="AB832" s="9" t="n"/>
    </row>
    <row r="833" ht="22" customHeight="1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10">
        <f>IF(OR(N833="",P833=""),"",N833*P833)</f>
        <v/>
      </c>
      <c r="R833" s="9" t="n"/>
      <c r="S833" s="9" t="n"/>
      <c r="T833" s="9" t="n"/>
      <c r="U833" s="9">
        <f>IF(Q833="","",IF(W833=0,"已付款PAID",IF(V833&gt;0,"部分核销","未付款N/P")))</f>
        <v/>
      </c>
      <c r="V833" s="10">
        <f>IF(G833="","",SUMIFS(回款核销!$H:$H,回款核销!$C:$C,G833)+SUMIFS(回款核销!$H:$H,回款核销!$B:$B,D833,回款核销!$C:$C,""))</f>
        <v/>
      </c>
      <c r="W833" s="10">
        <f>IF(Q833="","",MAX(0,Q833-V833))</f>
        <v/>
      </c>
      <c r="X833" s="9" t="n"/>
      <c r="Y833" s="10">
        <f>IF(OR(N833="",X833=""),"",N833*X833)</f>
        <v/>
      </c>
      <c r="Z833" s="10">
        <f>IF(OR(Q833="",Y833=""),"",Q833-Y833)</f>
        <v/>
      </c>
      <c r="AA833" s="9" t="n"/>
      <c r="AB833" s="9" t="n"/>
    </row>
    <row r="834" ht="22" customHeight="1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10">
        <f>IF(OR(N834="",P834=""),"",N834*P834)</f>
        <v/>
      </c>
      <c r="R834" s="9" t="n"/>
      <c r="S834" s="9" t="n"/>
      <c r="T834" s="9" t="n"/>
      <c r="U834" s="9">
        <f>IF(Q834="","",IF(W834=0,"已付款PAID",IF(V834&gt;0,"部分核销","未付款N/P")))</f>
        <v/>
      </c>
      <c r="V834" s="10">
        <f>IF(G834="","",SUMIFS(回款核销!$H:$H,回款核销!$C:$C,G834)+SUMIFS(回款核销!$H:$H,回款核销!$B:$B,D834,回款核销!$C:$C,""))</f>
        <v/>
      </c>
      <c r="W834" s="10">
        <f>IF(Q834="","",MAX(0,Q834-V834))</f>
        <v/>
      </c>
      <c r="X834" s="9" t="n"/>
      <c r="Y834" s="10">
        <f>IF(OR(N834="",X834=""),"",N834*X834)</f>
        <v/>
      </c>
      <c r="Z834" s="10">
        <f>IF(OR(Q834="",Y834=""),"",Q834-Y834)</f>
        <v/>
      </c>
      <c r="AA834" s="9" t="n"/>
      <c r="AB834" s="9" t="n"/>
    </row>
    <row r="835" ht="22" customHeight="1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10">
        <f>IF(OR(N835="",P835=""),"",N835*P835)</f>
        <v/>
      </c>
      <c r="R835" s="9" t="n"/>
      <c r="S835" s="9" t="n"/>
      <c r="T835" s="9" t="n"/>
      <c r="U835" s="9">
        <f>IF(Q835="","",IF(W835=0,"已付款PAID",IF(V835&gt;0,"部分核销","未付款N/P")))</f>
        <v/>
      </c>
      <c r="V835" s="10">
        <f>IF(G835="","",SUMIFS(回款核销!$H:$H,回款核销!$C:$C,G835)+SUMIFS(回款核销!$H:$H,回款核销!$B:$B,D835,回款核销!$C:$C,""))</f>
        <v/>
      </c>
      <c r="W835" s="10">
        <f>IF(Q835="","",MAX(0,Q835-V835))</f>
        <v/>
      </c>
      <c r="X835" s="9" t="n"/>
      <c r="Y835" s="10">
        <f>IF(OR(N835="",X835=""),"",N835*X835)</f>
        <v/>
      </c>
      <c r="Z835" s="10">
        <f>IF(OR(Q835="",Y835=""),"",Q835-Y835)</f>
        <v/>
      </c>
      <c r="AA835" s="9" t="n"/>
      <c r="AB835" s="9" t="n"/>
    </row>
    <row r="836" ht="22" customHeight="1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10">
        <f>IF(OR(N836="",P836=""),"",N836*P836)</f>
        <v/>
      </c>
      <c r="R836" s="9" t="n"/>
      <c r="S836" s="9" t="n"/>
      <c r="T836" s="9" t="n"/>
      <c r="U836" s="9">
        <f>IF(Q836="","",IF(W836=0,"已付款PAID",IF(V836&gt;0,"部分核销","未付款N/P")))</f>
        <v/>
      </c>
      <c r="V836" s="10">
        <f>IF(G836="","",SUMIFS(回款核销!$H:$H,回款核销!$C:$C,G836)+SUMIFS(回款核销!$H:$H,回款核销!$B:$B,D836,回款核销!$C:$C,""))</f>
        <v/>
      </c>
      <c r="W836" s="10">
        <f>IF(Q836="","",MAX(0,Q836-V836))</f>
        <v/>
      </c>
      <c r="X836" s="9" t="n"/>
      <c r="Y836" s="10">
        <f>IF(OR(N836="",X836=""),"",N836*X836)</f>
        <v/>
      </c>
      <c r="Z836" s="10">
        <f>IF(OR(Q836="",Y836=""),"",Q836-Y836)</f>
        <v/>
      </c>
      <c r="AA836" s="9" t="n"/>
      <c r="AB836" s="9" t="n"/>
    </row>
    <row r="837" ht="22" customHeight="1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10">
        <f>IF(OR(N837="",P837=""),"",N837*P837)</f>
        <v/>
      </c>
      <c r="R837" s="9" t="n"/>
      <c r="S837" s="9" t="n"/>
      <c r="T837" s="9" t="n"/>
      <c r="U837" s="9">
        <f>IF(Q837="","",IF(W837=0,"已付款PAID",IF(V837&gt;0,"部分核销","未付款N/P")))</f>
        <v/>
      </c>
      <c r="V837" s="10">
        <f>IF(G837="","",SUMIFS(回款核销!$H:$H,回款核销!$C:$C,G837)+SUMIFS(回款核销!$H:$H,回款核销!$B:$B,D837,回款核销!$C:$C,""))</f>
        <v/>
      </c>
      <c r="W837" s="10">
        <f>IF(Q837="","",MAX(0,Q837-V837))</f>
        <v/>
      </c>
      <c r="X837" s="9" t="n"/>
      <c r="Y837" s="10">
        <f>IF(OR(N837="",X837=""),"",N837*X837)</f>
        <v/>
      </c>
      <c r="Z837" s="10">
        <f>IF(OR(Q837="",Y837=""),"",Q837-Y837)</f>
        <v/>
      </c>
      <c r="AA837" s="9" t="n"/>
      <c r="AB837" s="9" t="n"/>
    </row>
    <row r="838" ht="22" customHeight="1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10">
        <f>IF(OR(N838="",P838=""),"",N838*P838)</f>
        <v/>
      </c>
      <c r="R838" s="9" t="n"/>
      <c r="S838" s="9" t="n"/>
      <c r="T838" s="9" t="n"/>
      <c r="U838" s="9">
        <f>IF(Q838="","",IF(W838=0,"已付款PAID",IF(V838&gt;0,"部分核销","未付款N/P")))</f>
        <v/>
      </c>
      <c r="V838" s="10">
        <f>IF(G838="","",SUMIFS(回款核销!$H:$H,回款核销!$C:$C,G838)+SUMIFS(回款核销!$H:$H,回款核销!$B:$B,D838,回款核销!$C:$C,""))</f>
        <v/>
      </c>
      <c r="W838" s="10">
        <f>IF(Q838="","",MAX(0,Q838-V838))</f>
        <v/>
      </c>
      <c r="X838" s="9" t="n"/>
      <c r="Y838" s="10">
        <f>IF(OR(N838="",X838=""),"",N838*X838)</f>
        <v/>
      </c>
      <c r="Z838" s="10">
        <f>IF(OR(Q838="",Y838=""),"",Q838-Y838)</f>
        <v/>
      </c>
      <c r="AA838" s="9" t="n"/>
      <c r="AB838" s="9" t="n"/>
    </row>
    <row r="839" ht="22" customHeight="1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10">
        <f>IF(OR(N839="",P839=""),"",N839*P839)</f>
        <v/>
      </c>
      <c r="R839" s="9" t="n"/>
      <c r="S839" s="9" t="n"/>
      <c r="T839" s="9" t="n"/>
      <c r="U839" s="9">
        <f>IF(Q839="","",IF(W839=0,"已付款PAID",IF(V839&gt;0,"部分核销","未付款N/P")))</f>
        <v/>
      </c>
      <c r="V839" s="10">
        <f>IF(G839="","",SUMIFS(回款核销!$H:$H,回款核销!$C:$C,G839)+SUMIFS(回款核销!$H:$H,回款核销!$B:$B,D839,回款核销!$C:$C,""))</f>
        <v/>
      </c>
      <c r="W839" s="10">
        <f>IF(Q839="","",MAX(0,Q839-V839))</f>
        <v/>
      </c>
      <c r="X839" s="9" t="n"/>
      <c r="Y839" s="10">
        <f>IF(OR(N839="",X839=""),"",N839*X839)</f>
        <v/>
      </c>
      <c r="Z839" s="10">
        <f>IF(OR(Q839="",Y839=""),"",Q839-Y839)</f>
        <v/>
      </c>
      <c r="AA839" s="9" t="n"/>
      <c r="AB839" s="9" t="n"/>
    </row>
    <row r="840" ht="22" customHeight="1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10">
        <f>IF(OR(N840="",P840=""),"",N840*P840)</f>
        <v/>
      </c>
      <c r="R840" s="9" t="n"/>
      <c r="S840" s="9" t="n"/>
      <c r="T840" s="9" t="n"/>
      <c r="U840" s="9">
        <f>IF(Q840="","",IF(W840=0,"已付款PAID",IF(V840&gt;0,"部分核销","未付款N/P")))</f>
        <v/>
      </c>
      <c r="V840" s="10">
        <f>IF(G840="","",SUMIFS(回款核销!$H:$H,回款核销!$C:$C,G840)+SUMIFS(回款核销!$H:$H,回款核销!$B:$B,D840,回款核销!$C:$C,""))</f>
        <v/>
      </c>
      <c r="W840" s="10">
        <f>IF(Q840="","",MAX(0,Q840-V840))</f>
        <v/>
      </c>
      <c r="X840" s="9" t="n"/>
      <c r="Y840" s="10">
        <f>IF(OR(N840="",X840=""),"",N840*X840)</f>
        <v/>
      </c>
      <c r="Z840" s="10">
        <f>IF(OR(Q840="",Y840=""),"",Q840-Y840)</f>
        <v/>
      </c>
      <c r="AA840" s="9" t="n"/>
      <c r="AB840" s="9" t="n"/>
    </row>
    <row r="841" ht="22" customHeight="1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10">
        <f>IF(OR(N841="",P841=""),"",N841*P841)</f>
        <v/>
      </c>
      <c r="R841" s="9" t="n"/>
      <c r="S841" s="9" t="n"/>
      <c r="T841" s="9" t="n"/>
      <c r="U841" s="9">
        <f>IF(Q841="","",IF(W841=0,"已付款PAID",IF(V841&gt;0,"部分核销","未付款N/P")))</f>
        <v/>
      </c>
      <c r="V841" s="10">
        <f>IF(G841="","",SUMIFS(回款核销!$H:$H,回款核销!$C:$C,G841)+SUMIFS(回款核销!$H:$H,回款核销!$B:$B,D841,回款核销!$C:$C,""))</f>
        <v/>
      </c>
      <c r="W841" s="10">
        <f>IF(Q841="","",MAX(0,Q841-V841))</f>
        <v/>
      </c>
      <c r="X841" s="9" t="n"/>
      <c r="Y841" s="10">
        <f>IF(OR(N841="",X841=""),"",N841*X841)</f>
        <v/>
      </c>
      <c r="Z841" s="10">
        <f>IF(OR(Q841="",Y841=""),"",Q841-Y841)</f>
        <v/>
      </c>
      <c r="AA841" s="9" t="n"/>
      <c r="AB841" s="9" t="n"/>
    </row>
    <row r="842" ht="22" customHeight="1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10">
        <f>IF(OR(N842="",P842=""),"",N842*P842)</f>
        <v/>
      </c>
      <c r="R842" s="9" t="n"/>
      <c r="S842" s="9" t="n"/>
      <c r="T842" s="9" t="n"/>
      <c r="U842" s="9">
        <f>IF(Q842="","",IF(W842=0,"已付款PAID",IF(V842&gt;0,"部分核销","未付款N/P")))</f>
        <v/>
      </c>
      <c r="V842" s="10">
        <f>IF(G842="","",SUMIFS(回款核销!$H:$H,回款核销!$C:$C,G842)+SUMIFS(回款核销!$H:$H,回款核销!$B:$B,D842,回款核销!$C:$C,""))</f>
        <v/>
      </c>
      <c r="W842" s="10">
        <f>IF(Q842="","",MAX(0,Q842-V842))</f>
        <v/>
      </c>
      <c r="X842" s="9" t="n"/>
      <c r="Y842" s="10">
        <f>IF(OR(N842="",X842=""),"",N842*X842)</f>
        <v/>
      </c>
      <c r="Z842" s="10">
        <f>IF(OR(Q842="",Y842=""),"",Q842-Y842)</f>
        <v/>
      </c>
      <c r="AA842" s="9" t="n"/>
      <c r="AB842" s="9" t="n"/>
    </row>
    <row r="843" ht="22" customHeight="1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10">
        <f>IF(OR(N843="",P843=""),"",N843*P843)</f>
        <v/>
      </c>
      <c r="R843" s="9" t="n"/>
      <c r="S843" s="9" t="n"/>
      <c r="T843" s="9" t="n"/>
      <c r="U843" s="9">
        <f>IF(Q843="","",IF(W843=0,"已付款PAID",IF(V843&gt;0,"部分核销","未付款N/P")))</f>
        <v/>
      </c>
      <c r="V843" s="10">
        <f>IF(G843="","",SUMIFS(回款核销!$H:$H,回款核销!$C:$C,G843)+SUMIFS(回款核销!$H:$H,回款核销!$B:$B,D843,回款核销!$C:$C,""))</f>
        <v/>
      </c>
      <c r="W843" s="10">
        <f>IF(Q843="","",MAX(0,Q843-V843))</f>
        <v/>
      </c>
      <c r="X843" s="9" t="n"/>
      <c r="Y843" s="10">
        <f>IF(OR(N843="",X843=""),"",N843*X843)</f>
        <v/>
      </c>
      <c r="Z843" s="10">
        <f>IF(OR(Q843="",Y843=""),"",Q843-Y843)</f>
        <v/>
      </c>
      <c r="AA843" s="9" t="n"/>
      <c r="AB843" s="9" t="n"/>
    </row>
    <row r="844" ht="22" customHeight="1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10">
        <f>IF(OR(N844="",P844=""),"",N844*P844)</f>
        <v/>
      </c>
      <c r="R844" s="9" t="n"/>
      <c r="S844" s="9" t="n"/>
      <c r="T844" s="9" t="n"/>
      <c r="U844" s="9">
        <f>IF(Q844="","",IF(W844=0,"已付款PAID",IF(V844&gt;0,"部分核销","未付款N/P")))</f>
        <v/>
      </c>
      <c r="V844" s="10">
        <f>IF(G844="","",SUMIFS(回款核销!$H:$H,回款核销!$C:$C,G844)+SUMIFS(回款核销!$H:$H,回款核销!$B:$B,D844,回款核销!$C:$C,""))</f>
        <v/>
      </c>
      <c r="W844" s="10">
        <f>IF(Q844="","",MAX(0,Q844-V844))</f>
        <v/>
      </c>
      <c r="X844" s="9" t="n"/>
      <c r="Y844" s="10">
        <f>IF(OR(N844="",X844=""),"",N844*X844)</f>
        <v/>
      </c>
      <c r="Z844" s="10">
        <f>IF(OR(Q844="",Y844=""),"",Q844-Y844)</f>
        <v/>
      </c>
      <c r="AA844" s="9" t="n"/>
      <c r="AB844" s="9" t="n"/>
    </row>
    <row r="845" ht="22" customHeight="1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10">
        <f>IF(OR(N845="",P845=""),"",N845*P845)</f>
        <v/>
      </c>
      <c r="R845" s="9" t="n"/>
      <c r="S845" s="9" t="n"/>
      <c r="T845" s="9" t="n"/>
      <c r="U845" s="9">
        <f>IF(Q845="","",IF(W845=0,"已付款PAID",IF(V845&gt;0,"部分核销","未付款N/P")))</f>
        <v/>
      </c>
      <c r="V845" s="10">
        <f>IF(G845="","",SUMIFS(回款核销!$H:$H,回款核销!$C:$C,G845)+SUMIFS(回款核销!$H:$H,回款核销!$B:$B,D845,回款核销!$C:$C,""))</f>
        <v/>
      </c>
      <c r="W845" s="10">
        <f>IF(Q845="","",MAX(0,Q845-V845))</f>
        <v/>
      </c>
      <c r="X845" s="9" t="n"/>
      <c r="Y845" s="10">
        <f>IF(OR(N845="",X845=""),"",N845*X845)</f>
        <v/>
      </c>
      <c r="Z845" s="10">
        <f>IF(OR(Q845="",Y845=""),"",Q845-Y845)</f>
        <v/>
      </c>
      <c r="AA845" s="9" t="n"/>
      <c r="AB845" s="9" t="n"/>
    </row>
    <row r="846" ht="22" customHeight="1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10">
        <f>IF(OR(N846="",P846=""),"",N846*P846)</f>
        <v/>
      </c>
      <c r="R846" s="9" t="n"/>
      <c r="S846" s="9" t="n"/>
      <c r="T846" s="9" t="n"/>
      <c r="U846" s="9">
        <f>IF(Q846="","",IF(W846=0,"已付款PAID",IF(V846&gt;0,"部分核销","未付款N/P")))</f>
        <v/>
      </c>
      <c r="V846" s="10">
        <f>IF(G846="","",SUMIFS(回款核销!$H:$H,回款核销!$C:$C,G846)+SUMIFS(回款核销!$H:$H,回款核销!$B:$B,D846,回款核销!$C:$C,""))</f>
        <v/>
      </c>
      <c r="W846" s="10">
        <f>IF(Q846="","",MAX(0,Q846-V846))</f>
        <v/>
      </c>
      <c r="X846" s="9" t="n"/>
      <c r="Y846" s="10">
        <f>IF(OR(N846="",X846=""),"",N846*X846)</f>
        <v/>
      </c>
      <c r="Z846" s="10">
        <f>IF(OR(Q846="",Y846=""),"",Q846-Y846)</f>
        <v/>
      </c>
      <c r="AA846" s="9" t="n"/>
      <c r="AB846" s="9" t="n"/>
    </row>
    <row r="847" ht="22" customHeight="1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10">
        <f>IF(OR(N847="",P847=""),"",N847*P847)</f>
        <v/>
      </c>
      <c r="R847" s="9" t="n"/>
      <c r="S847" s="9" t="n"/>
      <c r="T847" s="9" t="n"/>
      <c r="U847" s="9">
        <f>IF(Q847="","",IF(W847=0,"已付款PAID",IF(V847&gt;0,"部分核销","未付款N/P")))</f>
        <v/>
      </c>
      <c r="V847" s="10">
        <f>IF(G847="","",SUMIFS(回款核销!$H:$H,回款核销!$C:$C,G847)+SUMIFS(回款核销!$H:$H,回款核销!$B:$B,D847,回款核销!$C:$C,""))</f>
        <v/>
      </c>
      <c r="W847" s="10">
        <f>IF(Q847="","",MAX(0,Q847-V847))</f>
        <v/>
      </c>
      <c r="X847" s="9" t="n"/>
      <c r="Y847" s="10">
        <f>IF(OR(N847="",X847=""),"",N847*X847)</f>
        <v/>
      </c>
      <c r="Z847" s="10">
        <f>IF(OR(Q847="",Y847=""),"",Q847-Y847)</f>
        <v/>
      </c>
      <c r="AA847" s="9" t="n"/>
      <c r="AB847" s="9" t="n"/>
    </row>
    <row r="848" ht="22" customHeight="1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10">
        <f>IF(OR(N848="",P848=""),"",N848*P848)</f>
        <v/>
      </c>
      <c r="R848" s="9" t="n"/>
      <c r="S848" s="9" t="n"/>
      <c r="T848" s="9" t="n"/>
      <c r="U848" s="9">
        <f>IF(Q848="","",IF(W848=0,"已付款PAID",IF(V848&gt;0,"部分核销","未付款N/P")))</f>
        <v/>
      </c>
      <c r="V848" s="10">
        <f>IF(G848="","",SUMIFS(回款核销!$H:$H,回款核销!$C:$C,G848)+SUMIFS(回款核销!$H:$H,回款核销!$B:$B,D848,回款核销!$C:$C,""))</f>
        <v/>
      </c>
      <c r="W848" s="10">
        <f>IF(Q848="","",MAX(0,Q848-V848))</f>
        <v/>
      </c>
      <c r="X848" s="9" t="n"/>
      <c r="Y848" s="10">
        <f>IF(OR(N848="",X848=""),"",N848*X848)</f>
        <v/>
      </c>
      <c r="Z848" s="10">
        <f>IF(OR(Q848="",Y848=""),"",Q848-Y848)</f>
        <v/>
      </c>
      <c r="AA848" s="9" t="n"/>
      <c r="AB848" s="9" t="n"/>
    </row>
    <row r="849" ht="22" customHeight="1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10">
        <f>IF(OR(N849="",P849=""),"",N849*P849)</f>
        <v/>
      </c>
      <c r="R849" s="9" t="n"/>
      <c r="S849" s="9" t="n"/>
      <c r="T849" s="9" t="n"/>
      <c r="U849" s="9">
        <f>IF(Q849="","",IF(W849=0,"已付款PAID",IF(V849&gt;0,"部分核销","未付款N/P")))</f>
        <v/>
      </c>
      <c r="V849" s="10">
        <f>IF(G849="","",SUMIFS(回款核销!$H:$H,回款核销!$C:$C,G849)+SUMIFS(回款核销!$H:$H,回款核销!$B:$B,D849,回款核销!$C:$C,""))</f>
        <v/>
      </c>
      <c r="W849" s="10">
        <f>IF(Q849="","",MAX(0,Q849-V849))</f>
        <v/>
      </c>
      <c r="X849" s="9" t="n"/>
      <c r="Y849" s="10">
        <f>IF(OR(N849="",X849=""),"",N849*X849)</f>
        <v/>
      </c>
      <c r="Z849" s="10">
        <f>IF(OR(Q849="",Y849=""),"",Q849-Y849)</f>
        <v/>
      </c>
      <c r="AA849" s="9" t="n"/>
      <c r="AB849" s="9" t="n"/>
    </row>
    <row r="850" ht="22" customHeight="1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10">
        <f>IF(OR(N850="",P850=""),"",N850*P850)</f>
        <v/>
      </c>
      <c r="R850" s="9" t="n"/>
      <c r="S850" s="9" t="n"/>
      <c r="T850" s="9" t="n"/>
      <c r="U850" s="9">
        <f>IF(Q850="","",IF(W850=0,"已付款PAID",IF(V850&gt;0,"部分核销","未付款N/P")))</f>
        <v/>
      </c>
      <c r="V850" s="10">
        <f>IF(G850="","",SUMIFS(回款核销!$H:$H,回款核销!$C:$C,G850)+SUMIFS(回款核销!$H:$H,回款核销!$B:$B,D850,回款核销!$C:$C,""))</f>
        <v/>
      </c>
      <c r="W850" s="10">
        <f>IF(Q850="","",MAX(0,Q850-V850))</f>
        <v/>
      </c>
      <c r="X850" s="9" t="n"/>
      <c r="Y850" s="10">
        <f>IF(OR(N850="",X850=""),"",N850*X850)</f>
        <v/>
      </c>
      <c r="Z850" s="10">
        <f>IF(OR(Q850="",Y850=""),"",Q850-Y850)</f>
        <v/>
      </c>
      <c r="AA850" s="9" t="n"/>
      <c r="AB850" s="9" t="n"/>
    </row>
    <row r="851" ht="22" customHeight="1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10">
        <f>IF(OR(N851="",P851=""),"",N851*P851)</f>
        <v/>
      </c>
      <c r="R851" s="9" t="n"/>
      <c r="S851" s="9" t="n"/>
      <c r="T851" s="9" t="n"/>
      <c r="U851" s="9">
        <f>IF(Q851="","",IF(W851=0,"已付款PAID",IF(V851&gt;0,"部分核销","未付款N/P")))</f>
        <v/>
      </c>
      <c r="V851" s="10">
        <f>IF(G851="","",SUMIFS(回款核销!$H:$H,回款核销!$C:$C,G851)+SUMIFS(回款核销!$H:$H,回款核销!$B:$B,D851,回款核销!$C:$C,""))</f>
        <v/>
      </c>
      <c r="W851" s="10">
        <f>IF(Q851="","",MAX(0,Q851-V851))</f>
        <v/>
      </c>
      <c r="X851" s="9" t="n"/>
      <c r="Y851" s="10">
        <f>IF(OR(N851="",X851=""),"",N851*X851)</f>
        <v/>
      </c>
      <c r="Z851" s="10">
        <f>IF(OR(Q851="",Y851=""),"",Q851-Y851)</f>
        <v/>
      </c>
      <c r="AA851" s="9" t="n"/>
      <c r="AB851" s="9" t="n"/>
    </row>
    <row r="852" ht="22" customHeight="1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10">
        <f>IF(OR(N852="",P852=""),"",N852*P852)</f>
        <v/>
      </c>
      <c r="R852" s="9" t="n"/>
      <c r="S852" s="9" t="n"/>
      <c r="T852" s="9" t="n"/>
      <c r="U852" s="9">
        <f>IF(Q852="","",IF(W852=0,"已付款PAID",IF(V852&gt;0,"部分核销","未付款N/P")))</f>
        <v/>
      </c>
      <c r="V852" s="10">
        <f>IF(G852="","",SUMIFS(回款核销!$H:$H,回款核销!$C:$C,G852)+SUMIFS(回款核销!$H:$H,回款核销!$B:$B,D852,回款核销!$C:$C,""))</f>
        <v/>
      </c>
      <c r="W852" s="10">
        <f>IF(Q852="","",MAX(0,Q852-V852))</f>
        <v/>
      </c>
      <c r="X852" s="9" t="n"/>
      <c r="Y852" s="10">
        <f>IF(OR(N852="",X852=""),"",N852*X852)</f>
        <v/>
      </c>
      <c r="Z852" s="10">
        <f>IF(OR(Q852="",Y852=""),"",Q852-Y852)</f>
        <v/>
      </c>
      <c r="AA852" s="9" t="n"/>
      <c r="AB852" s="9" t="n"/>
    </row>
    <row r="853" ht="22" customHeight="1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10">
        <f>IF(OR(N853="",P853=""),"",N853*P853)</f>
        <v/>
      </c>
      <c r="R853" s="9" t="n"/>
      <c r="S853" s="9" t="n"/>
      <c r="T853" s="9" t="n"/>
      <c r="U853" s="9">
        <f>IF(Q853="","",IF(W853=0,"已付款PAID",IF(V853&gt;0,"部分核销","未付款N/P")))</f>
        <v/>
      </c>
      <c r="V853" s="10">
        <f>IF(G853="","",SUMIFS(回款核销!$H:$H,回款核销!$C:$C,G853)+SUMIFS(回款核销!$H:$H,回款核销!$B:$B,D853,回款核销!$C:$C,""))</f>
        <v/>
      </c>
      <c r="W853" s="10">
        <f>IF(Q853="","",MAX(0,Q853-V853))</f>
        <v/>
      </c>
      <c r="X853" s="9" t="n"/>
      <c r="Y853" s="10">
        <f>IF(OR(N853="",X853=""),"",N853*X853)</f>
        <v/>
      </c>
      <c r="Z853" s="10">
        <f>IF(OR(Q853="",Y853=""),"",Q853-Y853)</f>
        <v/>
      </c>
      <c r="AA853" s="9" t="n"/>
      <c r="AB853" s="9" t="n"/>
    </row>
    <row r="854" ht="22" customHeight="1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10">
        <f>IF(OR(N854="",P854=""),"",N854*P854)</f>
        <v/>
      </c>
      <c r="R854" s="9" t="n"/>
      <c r="S854" s="9" t="n"/>
      <c r="T854" s="9" t="n"/>
      <c r="U854" s="9">
        <f>IF(Q854="","",IF(W854=0,"已付款PAID",IF(V854&gt;0,"部分核销","未付款N/P")))</f>
        <v/>
      </c>
      <c r="V854" s="10">
        <f>IF(G854="","",SUMIFS(回款核销!$H:$H,回款核销!$C:$C,G854)+SUMIFS(回款核销!$H:$H,回款核销!$B:$B,D854,回款核销!$C:$C,""))</f>
        <v/>
      </c>
      <c r="W854" s="10">
        <f>IF(Q854="","",MAX(0,Q854-V854))</f>
        <v/>
      </c>
      <c r="X854" s="9" t="n"/>
      <c r="Y854" s="10">
        <f>IF(OR(N854="",X854=""),"",N854*X854)</f>
        <v/>
      </c>
      <c r="Z854" s="10">
        <f>IF(OR(Q854="",Y854=""),"",Q854-Y854)</f>
        <v/>
      </c>
      <c r="AA854" s="9" t="n"/>
      <c r="AB854" s="9" t="n"/>
    </row>
    <row r="855" ht="22" customHeight="1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10">
        <f>IF(OR(N855="",P855=""),"",N855*P855)</f>
        <v/>
      </c>
      <c r="R855" s="9" t="n"/>
      <c r="S855" s="9" t="n"/>
      <c r="T855" s="9" t="n"/>
      <c r="U855" s="9">
        <f>IF(Q855="","",IF(W855=0,"已付款PAID",IF(V855&gt;0,"部分核销","未付款N/P")))</f>
        <v/>
      </c>
      <c r="V855" s="10">
        <f>IF(G855="","",SUMIFS(回款核销!$H:$H,回款核销!$C:$C,G855)+SUMIFS(回款核销!$H:$H,回款核销!$B:$B,D855,回款核销!$C:$C,""))</f>
        <v/>
      </c>
      <c r="W855" s="10">
        <f>IF(Q855="","",MAX(0,Q855-V855))</f>
        <v/>
      </c>
      <c r="X855" s="9" t="n"/>
      <c r="Y855" s="10">
        <f>IF(OR(N855="",X855=""),"",N855*X855)</f>
        <v/>
      </c>
      <c r="Z855" s="10">
        <f>IF(OR(Q855="",Y855=""),"",Q855-Y855)</f>
        <v/>
      </c>
      <c r="AA855" s="9" t="n"/>
      <c r="AB855" s="9" t="n"/>
    </row>
    <row r="856" ht="22" customHeight="1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10">
        <f>IF(OR(N856="",P856=""),"",N856*P856)</f>
        <v/>
      </c>
      <c r="R856" s="9" t="n"/>
      <c r="S856" s="9" t="n"/>
      <c r="T856" s="9" t="n"/>
      <c r="U856" s="9">
        <f>IF(Q856="","",IF(W856=0,"已付款PAID",IF(V856&gt;0,"部分核销","未付款N/P")))</f>
        <v/>
      </c>
      <c r="V856" s="10">
        <f>IF(G856="","",SUMIFS(回款核销!$H:$H,回款核销!$C:$C,G856)+SUMIFS(回款核销!$H:$H,回款核销!$B:$B,D856,回款核销!$C:$C,""))</f>
        <v/>
      </c>
      <c r="W856" s="10">
        <f>IF(Q856="","",MAX(0,Q856-V856))</f>
        <v/>
      </c>
      <c r="X856" s="9" t="n"/>
      <c r="Y856" s="10">
        <f>IF(OR(N856="",X856=""),"",N856*X856)</f>
        <v/>
      </c>
      <c r="Z856" s="10">
        <f>IF(OR(Q856="",Y856=""),"",Q856-Y856)</f>
        <v/>
      </c>
      <c r="AA856" s="9" t="n"/>
      <c r="AB856" s="9" t="n"/>
    </row>
    <row r="857" ht="22" customHeight="1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10">
        <f>IF(OR(N857="",P857=""),"",N857*P857)</f>
        <v/>
      </c>
      <c r="R857" s="9" t="n"/>
      <c r="S857" s="9" t="n"/>
      <c r="T857" s="9" t="n"/>
      <c r="U857" s="9">
        <f>IF(Q857="","",IF(W857=0,"已付款PAID",IF(V857&gt;0,"部分核销","未付款N/P")))</f>
        <v/>
      </c>
      <c r="V857" s="10">
        <f>IF(G857="","",SUMIFS(回款核销!$H:$H,回款核销!$C:$C,G857)+SUMIFS(回款核销!$H:$H,回款核销!$B:$B,D857,回款核销!$C:$C,""))</f>
        <v/>
      </c>
      <c r="W857" s="10">
        <f>IF(Q857="","",MAX(0,Q857-V857))</f>
        <v/>
      </c>
      <c r="X857" s="9" t="n"/>
      <c r="Y857" s="10">
        <f>IF(OR(N857="",X857=""),"",N857*X857)</f>
        <v/>
      </c>
      <c r="Z857" s="10">
        <f>IF(OR(Q857="",Y857=""),"",Q857-Y857)</f>
        <v/>
      </c>
      <c r="AA857" s="9" t="n"/>
      <c r="AB857" s="9" t="n"/>
    </row>
    <row r="858" ht="22" customHeight="1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10">
        <f>IF(OR(N858="",P858=""),"",N858*P858)</f>
        <v/>
      </c>
      <c r="R858" s="9" t="n"/>
      <c r="S858" s="9" t="n"/>
      <c r="T858" s="9" t="n"/>
      <c r="U858" s="9">
        <f>IF(Q858="","",IF(W858=0,"已付款PAID",IF(V858&gt;0,"部分核销","未付款N/P")))</f>
        <v/>
      </c>
      <c r="V858" s="10">
        <f>IF(G858="","",SUMIFS(回款核销!$H:$H,回款核销!$C:$C,G858)+SUMIFS(回款核销!$H:$H,回款核销!$B:$B,D858,回款核销!$C:$C,""))</f>
        <v/>
      </c>
      <c r="W858" s="10">
        <f>IF(Q858="","",MAX(0,Q858-V858))</f>
        <v/>
      </c>
      <c r="X858" s="9" t="n"/>
      <c r="Y858" s="10">
        <f>IF(OR(N858="",X858=""),"",N858*X858)</f>
        <v/>
      </c>
      <c r="Z858" s="10">
        <f>IF(OR(Q858="",Y858=""),"",Q858-Y858)</f>
        <v/>
      </c>
      <c r="AA858" s="9" t="n"/>
      <c r="AB858" s="9" t="n"/>
    </row>
    <row r="859" ht="22" customHeight="1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10">
        <f>IF(OR(N859="",P859=""),"",N859*P859)</f>
        <v/>
      </c>
      <c r="R859" s="9" t="n"/>
      <c r="S859" s="9" t="n"/>
      <c r="T859" s="9" t="n"/>
      <c r="U859" s="9">
        <f>IF(Q859="","",IF(W859=0,"已付款PAID",IF(V859&gt;0,"部分核销","未付款N/P")))</f>
        <v/>
      </c>
      <c r="V859" s="10">
        <f>IF(G859="","",SUMIFS(回款核销!$H:$H,回款核销!$C:$C,G859)+SUMIFS(回款核销!$H:$H,回款核销!$B:$B,D859,回款核销!$C:$C,""))</f>
        <v/>
      </c>
      <c r="W859" s="10">
        <f>IF(Q859="","",MAX(0,Q859-V859))</f>
        <v/>
      </c>
      <c r="X859" s="9" t="n"/>
      <c r="Y859" s="10">
        <f>IF(OR(N859="",X859=""),"",N859*X859)</f>
        <v/>
      </c>
      <c r="Z859" s="10">
        <f>IF(OR(Q859="",Y859=""),"",Q859-Y859)</f>
        <v/>
      </c>
      <c r="AA859" s="9" t="n"/>
      <c r="AB859" s="9" t="n"/>
    </row>
    <row r="860" ht="22" customHeight="1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10">
        <f>IF(OR(N860="",P860=""),"",N860*P860)</f>
        <v/>
      </c>
      <c r="R860" s="9" t="n"/>
      <c r="S860" s="9" t="n"/>
      <c r="T860" s="9" t="n"/>
      <c r="U860" s="9">
        <f>IF(Q860="","",IF(W860=0,"已付款PAID",IF(V860&gt;0,"部分核销","未付款N/P")))</f>
        <v/>
      </c>
      <c r="V860" s="10">
        <f>IF(G860="","",SUMIFS(回款核销!$H:$H,回款核销!$C:$C,G860)+SUMIFS(回款核销!$H:$H,回款核销!$B:$B,D860,回款核销!$C:$C,""))</f>
        <v/>
      </c>
      <c r="W860" s="10">
        <f>IF(Q860="","",MAX(0,Q860-V860))</f>
        <v/>
      </c>
      <c r="X860" s="9" t="n"/>
      <c r="Y860" s="10">
        <f>IF(OR(N860="",X860=""),"",N860*X860)</f>
        <v/>
      </c>
      <c r="Z860" s="10">
        <f>IF(OR(Q860="",Y860=""),"",Q860-Y860)</f>
        <v/>
      </c>
      <c r="AA860" s="9" t="n"/>
      <c r="AB860" s="9" t="n"/>
    </row>
    <row r="861" ht="22" customHeight="1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10">
        <f>IF(OR(N861="",P861=""),"",N861*P861)</f>
        <v/>
      </c>
      <c r="R861" s="9" t="n"/>
      <c r="S861" s="9" t="n"/>
      <c r="T861" s="9" t="n"/>
      <c r="U861" s="9">
        <f>IF(Q861="","",IF(W861=0,"已付款PAID",IF(V861&gt;0,"部分核销","未付款N/P")))</f>
        <v/>
      </c>
      <c r="V861" s="10">
        <f>IF(G861="","",SUMIFS(回款核销!$H:$H,回款核销!$C:$C,G861)+SUMIFS(回款核销!$H:$H,回款核销!$B:$B,D861,回款核销!$C:$C,""))</f>
        <v/>
      </c>
      <c r="W861" s="10">
        <f>IF(Q861="","",MAX(0,Q861-V861))</f>
        <v/>
      </c>
      <c r="X861" s="9" t="n"/>
      <c r="Y861" s="10">
        <f>IF(OR(N861="",X861=""),"",N861*X861)</f>
        <v/>
      </c>
      <c r="Z861" s="10">
        <f>IF(OR(Q861="",Y861=""),"",Q861-Y861)</f>
        <v/>
      </c>
      <c r="AA861" s="9" t="n"/>
      <c r="AB861" s="9" t="n"/>
    </row>
    <row r="862" ht="22" customHeight="1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10">
        <f>IF(OR(N862="",P862=""),"",N862*P862)</f>
        <v/>
      </c>
      <c r="R862" s="9" t="n"/>
      <c r="S862" s="9" t="n"/>
      <c r="T862" s="9" t="n"/>
      <c r="U862" s="9">
        <f>IF(Q862="","",IF(W862=0,"已付款PAID",IF(V862&gt;0,"部分核销","未付款N/P")))</f>
        <v/>
      </c>
      <c r="V862" s="10">
        <f>IF(G862="","",SUMIFS(回款核销!$H:$H,回款核销!$C:$C,G862)+SUMIFS(回款核销!$H:$H,回款核销!$B:$B,D862,回款核销!$C:$C,""))</f>
        <v/>
      </c>
      <c r="W862" s="10">
        <f>IF(Q862="","",MAX(0,Q862-V862))</f>
        <v/>
      </c>
      <c r="X862" s="9" t="n"/>
      <c r="Y862" s="10">
        <f>IF(OR(N862="",X862=""),"",N862*X862)</f>
        <v/>
      </c>
      <c r="Z862" s="10">
        <f>IF(OR(Q862="",Y862=""),"",Q862-Y862)</f>
        <v/>
      </c>
      <c r="AA862" s="9" t="n"/>
      <c r="AB862" s="9" t="n"/>
    </row>
    <row r="863" ht="22" customHeight="1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10">
        <f>IF(OR(N863="",P863=""),"",N863*P863)</f>
        <v/>
      </c>
      <c r="R863" s="9" t="n"/>
      <c r="S863" s="9" t="n"/>
      <c r="T863" s="9" t="n"/>
      <c r="U863" s="9">
        <f>IF(Q863="","",IF(W863=0,"已付款PAID",IF(V863&gt;0,"部分核销","未付款N/P")))</f>
        <v/>
      </c>
      <c r="V863" s="10">
        <f>IF(G863="","",SUMIFS(回款核销!$H:$H,回款核销!$C:$C,G863)+SUMIFS(回款核销!$H:$H,回款核销!$B:$B,D863,回款核销!$C:$C,""))</f>
        <v/>
      </c>
      <c r="W863" s="10">
        <f>IF(Q863="","",MAX(0,Q863-V863))</f>
        <v/>
      </c>
      <c r="X863" s="9" t="n"/>
      <c r="Y863" s="10">
        <f>IF(OR(N863="",X863=""),"",N863*X863)</f>
        <v/>
      </c>
      <c r="Z863" s="10">
        <f>IF(OR(Q863="",Y863=""),"",Q863-Y863)</f>
        <v/>
      </c>
      <c r="AA863" s="9" t="n"/>
      <c r="AB863" s="9" t="n"/>
    </row>
    <row r="864" ht="22" customHeight="1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10">
        <f>IF(OR(N864="",P864=""),"",N864*P864)</f>
        <v/>
      </c>
      <c r="R864" s="9" t="n"/>
      <c r="S864" s="9" t="n"/>
      <c r="T864" s="9" t="n"/>
      <c r="U864" s="9">
        <f>IF(Q864="","",IF(W864=0,"已付款PAID",IF(V864&gt;0,"部分核销","未付款N/P")))</f>
        <v/>
      </c>
      <c r="V864" s="10">
        <f>IF(G864="","",SUMIFS(回款核销!$H:$H,回款核销!$C:$C,G864)+SUMIFS(回款核销!$H:$H,回款核销!$B:$B,D864,回款核销!$C:$C,""))</f>
        <v/>
      </c>
      <c r="W864" s="10">
        <f>IF(Q864="","",MAX(0,Q864-V864))</f>
        <v/>
      </c>
      <c r="X864" s="9" t="n"/>
      <c r="Y864" s="10">
        <f>IF(OR(N864="",X864=""),"",N864*X864)</f>
        <v/>
      </c>
      <c r="Z864" s="10">
        <f>IF(OR(Q864="",Y864=""),"",Q864-Y864)</f>
        <v/>
      </c>
      <c r="AA864" s="9" t="n"/>
      <c r="AB864" s="9" t="n"/>
    </row>
    <row r="865" ht="22" customHeight="1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10">
        <f>IF(OR(N865="",P865=""),"",N865*P865)</f>
        <v/>
      </c>
      <c r="R865" s="9" t="n"/>
      <c r="S865" s="9" t="n"/>
      <c r="T865" s="9" t="n"/>
      <c r="U865" s="9">
        <f>IF(Q865="","",IF(W865=0,"已付款PAID",IF(V865&gt;0,"部分核销","未付款N/P")))</f>
        <v/>
      </c>
      <c r="V865" s="10">
        <f>IF(G865="","",SUMIFS(回款核销!$H:$H,回款核销!$C:$C,G865)+SUMIFS(回款核销!$H:$H,回款核销!$B:$B,D865,回款核销!$C:$C,""))</f>
        <v/>
      </c>
      <c r="W865" s="10">
        <f>IF(Q865="","",MAX(0,Q865-V865))</f>
        <v/>
      </c>
      <c r="X865" s="9" t="n"/>
      <c r="Y865" s="10">
        <f>IF(OR(N865="",X865=""),"",N865*X865)</f>
        <v/>
      </c>
      <c r="Z865" s="10">
        <f>IF(OR(Q865="",Y865=""),"",Q865-Y865)</f>
        <v/>
      </c>
      <c r="AA865" s="9" t="n"/>
      <c r="AB865" s="9" t="n"/>
    </row>
    <row r="866" ht="22" customHeight="1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10">
        <f>IF(OR(N866="",P866=""),"",N866*P866)</f>
        <v/>
      </c>
      <c r="R866" s="9" t="n"/>
      <c r="S866" s="9" t="n"/>
      <c r="T866" s="9" t="n"/>
      <c r="U866" s="9">
        <f>IF(Q866="","",IF(W866=0,"已付款PAID",IF(V866&gt;0,"部分核销","未付款N/P")))</f>
        <v/>
      </c>
      <c r="V866" s="10">
        <f>IF(G866="","",SUMIFS(回款核销!$H:$H,回款核销!$C:$C,G866)+SUMIFS(回款核销!$H:$H,回款核销!$B:$B,D866,回款核销!$C:$C,""))</f>
        <v/>
      </c>
      <c r="W866" s="10">
        <f>IF(Q866="","",MAX(0,Q866-V866))</f>
        <v/>
      </c>
      <c r="X866" s="9" t="n"/>
      <c r="Y866" s="10">
        <f>IF(OR(N866="",X866=""),"",N866*X866)</f>
        <v/>
      </c>
      <c r="Z866" s="10">
        <f>IF(OR(Q866="",Y866=""),"",Q866-Y866)</f>
        <v/>
      </c>
      <c r="AA866" s="9" t="n"/>
      <c r="AB866" s="9" t="n"/>
    </row>
    <row r="867" ht="22" customHeight="1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10">
        <f>IF(OR(N867="",P867=""),"",N867*P867)</f>
        <v/>
      </c>
      <c r="R867" s="9" t="n"/>
      <c r="S867" s="9" t="n"/>
      <c r="T867" s="9" t="n"/>
      <c r="U867" s="9">
        <f>IF(Q867="","",IF(W867=0,"已付款PAID",IF(V867&gt;0,"部分核销","未付款N/P")))</f>
        <v/>
      </c>
      <c r="V867" s="10">
        <f>IF(G867="","",SUMIFS(回款核销!$H:$H,回款核销!$C:$C,G867)+SUMIFS(回款核销!$H:$H,回款核销!$B:$B,D867,回款核销!$C:$C,""))</f>
        <v/>
      </c>
      <c r="W867" s="10">
        <f>IF(Q867="","",MAX(0,Q867-V867))</f>
        <v/>
      </c>
      <c r="X867" s="9" t="n"/>
      <c r="Y867" s="10">
        <f>IF(OR(N867="",X867=""),"",N867*X867)</f>
        <v/>
      </c>
      <c r="Z867" s="10">
        <f>IF(OR(Q867="",Y867=""),"",Q867-Y867)</f>
        <v/>
      </c>
      <c r="AA867" s="9" t="n"/>
      <c r="AB867" s="9" t="n"/>
    </row>
    <row r="868" ht="22" customHeight="1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10">
        <f>IF(OR(N868="",P868=""),"",N868*P868)</f>
        <v/>
      </c>
      <c r="R868" s="9" t="n"/>
      <c r="S868" s="9" t="n"/>
      <c r="T868" s="9" t="n"/>
      <c r="U868" s="9">
        <f>IF(Q868="","",IF(W868=0,"已付款PAID",IF(V868&gt;0,"部分核销","未付款N/P")))</f>
        <v/>
      </c>
      <c r="V868" s="10">
        <f>IF(G868="","",SUMIFS(回款核销!$H:$H,回款核销!$C:$C,G868)+SUMIFS(回款核销!$H:$H,回款核销!$B:$B,D868,回款核销!$C:$C,""))</f>
        <v/>
      </c>
      <c r="W868" s="10">
        <f>IF(Q868="","",MAX(0,Q868-V868))</f>
        <v/>
      </c>
      <c r="X868" s="9" t="n"/>
      <c r="Y868" s="10">
        <f>IF(OR(N868="",X868=""),"",N868*X868)</f>
        <v/>
      </c>
      <c r="Z868" s="10">
        <f>IF(OR(Q868="",Y868=""),"",Q868-Y868)</f>
        <v/>
      </c>
      <c r="AA868" s="9" t="n"/>
      <c r="AB868" s="9" t="n"/>
    </row>
    <row r="869" ht="22" customHeight="1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10">
        <f>IF(OR(N869="",P869=""),"",N869*P869)</f>
        <v/>
      </c>
      <c r="R869" s="9" t="n"/>
      <c r="S869" s="9" t="n"/>
      <c r="T869" s="9" t="n"/>
      <c r="U869" s="9">
        <f>IF(Q869="","",IF(W869=0,"已付款PAID",IF(V869&gt;0,"部分核销","未付款N/P")))</f>
        <v/>
      </c>
      <c r="V869" s="10">
        <f>IF(G869="","",SUMIFS(回款核销!$H:$H,回款核销!$C:$C,G869)+SUMIFS(回款核销!$H:$H,回款核销!$B:$B,D869,回款核销!$C:$C,""))</f>
        <v/>
      </c>
      <c r="W869" s="10">
        <f>IF(Q869="","",MAX(0,Q869-V869))</f>
        <v/>
      </c>
      <c r="X869" s="9" t="n"/>
      <c r="Y869" s="10">
        <f>IF(OR(N869="",X869=""),"",N869*X869)</f>
        <v/>
      </c>
      <c r="Z869" s="10">
        <f>IF(OR(Q869="",Y869=""),"",Q869-Y869)</f>
        <v/>
      </c>
      <c r="AA869" s="9" t="n"/>
      <c r="AB869" s="9" t="n"/>
    </row>
    <row r="870" ht="22" customHeight="1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10">
        <f>IF(OR(N870="",P870=""),"",N870*P870)</f>
        <v/>
      </c>
      <c r="R870" s="9" t="n"/>
      <c r="S870" s="9" t="n"/>
      <c r="T870" s="9" t="n"/>
      <c r="U870" s="9">
        <f>IF(Q870="","",IF(W870=0,"已付款PAID",IF(V870&gt;0,"部分核销","未付款N/P")))</f>
        <v/>
      </c>
      <c r="V870" s="10">
        <f>IF(G870="","",SUMIFS(回款核销!$H:$H,回款核销!$C:$C,G870)+SUMIFS(回款核销!$H:$H,回款核销!$B:$B,D870,回款核销!$C:$C,""))</f>
        <v/>
      </c>
      <c r="W870" s="10">
        <f>IF(Q870="","",MAX(0,Q870-V870))</f>
        <v/>
      </c>
      <c r="X870" s="9" t="n"/>
      <c r="Y870" s="10">
        <f>IF(OR(N870="",X870=""),"",N870*X870)</f>
        <v/>
      </c>
      <c r="Z870" s="10">
        <f>IF(OR(Q870="",Y870=""),"",Q870-Y870)</f>
        <v/>
      </c>
      <c r="AA870" s="9" t="n"/>
      <c r="AB870" s="9" t="n"/>
    </row>
    <row r="871" ht="22" customHeight="1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10">
        <f>IF(OR(N871="",P871=""),"",N871*P871)</f>
        <v/>
      </c>
      <c r="R871" s="9" t="n"/>
      <c r="S871" s="9" t="n"/>
      <c r="T871" s="9" t="n"/>
      <c r="U871" s="9">
        <f>IF(Q871="","",IF(W871=0,"已付款PAID",IF(V871&gt;0,"部分核销","未付款N/P")))</f>
        <v/>
      </c>
      <c r="V871" s="10">
        <f>IF(G871="","",SUMIFS(回款核销!$H:$H,回款核销!$C:$C,G871)+SUMIFS(回款核销!$H:$H,回款核销!$B:$B,D871,回款核销!$C:$C,""))</f>
        <v/>
      </c>
      <c r="W871" s="10">
        <f>IF(Q871="","",MAX(0,Q871-V871))</f>
        <v/>
      </c>
      <c r="X871" s="9" t="n"/>
      <c r="Y871" s="10">
        <f>IF(OR(N871="",X871=""),"",N871*X871)</f>
        <v/>
      </c>
      <c r="Z871" s="10">
        <f>IF(OR(Q871="",Y871=""),"",Q871-Y871)</f>
        <v/>
      </c>
      <c r="AA871" s="9" t="n"/>
      <c r="AB871" s="9" t="n"/>
    </row>
    <row r="872" ht="22" customHeight="1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10">
        <f>IF(OR(N872="",P872=""),"",N872*P872)</f>
        <v/>
      </c>
      <c r="R872" s="9" t="n"/>
      <c r="S872" s="9" t="n"/>
      <c r="T872" s="9" t="n"/>
      <c r="U872" s="9">
        <f>IF(Q872="","",IF(W872=0,"已付款PAID",IF(V872&gt;0,"部分核销","未付款N/P")))</f>
        <v/>
      </c>
      <c r="V872" s="10">
        <f>IF(G872="","",SUMIFS(回款核销!$H:$H,回款核销!$C:$C,G872)+SUMIFS(回款核销!$H:$H,回款核销!$B:$B,D872,回款核销!$C:$C,""))</f>
        <v/>
      </c>
      <c r="W872" s="10">
        <f>IF(Q872="","",MAX(0,Q872-V872))</f>
        <v/>
      </c>
      <c r="X872" s="9" t="n"/>
      <c r="Y872" s="10">
        <f>IF(OR(N872="",X872=""),"",N872*X872)</f>
        <v/>
      </c>
      <c r="Z872" s="10">
        <f>IF(OR(Q872="",Y872=""),"",Q872-Y872)</f>
        <v/>
      </c>
      <c r="AA872" s="9" t="n"/>
      <c r="AB872" s="9" t="n"/>
    </row>
    <row r="873" ht="22" customHeight="1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10">
        <f>IF(OR(N873="",P873=""),"",N873*P873)</f>
        <v/>
      </c>
      <c r="R873" s="9" t="n"/>
      <c r="S873" s="9" t="n"/>
      <c r="T873" s="9" t="n"/>
      <c r="U873" s="9">
        <f>IF(Q873="","",IF(W873=0,"已付款PAID",IF(V873&gt;0,"部分核销","未付款N/P")))</f>
        <v/>
      </c>
      <c r="V873" s="10">
        <f>IF(G873="","",SUMIFS(回款核销!$H:$H,回款核销!$C:$C,G873)+SUMIFS(回款核销!$H:$H,回款核销!$B:$B,D873,回款核销!$C:$C,""))</f>
        <v/>
      </c>
      <c r="W873" s="10">
        <f>IF(Q873="","",MAX(0,Q873-V873))</f>
        <v/>
      </c>
      <c r="X873" s="9" t="n"/>
      <c r="Y873" s="10">
        <f>IF(OR(N873="",X873=""),"",N873*X873)</f>
        <v/>
      </c>
      <c r="Z873" s="10">
        <f>IF(OR(Q873="",Y873=""),"",Q873-Y873)</f>
        <v/>
      </c>
      <c r="AA873" s="9" t="n"/>
      <c r="AB873" s="9" t="n"/>
    </row>
    <row r="874" ht="22" customHeight="1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10">
        <f>IF(OR(N874="",P874=""),"",N874*P874)</f>
        <v/>
      </c>
      <c r="R874" s="9" t="n"/>
      <c r="S874" s="9" t="n"/>
      <c r="T874" s="9" t="n"/>
      <c r="U874" s="9">
        <f>IF(Q874="","",IF(W874=0,"已付款PAID",IF(V874&gt;0,"部分核销","未付款N/P")))</f>
        <v/>
      </c>
      <c r="V874" s="10">
        <f>IF(G874="","",SUMIFS(回款核销!$H:$H,回款核销!$C:$C,G874)+SUMIFS(回款核销!$H:$H,回款核销!$B:$B,D874,回款核销!$C:$C,""))</f>
        <v/>
      </c>
      <c r="W874" s="10">
        <f>IF(Q874="","",MAX(0,Q874-V874))</f>
        <v/>
      </c>
      <c r="X874" s="9" t="n"/>
      <c r="Y874" s="10">
        <f>IF(OR(N874="",X874=""),"",N874*X874)</f>
        <v/>
      </c>
      <c r="Z874" s="10">
        <f>IF(OR(Q874="",Y874=""),"",Q874-Y874)</f>
        <v/>
      </c>
      <c r="AA874" s="9" t="n"/>
      <c r="AB874" s="9" t="n"/>
    </row>
    <row r="875" ht="22" customHeight="1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10">
        <f>IF(OR(N875="",P875=""),"",N875*P875)</f>
        <v/>
      </c>
      <c r="R875" s="9" t="n"/>
      <c r="S875" s="9" t="n"/>
      <c r="T875" s="9" t="n"/>
      <c r="U875" s="9">
        <f>IF(Q875="","",IF(W875=0,"已付款PAID",IF(V875&gt;0,"部分核销","未付款N/P")))</f>
        <v/>
      </c>
      <c r="V875" s="10">
        <f>IF(G875="","",SUMIFS(回款核销!$H:$H,回款核销!$C:$C,G875)+SUMIFS(回款核销!$H:$H,回款核销!$B:$B,D875,回款核销!$C:$C,""))</f>
        <v/>
      </c>
      <c r="W875" s="10">
        <f>IF(Q875="","",MAX(0,Q875-V875))</f>
        <v/>
      </c>
      <c r="X875" s="9" t="n"/>
      <c r="Y875" s="10">
        <f>IF(OR(N875="",X875=""),"",N875*X875)</f>
        <v/>
      </c>
      <c r="Z875" s="10">
        <f>IF(OR(Q875="",Y875=""),"",Q875-Y875)</f>
        <v/>
      </c>
      <c r="AA875" s="9" t="n"/>
      <c r="AB875" s="9" t="n"/>
    </row>
    <row r="876" ht="22" customHeight="1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10">
        <f>IF(OR(N876="",P876=""),"",N876*P876)</f>
        <v/>
      </c>
      <c r="R876" s="9" t="n"/>
      <c r="S876" s="9" t="n"/>
      <c r="T876" s="9" t="n"/>
      <c r="U876" s="9">
        <f>IF(Q876="","",IF(W876=0,"已付款PAID",IF(V876&gt;0,"部分核销","未付款N/P")))</f>
        <v/>
      </c>
      <c r="V876" s="10">
        <f>IF(G876="","",SUMIFS(回款核销!$H:$H,回款核销!$C:$C,G876)+SUMIFS(回款核销!$H:$H,回款核销!$B:$B,D876,回款核销!$C:$C,""))</f>
        <v/>
      </c>
      <c r="W876" s="10">
        <f>IF(Q876="","",MAX(0,Q876-V876))</f>
        <v/>
      </c>
      <c r="X876" s="9" t="n"/>
      <c r="Y876" s="10">
        <f>IF(OR(N876="",X876=""),"",N876*X876)</f>
        <v/>
      </c>
      <c r="Z876" s="10">
        <f>IF(OR(Q876="",Y876=""),"",Q876-Y876)</f>
        <v/>
      </c>
      <c r="AA876" s="9" t="n"/>
      <c r="AB876" s="9" t="n"/>
    </row>
    <row r="877" ht="22" customHeight="1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10">
        <f>IF(OR(N877="",P877=""),"",N877*P877)</f>
        <v/>
      </c>
      <c r="R877" s="9" t="n"/>
      <c r="S877" s="9" t="n"/>
      <c r="T877" s="9" t="n"/>
      <c r="U877" s="9">
        <f>IF(Q877="","",IF(W877=0,"已付款PAID",IF(V877&gt;0,"部分核销","未付款N/P")))</f>
        <v/>
      </c>
      <c r="V877" s="10">
        <f>IF(G877="","",SUMIFS(回款核销!$H:$H,回款核销!$C:$C,G877)+SUMIFS(回款核销!$H:$H,回款核销!$B:$B,D877,回款核销!$C:$C,""))</f>
        <v/>
      </c>
      <c r="W877" s="10">
        <f>IF(Q877="","",MAX(0,Q877-V877))</f>
        <v/>
      </c>
      <c r="X877" s="9" t="n"/>
      <c r="Y877" s="10">
        <f>IF(OR(N877="",X877=""),"",N877*X877)</f>
        <v/>
      </c>
      <c r="Z877" s="10">
        <f>IF(OR(Q877="",Y877=""),"",Q877-Y877)</f>
        <v/>
      </c>
      <c r="AA877" s="9" t="n"/>
      <c r="AB877" s="9" t="n"/>
    </row>
    <row r="878" ht="22" customHeight="1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10">
        <f>IF(OR(N878="",P878=""),"",N878*P878)</f>
        <v/>
      </c>
      <c r="R878" s="9" t="n"/>
      <c r="S878" s="9" t="n"/>
      <c r="T878" s="9" t="n"/>
      <c r="U878" s="9">
        <f>IF(Q878="","",IF(W878=0,"已付款PAID",IF(V878&gt;0,"部分核销","未付款N/P")))</f>
        <v/>
      </c>
      <c r="V878" s="10">
        <f>IF(G878="","",SUMIFS(回款核销!$H:$H,回款核销!$C:$C,G878)+SUMIFS(回款核销!$H:$H,回款核销!$B:$B,D878,回款核销!$C:$C,""))</f>
        <v/>
      </c>
      <c r="W878" s="10">
        <f>IF(Q878="","",MAX(0,Q878-V878))</f>
        <v/>
      </c>
      <c r="X878" s="9" t="n"/>
      <c r="Y878" s="10">
        <f>IF(OR(N878="",X878=""),"",N878*X878)</f>
        <v/>
      </c>
      <c r="Z878" s="10">
        <f>IF(OR(Q878="",Y878=""),"",Q878-Y878)</f>
        <v/>
      </c>
      <c r="AA878" s="9" t="n"/>
      <c r="AB878" s="9" t="n"/>
    </row>
    <row r="879" ht="22" customHeight="1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10">
        <f>IF(OR(N879="",P879=""),"",N879*P879)</f>
        <v/>
      </c>
      <c r="R879" s="9" t="n"/>
      <c r="S879" s="9" t="n"/>
      <c r="T879" s="9" t="n"/>
      <c r="U879" s="9">
        <f>IF(Q879="","",IF(W879=0,"已付款PAID",IF(V879&gt;0,"部分核销","未付款N/P")))</f>
        <v/>
      </c>
      <c r="V879" s="10">
        <f>IF(G879="","",SUMIFS(回款核销!$H:$H,回款核销!$C:$C,G879)+SUMIFS(回款核销!$H:$H,回款核销!$B:$B,D879,回款核销!$C:$C,""))</f>
        <v/>
      </c>
      <c r="W879" s="10">
        <f>IF(Q879="","",MAX(0,Q879-V879))</f>
        <v/>
      </c>
      <c r="X879" s="9" t="n"/>
      <c r="Y879" s="10">
        <f>IF(OR(N879="",X879=""),"",N879*X879)</f>
        <v/>
      </c>
      <c r="Z879" s="10">
        <f>IF(OR(Q879="",Y879=""),"",Q879-Y879)</f>
        <v/>
      </c>
      <c r="AA879" s="9" t="n"/>
      <c r="AB879" s="9" t="n"/>
    </row>
    <row r="880" ht="22" customHeight="1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10">
        <f>IF(OR(N880="",P880=""),"",N880*P880)</f>
        <v/>
      </c>
      <c r="R880" s="9" t="n"/>
      <c r="S880" s="9" t="n"/>
      <c r="T880" s="9" t="n"/>
      <c r="U880" s="9">
        <f>IF(Q880="","",IF(W880=0,"已付款PAID",IF(V880&gt;0,"部分核销","未付款N/P")))</f>
        <v/>
      </c>
      <c r="V880" s="10">
        <f>IF(G880="","",SUMIFS(回款核销!$H:$H,回款核销!$C:$C,G880)+SUMIFS(回款核销!$H:$H,回款核销!$B:$B,D880,回款核销!$C:$C,""))</f>
        <v/>
      </c>
      <c r="W880" s="10">
        <f>IF(Q880="","",MAX(0,Q880-V880))</f>
        <v/>
      </c>
      <c r="X880" s="9" t="n"/>
      <c r="Y880" s="10">
        <f>IF(OR(N880="",X880=""),"",N880*X880)</f>
        <v/>
      </c>
      <c r="Z880" s="10">
        <f>IF(OR(Q880="",Y880=""),"",Q880-Y880)</f>
        <v/>
      </c>
      <c r="AA880" s="9" t="n"/>
      <c r="AB880" s="9" t="n"/>
    </row>
    <row r="881" ht="22" customHeight="1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10">
        <f>IF(OR(N881="",P881=""),"",N881*P881)</f>
        <v/>
      </c>
      <c r="R881" s="9" t="n"/>
      <c r="S881" s="9" t="n"/>
      <c r="T881" s="9" t="n"/>
      <c r="U881" s="9">
        <f>IF(Q881="","",IF(W881=0,"已付款PAID",IF(V881&gt;0,"部分核销","未付款N/P")))</f>
        <v/>
      </c>
      <c r="V881" s="10">
        <f>IF(G881="","",SUMIFS(回款核销!$H:$H,回款核销!$C:$C,G881)+SUMIFS(回款核销!$H:$H,回款核销!$B:$B,D881,回款核销!$C:$C,""))</f>
        <v/>
      </c>
      <c r="W881" s="10">
        <f>IF(Q881="","",MAX(0,Q881-V881))</f>
        <v/>
      </c>
      <c r="X881" s="9" t="n"/>
      <c r="Y881" s="10">
        <f>IF(OR(N881="",X881=""),"",N881*X881)</f>
        <v/>
      </c>
      <c r="Z881" s="10">
        <f>IF(OR(Q881="",Y881=""),"",Q881-Y881)</f>
        <v/>
      </c>
      <c r="AA881" s="9" t="n"/>
      <c r="AB881" s="9" t="n"/>
    </row>
    <row r="882" ht="22" customHeight="1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10">
        <f>IF(OR(N882="",P882=""),"",N882*P882)</f>
        <v/>
      </c>
      <c r="R882" s="9" t="n"/>
      <c r="S882" s="9" t="n"/>
      <c r="T882" s="9" t="n"/>
      <c r="U882" s="9">
        <f>IF(Q882="","",IF(W882=0,"已付款PAID",IF(V882&gt;0,"部分核销","未付款N/P")))</f>
        <v/>
      </c>
      <c r="V882" s="10">
        <f>IF(G882="","",SUMIFS(回款核销!$H:$H,回款核销!$C:$C,G882)+SUMIFS(回款核销!$H:$H,回款核销!$B:$B,D882,回款核销!$C:$C,""))</f>
        <v/>
      </c>
      <c r="W882" s="10">
        <f>IF(Q882="","",MAX(0,Q882-V882))</f>
        <v/>
      </c>
      <c r="X882" s="9" t="n"/>
      <c r="Y882" s="10">
        <f>IF(OR(N882="",X882=""),"",N882*X882)</f>
        <v/>
      </c>
      <c r="Z882" s="10">
        <f>IF(OR(Q882="",Y882=""),"",Q882-Y882)</f>
        <v/>
      </c>
      <c r="AA882" s="9" t="n"/>
      <c r="AB882" s="9" t="n"/>
    </row>
    <row r="883" ht="22" customHeight="1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10">
        <f>IF(OR(N883="",P883=""),"",N883*P883)</f>
        <v/>
      </c>
      <c r="R883" s="9" t="n"/>
      <c r="S883" s="9" t="n"/>
      <c r="T883" s="9" t="n"/>
      <c r="U883" s="9">
        <f>IF(Q883="","",IF(W883=0,"已付款PAID",IF(V883&gt;0,"部分核销","未付款N/P")))</f>
        <v/>
      </c>
      <c r="V883" s="10">
        <f>IF(G883="","",SUMIFS(回款核销!$H:$H,回款核销!$C:$C,G883)+SUMIFS(回款核销!$H:$H,回款核销!$B:$B,D883,回款核销!$C:$C,""))</f>
        <v/>
      </c>
      <c r="W883" s="10">
        <f>IF(Q883="","",MAX(0,Q883-V883))</f>
        <v/>
      </c>
      <c r="X883" s="9" t="n"/>
      <c r="Y883" s="10">
        <f>IF(OR(N883="",X883=""),"",N883*X883)</f>
        <v/>
      </c>
      <c r="Z883" s="10">
        <f>IF(OR(Q883="",Y883=""),"",Q883-Y883)</f>
        <v/>
      </c>
      <c r="AA883" s="9" t="n"/>
      <c r="AB883" s="9" t="n"/>
    </row>
    <row r="884" ht="22" customHeight="1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10">
        <f>IF(OR(N884="",P884=""),"",N884*P884)</f>
        <v/>
      </c>
      <c r="R884" s="9" t="n"/>
      <c r="S884" s="9" t="n"/>
      <c r="T884" s="9" t="n"/>
      <c r="U884" s="9">
        <f>IF(Q884="","",IF(W884=0,"已付款PAID",IF(V884&gt;0,"部分核销","未付款N/P")))</f>
        <v/>
      </c>
      <c r="V884" s="10">
        <f>IF(G884="","",SUMIFS(回款核销!$H:$H,回款核销!$C:$C,G884)+SUMIFS(回款核销!$H:$H,回款核销!$B:$B,D884,回款核销!$C:$C,""))</f>
        <v/>
      </c>
      <c r="W884" s="10">
        <f>IF(Q884="","",MAX(0,Q884-V884))</f>
        <v/>
      </c>
      <c r="X884" s="9" t="n"/>
      <c r="Y884" s="10">
        <f>IF(OR(N884="",X884=""),"",N884*X884)</f>
        <v/>
      </c>
      <c r="Z884" s="10">
        <f>IF(OR(Q884="",Y884=""),"",Q884-Y884)</f>
        <v/>
      </c>
      <c r="AA884" s="9" t="n"/>
      <c r="AB884" s="9" t="n"/>
    </row>
    <row r="885" ht="22" customHeight="1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10">
        <f>IF(OR(N885="",P885=""),"",N885*P885)</f>
        <v/>
      </c>
      <c r="R885" s="9" t="n"/>
      <c r="S885" s="9" t="n"/>
      <c r="T885" s="9" t="n"/>
      <c r="U885" s="9">
        <f>IF(Q885="","",IF(W885=0,"已付款PAID",IF(V885&gt;0,"部分核销","未付款N/P")))</f>
        <v/>
      </c>
      <c r="V885" s="10">
        <f>IF(G885="","",SUMIFS(回款核销!$H:$H,回款核销!$C:$C,G885)+SUMIFS(回款核销!$H:$H,回款核销!$B:$B,D885,回款核销!$C:$C,""))</f>
        <v/>
      </c>
      <c r="W885" s="10">
        <f>IF(Q885="","",MAX(0,Q885-V885))</f>
        <v/>
      </c>
      <c r="X885" s="9" t="n"/>
      <c r="Y885" s="10">
        <f>IF(OR(N885="",X885=""),"",N885*X885)</f>
        <v/>
      </c>
      <c r="Z885" s="10">
        <f>IF(OR(Q885="",Y885=""),"",Q885-Y885)</f>
        <v/>
      </c>
      <c r="AA885" s="9" t="n"/>
      <c r="AB885" s="9" t="n"/>
    </row>
    <row r="886" ht="22" customHeight="1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10">
        <f>IF(OR(N886="",P886=""),"",N886*P886)</f>
        <v/>
      </c>
      <c r="R886" s="9" t="n"/>
      <c r="S886" s="9" t="n"/>
      <c r="T886" s="9" t="n"/>
      <c r="U886" s="9">
        <f>IF(Q886="","",IF(W886=0,"已付款PAID",IF(V886&gt;0,"部分核销","未付款N/P")))</f>
        <v/>
      </c>
      <c r="V886" s="10">
        <f>IF(G886="","",SUMIFS(回款核销!$H:$H,回款核销!$C:$C,G886)+SUMIFS(回款核销!$H:$H,回款核销!$B:$B,D886,回款核销!$C:$C,""))</f>
        <v/>
      </c>
      <c r="W886" s="10">
        <f>IF(Q886="","",MAX(0,Q886-V886))</f>
        <v/>
      </c>
      <c r="X886" s="9" t="n"/>
      <c r="Y886" s="10">
        <f>IF(OR(N886="",X886=""),"",N886*X886)</f>
        <v/>
      </c>
      <c r="Z886" s="10">
        <f>IF(OR(Q886="",Y886=""),"",Q886-Y886)</f>
        <v/>
      </c>
      <c r="AA886" s="9" t="n"/>
      <c r="AB886" s="9" t="n"/>
    </row>
    <row r="887" ht="22" customHeight="1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10">
        <f>IF(OR(N887="",P887=""),"",N887*P887)</f>
        <v/>
      </c>
      <c r="R887" s="9" t="n"/>
      <c r="S887" s="9" t="n"/>
      <c r="T887" s="9" t="n"/>
      <c r="U887" s="9">
        <f>IF(Q887="","",IF(W887=0,"已付款PAID",IF(V887&gt;0,"部分核销","未付款N/P")))</f>
        <v/>
      </c>
      <c r="V887" s="10">
        <f>IF(G887="","",SUMIFS(回款核销!$H:$H,回款核销!$C:$C,G887)+SUMIFS(回款核销!$H:$H,回款核销!$B:$B,D887,回款核销!$C:$C,""))</f>
        <v/>
      </c>
      <c r="W887" s="10">
        <f>IF(Q887="","",MAX(0,Q887-V887))</f>
        <v/>
      </c>
      <c r="X887" s="9" t="n"/>
      <c r="Y887" s="10">
        <f>IF(OR(N887="",X887=""),"",N887*X887)</f>
        <v/>
      </c>
      <c r="Z887" s="10">
        <f>IF(OR(Q887="",Y887=""),"",Q887-Y887)</f>
        <v/>
      </c>
      <c r="AA887" s="9" t="n"/>
      <c r="AB887" s="9" t="n"/>
    </row>
    <row r="888" ht="22" customHeight="1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10">
        <f>IF(OR(N888="",P888=""),"",N888*P888)</f>
        <v/>
      </c>
      <c r="R888" s="9" t="n"/>
      <c r="S888" s="9" t="n"/>
      <c r="T888" s="9" t="n"/>
      <c r="U888" s="9">
        <f>IF(Q888="","",IF(W888=0,"已付款PAID",IF(V888&gt;0,"部分核销","未付款N/P")))</f>
        <v/>
      </c>
      <c r="V888" s="10">
        <f>IF(G888="","",SUMIFS(回款核销!$H:$H,回款核销!$C:$C,G888)+SUMIFS(回款核销!$H:$H,回款核销!$B:$B,D888,回款核销!$C:$C,""))</f>
        <v/>
      </c>
      <c r="W888" s="10">
        <f>IF(Q888="","",MAX(0,Q888-V888))</f>
        <v/>
      </c>
      <c r="X888" s="9" t="n"/>
      <c r="Y888" s="10">
        <f>IF(OR(N888="",X888=""),"",N888*X888)</f>
        <v/>
      </c>
      <c r="Z888" s="10">
        <f>IF(OR(Q888="",Y888=""),"",Q888-Y888)</f>
        <v/>
      </c>
      <c r="AA888" s="9" t="n"/>
      <c r="AB888" s="9" t="n"/>
    </row>
    <row r="889" ht="22" customHeight="1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10">
        <f>IF(OR(N889="",P889=""),"",N889*P889)</f>
        <v/>
      </c>
      <c r="R889" s="9" t="n"/>
      <c r="S889" s="9" t="n"/>
      <c r="T889" s="9" t="n"/>
      <c r="U889" s="9">
        <f>IF(Q889="","",IF(W889=0,"已付款PAID",IF(V889&gt;0,"部分核销","未付款N/P")))</f>
        <v/>
      </c>
      <c r="V889" s="10">
        <f>IF(G889="","",SUMIFS(回款核销!$H:$H,回款核销!$C:$C,G889)+SUMIFS(回款核销!$H:$H,回款核销!$B:$B,D889,回款核销!$C:$C,""))</f>
        <v/>
      </c>
      <c r="W889" s="10">
        <f>IF(Q889="","",MAX(0,Q889-V889))</f>
        <v/>
      </c>
      <c r="X889" s="9" t="n"/>
      <c r="Y889" s="10">
        <f>IF(OR(N889="",X889=""),"",N889*X889)</f>
        <v/>
      </c>
      <c r="Z889" s="10">
        <f>IF(OR(Q889="",Y889=""),"",Q889-Y889)</f>
        <v/>
      </c>
      <c r="AA889" s="9" t="n"/>
      <c r="AB889" s="9" t="n"/>
    </row>
    <row r="890" ht="22" customHeight="1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10">
        <f>IF(OR(N890="",P890=""),"",N890*P890)</f>
        <v/>
      </c>
      <c r="R890" s="9" t="n"/>
      <c r="S890" s="9" t="n"/>
      <c r="T890" s="9" t="n"/>
      <c r="U890" s="9">
        <f>IF(Q890="","",IF(W890=0,"已付款PAID",IF(V890&gt;0,"部分核销","未付款N/P")))</f>
        <v/>
      </c>
      <c r="V890" s="10">
        <f>IF(G890="","",SUMIFS(回款核销!$H:$H,回款核销!$C:$C,G890)+SUMIFS(回款核销!$H:$H,回款核销!$B:$B,D890,回款核销!$C:$C,""))</f>
        <v/>
      </c>
      <c r="W890" s="10">
        <f>IF(Q890="","",MAX(0,Q890-V890))</f>
        <v/>
      </c>
      <c r="X890" s="9" t="n"/>
      <c r="Y890" s="10">
        <f>IF(OR(N890="",X890=""),"",N890*X890)</f>
        <v/>
      </c>
      <c r="Z890" s="10">
        <f>IF(OR(Q890="",Y890=""),"",Q890-Y890)</f>
        <v/>
      </c>
      <c r="AA890" s="9" t="n"/>
      <c r="AB890" s="9" t="n"/>
    </row>
    <row r="891" ht="22" customHeight="1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10">
        <f>IF(OR(N891="",P891=""),"",N891*P891)</f>
        <v/>
      </c>
      <c r="R891" s="9" t="n"/>
      <c r="S891" s="9" t="n"/>
      <c r="T891" s="9" t="n"/>
      <c r="U891" s="9">
        <f>IF(Q891="","",IF(W891=0,"已付款PAID",IF(V891&gt;0,"部分核销","未付款N/P")))</f>
        <v/>
      </c>
      <c r="V891" s="10">
        <f>IF(G891="","",SUMIFS(回款核销!$H:$H,回款核销!$C:$C,G891)+SUMIFS(回款核销!$H:$H,回款核销!$B:$B,D891,回款核销!$C:$C,""))</f>
        <v/>
      </c>
      <c r="W891" s="10">
        <f>IF(Q891="","",MAX(0,Q891-V891))</f>
        <v/>
      </c>
      <c r="X891" s="9" t="n"/>
      <c r="Y891" s="10">
        <f>IF(OR(N891="",X891=""),"",N891*X891)</f>
        <v/>
      </c>
      <c r="Z891" s="10">
        <f>IF(OR(Q891="",Y891=""),"",Q891-Y891)</f>
        <v/>
      </c>
      <c r="AA891" s="9" t="n"/>
      <c r="AB891" s="9" t="n"/>
    </row>
    <row r="892" ht="22" customHeight="1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10">
        <f>IF(OR(N892="",P892=""),"",N892*P892)</f>
        <v/>
      </c>
      <c r="R892" s="9" t="n"/>
      <c r="S892" s="9" t="n"/>
      <c r="T892" s="9" t="n"/>
      <c r="U892" s="9">
        <f>IF(Q892="","",IF(W892=0,"已付款PAID",IF(V892&gt;0,"部分核销","未付款N/P")))</f>
        <v/>
      </c>
      <c r="V892" s="10">
        <f>IF(G892="","",SUMIFS(回款核销!$H:$H,回款核销!$C:$C,G892)+SUMIFS(回款核销!$H:$H,回款核销!$B:$B,D892,回款核销!$C:$C,""))</f>
        <v/>
      </c>
      <c r="W892" s="10">
        <f>IF(Q892="","",MAX(0,Q892-V892))</f>
        <v/>
      </c>
      <c r="X892" s="9" t="n"/>
      <c r="Y892" s="10">
        <f>IF(OR(N892="",X892=""),"",N892*X892)</f>
        <v/>
      </c>
      <c r="Z892" s="10">
        <f>IF(OR(Q892="",Y892=""),"",Q892-Y892)</f>
        <v/>
      </c>
      <c r="AA892" s="9" t="n"/>
      <c r="AB892" s="9" t="n"/>
    </row>
    <row r="893" ht="22" customHeight="1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10">
        <f>IF(OR(N893="",P893=""),"",N893*P893)</f>
        <v/>
      </c>
      <c r="R893" s="9" t="n"/>
      <c r="S893" s="9" t="n"/>
      <c r="T893" s="9" t="n"/>
      <c r="U893" s="9">
        <f>IF(Q893="","",IF(W893=0,"已付款PAID",IF(V893&gt;0,"部分核销","未付款N/P")))</f>
        <v/>
      </c>
      <c r="V893" s="10">
        <f>IF(G893="","",SUMIFS(回款核销!$H:$H,回款核销!$C:$C,G893)+SUMIFS(回款核销!$H:$H,回款核销!$B:$B,D893,回款核销!$C:$C,""))</f>
        <v/>
      </c>
      <c r="W893" s="10">
        <f>IF(Q893="","",MAX(0,Q893-V893))</f>
        <v/>
      </c>
      <c r="X893" s="9" t="n"/>
      <c r="Y893" s="10">
        <f>IF(OR(N893="",X893=""),"",N893*X893)</f>
        <v/>
      </c>
      <c r="Z893" s="10">
        <f>IF(OR(Q893="",Y893=""),"",Q893-Y893)</f>
        <v/>
      </c>
      <c r="AA893" s="9" t="n"/>
      <c r="AB893" s="9" t="n"/>
    </row>
    <row r="894" ht="22" customHeight="1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10">
        <f>IF(OR(N894="",P894=""),"",N894*P894)</f>
        <v/>
      </c>
      <c r="R894" s="9" t="n"/>
      <c r="S894" s="9" t="n"/>
      <c r="T894" s="9" t="n"/>
      <c r="U894" s="9">
        <f>IF(Q894="","",IF(W894=0,"已付款PAID",IF(V894&gt;0,"部分核销","未付款N/P")))</f>
        <v/>
      </c>
      <c r="V894" s="10">
        <f>IF(G894="","",SUMIFS(回款核销!$H:$H,回款核销!$C:$C,G894)+SUMIFS(回款核销!$H:$H,回款核销!$B:$B,D894,回款核销!$C:$C,""))</f>
        <v/>
      </c>
      <c r="W894" s="10">
        <f>IF(Q894="","",MAX(0,Q894-V894))</f>
        <v/>
      </c>
      <c r="X894" s="9" t="n"/>
      <c r="Y894" s="10">
        <f>IF(OR(N894="",X894=""),"",N894*X894)</f>
        <v/>
      </c>
      <c r="Z894" s="10">
        <f>IF(OR(Q894="",Y894=""),"",Q894-Y894)</f>
        <v/>
      </c>
      <c r="AA894" s="9" t="n"/>
      <c r="AB894" s="9" t="n"/>
    </row>
    <row r="895" ht="22" customHeight="1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10">
        <f>IF(OR(N895="",P895=""),"",N895*P895)</f>
        <v/>
      </c>
      <c r="R895" s="9" t="n"/>
      <c r="S895" s="9" t="n"/>
      <c r="T895" s="9" t="n"/>
      <c r="U895" s="9">
        <f>IF(Q895="","",IF(W895=0,"已付款PAID",IF(V895&gt;0,"部分核销","未付款N/P")))</f>
        <v/>
      </c>
      <c r="V895" s="10">
        <f>IF(G895="","",SUMIFS(回款核销!$H:$H,回款核销!$C:$C,G895)+SUMIFS(回款核销!$H:$H,回款核销!$B:$B,D895,回款核销!$C:$C,""))</f>
        <v/>
      </c>
      <c r="W895" s="10">
        <f>IF(Q895="","",MAX(0,Q895-V895))</f>
        <v/>
      </c>
      <c r="X895" s="9" t="n"/>
      <c r="Y895" s="10">
        <f>IF(OR(N895="",X895=""),"",N895*X895)</f>
        <v/>
      </c>
      <c r="Z895" s="10">
        <f>IF(OR(Q895="",Y895=""),"",Q895-Y895)</f>
        <v/>
      </c>
      <c r="AA895" s="9" t="n"/>
      <c r="AB895" s="9" t="n"/>
    </row>
    <row r="896" ht="22" customHeight="1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10">
        <f>IF(OR(N896="",P896=""),"",N896*P896)</f>
        <v/>
      </c>
      <c r="R896" s="9" t="n"/>
      <c r="S896" s="9" t="n"/>
      <c r="T896" s="9" t="n"/>
      <c r="U896" s="9">
        <f>IF(Q896="","",IF(W896=0,"已付款PAID",IF(V896&gt;0,"部分核销","未付款N/P")))</f>
        <v/>
      </c>
      <c r="V896" s="10">
        <f>IF(G896="","",SUMIFS(回款核销!$H:$H,回款核销!$C:$C,G896)+SUMIFS(回款核销!$H:$H,回款核销!$B:$B,D896,回款核销!$C:$C,""))</f>
        <v/>
      </c>
      <c r="W896" s="10">
        <f>IF(Q896="","",MAX(0,Q896-V896))</f>
        <v/>
      </c>
      <c r="X896" s="9" t="n"/>
      <c r="Y896" s="10">
        <f>IF(OR(N896="",X896=""),"",N896*X896)</f>
        <v/>
      </c>
      <c r="Z896" s="10">
        <f>IF(OR(Q896="",Y896=""),"",Q896-Y896)</f>
        <v/>
      </c>
      <c r="AA896" s="9" t="n"/>
      <c r="AB896" s="9" t="n"/>
    </row>
    <row r="897" ht="22" customHeight="1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10">
        <f>IF(OR(N897="",P897=""),"",N897*P897)</f>
        <v/>
      </c>
      <c r="R897" s="9" t="n"/>
      <c r="S897" s="9" t="n"/>
      <c r="T897" s="9" t="n"/>
      <c r="U897" s="9">
        <f>IF(Q897="","",IF(W897=0,"已付款PAID",IF(V897&gt;0,"部分核销","未付款N/P")))</f>
        <v/>
      </c>
      <c r="V897" s="10">
        <f>IF(G897="","",SUMIFS(回款核销!$H:$H,回款核销!$C:$C,G897)+SUMIFS(回款核销!$H:$H,回款核销!$B:$B,D897,回款核销!$C:$C,""))</f>
        <v/>
      </c>
      <c r="W897" s="10">
        <f>IF(Q897="","",MAX(0,Q897-V897))</f>
        <v/>
      </c>
      <c r="X897" s="9" t="n"/>
      <c r="Y897" s="10">
        <f>IF(OR(N897="",X897=""),"",N897*X897)</f>
        <v/>
      </c>
      <c r="Z897" s="10">
        <f>IF(OR(Q897="",Y897=""),"",Q897-Y897)</f>
        <v/>
      </c>
      <c r="AA897" s="9" t="n"/>
      <c r="AB897" s="9" t="n"/>
    </row>
    <row r="898" ht="22" customHeight="1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10">
        <f>IF(OR(N898="",P898=""),"",N898*P898)</f>
        <v/>
      </c>
      <c r="R898" s="9" t="n"/>
      <c r="S898" s="9" t="n"/>
      <c r="T898" s="9" t="n"/>
      <c r="U898" s="9">
        <f>IF(Q898="","",IF(W898=0,"已付款PAID",IF(V898&gt;0,"部分核销","未付款N/P")))</f>
        <v/>
      </c>
      <c r="V898" s="10">
        <f>IF(G898="","",SUMIFS(回款核销!$H:$H,回款核销!$C:$C,G898)+SUMIFS(回款核销!$H:$H,回款核销!$B:$B,D898,回款核销!$C:$C,""))</f>
        <v/>
      </c>
      <c r="W898" s="10">
        <f>IF(Q898="","",MAX(0,Q898-V898))</f>
        <v/>
      </c>
      <c r="X898" s="9" t="n"/>
      <c r="Y898" s="10">
        <f>IF(OR(N898="",X898=""),"",N898*X898)</f>
        <v/>
      </c>
      <c r="Z898" s="10">
        <f>IF(OR(Q898="",Y898=""),"",Q898-Y898)</f>
        <v/>
      </c>
      <c r="AA898" s="9" t="n"/>
      <c r="AB898" s="9" t="n"/>
    </row>
    <row r="899" ht="22" customHeight="1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10">
        <f>IF(OR(N899="",P899=""),"",N899*P899)</f>
        <v/>
      </c>
      <c r="R899" s="9" t="n"/>
      <c r="S899" s="9" t="n"/>
      <c r="T899" s="9" t="n"/>
      <c r="U899" s="9">
        <f>IF(Q899="","",IF(W899=0,"已付款PAID",IF(V899&gt;0,"部分核销","未付款N/P")))</f>
        <v/>
      </c>
      <c r="V899" s="10">
        <f>IF(G899="","",SUMIFS(回款核销!$H:$H,回款核销!$C:$C,G899)+SUMIFS(回款核销!$H:$H,回款核销!$B:$B,D899,回款核销!$C:$C,""))</f>
        <v/>
      </c>
      <c r="W899" s="10">
        <f>IF(Q899="","",MAX(0,Q899-V899))</f>
        <v/>
      </c>
      <c r="X899" s="9" t="n"/>
      <c r="Y899" s="10">
        <f>IF(OR(N899="",X899=""),"",N899*X899)</f>
        <v/>
      </c>
      <c r="Z899" s="10">
        <f>IF(OR(Q899="",Y899=""),"",Q899-Y899)</f>
        <v/>
      </c>
      <c r="AA899" s="9" t="n"/>
      <c r="AB899" s="9" t="n"/>
    </row>
    <row r="900" ht="22" customHeight="1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10">
        <f>IF(OR(N900="",P900=""),"",N900*P900)</f>
        <v/>
      </c>
      <c r="R900" s="9" t="n"/>
      <c r="S900" s="9" t="n"/>
      <c r="T900" s="9" t="n"/>
      <c r="U900" s="9">
        <f>IF(Q900="","",IF(W900=0,"已付款PAID",IF(V900&gt;0,"部分核销","未付款N/P")))</f>
        <v/>
      </c>
      <c r="V900" s="10">
        <f>IF(G900="","",SUMIFS(回款核销!$H:$H,回款核销!$C:$C,G900)+SUMIFS(回款核销!$H:$H,回款核销!$B:$B,D900,回款核销!$C:$C,""))</f>
        <v/>
      </c>
      <c r="W900" s="10">
        <f>IF(Q900="","",MAX(0,Q900-V900))</f>
        <v/>
      </c>
      <c r="X900" s="9" t="n"/>
      <c r="Y900" s="10">
        <f>IF(OR(N900="",X900=""),"",N900*X900)</f>
        <v/>
      </c>
      <c r="Z900" s="10">
        <f>IF(OR(Q900="",Y900=""),"",Q900-Y900)</f>
        <v/>
      </c>
      <c r="AA900" s="9" t="n"/>
      <c r="AB900" s="9" t="n"/>
    </row>
    <row r="901" ht="22" customHeight="1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10">
        <f>IF(OR(N901="",P901=""),"",N901*P901)</f>
        <v/>
      </c>
      <c r="R901" s="9" t="n"/>
      <c r="S901" s="9" t="n"/>
      <c r="T901" s="9" t="n"/>
      <c r="U901" s="9">
        <f>IF(Q901="","",IF(W901=0,"已付款PAID",IF(V901&gt;0,"部分核销","未付款N/P")))</f>
        <v/>
      </c>
      <c r="V901" s="10">
        <f>IF(G901="","",SUMIFS(回款核销!$H:$H,回款核销!$C:$C,G901)+SUMIFS(回款核销!$H:$H,回款核销!$B:$B,D901,回款核销!$C:$C,""))</f>
        <v/>
      </c>
      <c r="W901" s="10">
        <f>IF(Q901="","",MAX(0,Q901-V901))</f>
        <v/>
      </c>
      <c r="X901" s="9" t="n"/>
      <c r="Y901" s="10">
        <f>IF(OR(N901="",X901=""),"",N901*X901)</f>
        <v/>
      </c>
      <c r="Z901" s="10">
        <f>IF(OR(Q901="",Y901=""),"",Q901-Y901)</f>
        <v/>
      </c>
      <c r="AA901" s="9" t="n"/>
      <c r="AB901" s="9" t="n"/>
    </row>
    <row r="902" ht="22" customHeight="1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10">
        <f>IF(OR(N902="",P902=""),"",N902*P902)</f>
        <v/>
      </c>
      <c r="R902" s="9" t="n"/>
      <c r="S902" s="9" t="n"/>
      <c r="T902" s="9" t="n"/>
      <c r="U902" s="9">
        <f>IF(Q902="","",IF(W902=0,"已付款PAID",IF(V902&gt;0,"部分核销","未付款N/P")))</f>
        <v/>
      </c>
      <c r="V902" s="10">
        <f>IF(G902="","",SUMIFS(回款核销!$H:$H,回款核销!$C:$C,G902)+SUMIFS(回款核销!$H:$H,回款核销!$B:$B,D902,回款核销!$C:$C,""))</f>
        <v/>
      </c>
      <c r="W902" s="10">
        <f>IF(Q902="","",MAX(0,Q902-V902))</f>
        <v/>
      </c>
      <c r="X902" s="9" t="n"/>
      <c r="Y902" s="10">
        <f>IF(OR(N902="",X902=""),"",N902*X902)</f>
        <v/>
      </c>
      <c r="Z902" s="10">
        <f>IF(OR(Q902="",Y902=""),"",Q902-Y902)</f>
        <v/>
      </c>
      <c r="AA902" s="9" t="n"/>
      <c r="AB902" s="9" t="n"/>
    </row>
    <row r="903" ht="22" customHeight="1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10">
        <f>IF(OR(N903="",P903=""),"",N903*P903)</f>
        <v/>
      </c>
      <c r="R903" s="9" t="n"/>
      <c r="S903" s="9" t="n"/>
      <c r="T903" s="9" t="n"/>
      <c r="U903" s="9">
        <f>IF(Q903="","",IF(W903=0,"已付款PAID",IF(V903&gt;0,"部分核销","未付款N/P")))</f>
        <v/>
      </c>
      <c r="V903" s="10">
        <f>IF(G903="","",SUMIFS(回款核销!$H:$H,回款核销!$C:$C,G903)+SUMIFS(回款核销!$H:$H,回款核销!$B:$B,D903,回款核销!$C:$C,""))</f>
        <v/>
      </c>
      <c r="W903" s="10">
        <f>IF(Q903="","",MAX(0,Q903-V903))</f>
        <v/>
      </c>
      <c r="X903" s="9" t="n"/>
      <c r="Y903" s="10">
        <f>IF(OR(N903="",X903=""),"",N903*X903)</f>
        <v/>
      </c>
      <c r="Z903" s="10">
        <f>IF(OR(Q903="",Y903=""),"",Q903-Y903)</f>
        <v/>
      </c>
      <c r="AA903" s="9" t="n"/>
      <c r="AB903" s="9" t="n"/>
    </row>
    <row r="904" ht="22" customHeight="1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10">
        <f>IF(OR(N904="",P904=""),"",N904*P904)</f>
        <v/>
      </c>
      <c r="R904" s="9" t="n"/>
      <c r="S904" s="9" t="n"/>
      <c r="T904" s="9" t="n"/>
      <c r="U904" s="9">
        <f>IF(Q904="","",IF(W904=0,"已付款PAID",IF(V904&gt;0,"部分核销","未付款N/P")))</f>
        <v/>
      </c>
      <c r="V904" s="10">
        <f>IF(G904="","",SUMIFS(回款核销!$H:$H,回款核销!$C:$C,G904)+SUMIFS(回款核销!$H:$H,回款核销!$B:$B,D904,回款核销!$C:$C,""))</f>
        <v/>
      </c>
      <c r="W904" s="10">
        <f>IF(Q904="","",MAX(0,Q904-V904))</f>
        <v/>
      </c>
      <c r="X904" s="9" t="n"/>
      <c r="Y904" s="10">
        <f>IF(OR(N904="",X904=""),"",N904*X904)</f>
        <v/>
      </c>
      <c r="Z904" s="10">
        <f>IF(OR(Q904="",Y904=""),"",Q904-Y904)</f>
        <v/>
      </c>
      <c r="AA904" s="9" t="n"/>
      <c r="AB904" s="9" t="n"/>
    </row>
    <row r="905" ht="22" customHeight="1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10">
        <f>IF(OR(N905="",P905=""),"",N905*P905)</f>
        <v/>
      </c>
      <c r="R905" s="9" t="n"/>
      <c r="S905" s="9" t="n"/>
      <c r="T905" s="9" t="n"/>
      <c r="U905" s="9">
        <f>IF(Q905="","",IF(W905=0,"已付款PAID",IF(V905&gt;0,"部分核销","未付款N/P")))</f>
        <v/>
      </c>
      <c r="V905" s="10">
        <f>IF(G905="","",SUMIFS(回款核销!$H:$H,回款核销!$C:$C,G905)+SUMIFS(回款核销!$H:$H,回款核销!$B:$B,D905,回款核销!$C:$C,""))</f>
        <v/>
      </c>
      <c r="W905" s="10">
        <f>IF(Q905="","",MAX(0,Q905-V905))</f>
        <v/>
      </c>
      <c r="X905" s="9" t="n"/>
      <c r="Y905" s="10">
        <f>IF(OR(N905="",X905=""),"",N905*X905)</f>
        <v/>
      </c>
      <c r="Z905" s="10">
        <f>IF(OR(Q905="",Y905=""),"",Q905-Y905)</f>
        <v/>
      </c>
      <c r="AA905" s="9" t="n"/>
      <c r="AB905" s="9" t="n"/>
    </row>
    <row r="906" ht="22" customHeight="1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10">
        <f>IF(OR(N906="",P906=""),"",N906*P906)</f>
        <v/>
      </c>
      <c r="R906" s="9" t="n"/>
      <c r="S906" s="9" t="n"/>
      <c r="T906" s="9" t="n"/>
      <c r="U906" s="9">
        <f>IF(Q906="","",IF(W906=0,"已付款PAID",IF(V906&gt;0,"部分核销","未付款N/P")))</f>
        <v/>
      </c>
      <c r="V906" s="10">
        <f>IF(G906="","",SUMIFS(回款核销!$H:$H,回款核销!$C:$C,G906)+SUMIFS(回款核销!$H:$H,回款核销!$B:$B,D906,回款核销!$C:$C,""))</f>
        <v/>
      </c>
      <c r="W906" s="10">
        <f>IF(Q906="","",MAX(0,Q906-V906))</f>
        <v/>
      </c>
      <c r="X906" s="9" t="n"/>
      <c r="Y906" s="10">
        <f>IF(OR(N906="",X906=""),"",N906*X906)</f>
        <v/>
      </c>
      <c r="Z906" s="10">
        <f>IF(OR(Q906="",Y906=""),"",Q906-Y906)</f>
        <v/>
      </c>
      <c r="AA906" s="9" t="n"/>
      <c r="AB906" s="9" t="n"/>
    </row>
    <row r="907" ht="22" customHeight="1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10">
        <f>IF(OR(N907="",P907=""),"",N907*P907)</f>
        <v/>
      </c>
      <c r="R907" s="9" t="n"/>
      <c r="S907" s="9" t="n"/>
      <c r="T907" s="9" t="n"/>
      <c r="U907" s="9">
        <f>IF(Q907="","",IF(W907=0,"已付款PAID",IF(V907&gt;0,"部分核销","未付款N/P")))</f>
        <v/>
      </c>
      <c r="V907" s="10">
        <f>IF(G907="","",SUMIFS(回款核销!$H:$H,回款核销!$C:$C,G907)+SUMIFS(回款核销!$H:$H,回款核销!$B:$B,D907,回款核销!$C:$C,""))</f>
        <v/>
      </c>
      <c r="W907" s="10">
        <f>IF(Q907="","",MAX(0,Q907-V907))</f>
        <v/>
      </c>
      <c r="X907" s="9" t="n"/>
      <c r="Y907" s="10">
        <f>IF(OR(N907="",X907=""),"",N907*X907)</f>
        <v/>
      </c>
      <c r="Z907" s="10">
        <f>IF(OR(Q907="",Y907=""),"",Q907-Y907)</f>
        <v/>
      </c>
      <c r="AA907" s="9" t="n"/>
      <c r="AB907" s="9" t="n"/>
    </row>
    <row r="908" ht="22" customHeight="1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10">
        <f>IF(OR(N908="",P908=""),"",N908*P908)</f>
        <v/>
      </c>
      <c r="R908" s="9" t="n"/>
      <c r="S908" s="9" t="n"/>
      <c r="T908" s="9" t="n"/>
      <c r="U908" s="9">
        <f>IF(Q908="","",IF(W908=0,"已付款PAID",IF(V908&gt;0,"部分核销","未付款N/P")))</f>
        <v/>
      </c>
      <c r="V908" s="10">
        <f>IF(G908="","",SUMIFS(回款核销!$H:$H,回款核销!$C:$C,G908)+SUMIFS(回款核销!$H:$H,回款核销!$B:$B,D908,回款核销!$C:$C,""))</f>
        <v/>
      </c>
      <c r="W908" s="10">
        <f>IF(Q908="","",MAX(0,Q908-V908))</f>
        <v/>
      </c>
      <c r="X908" s="9" t="n"/>
      <c r="Y908" s="10">
        <f>IF(OR(N908="",X908=""),"",N908*X908)</f>
        <v/>
      </c>
      <c r="Z908" s="10">
        <f>IF(OR(Q908="",Y908=""),"",Q908-Y908)</f>
        <v/>
      </c>
      <c r="AA908" s="9" t="n"/>
      <c r="AB908" s="9" t="n"/>
    </row>
    <row r="909" ht="22" customHeight="1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10">
        <f>IF(OR(N909="",P909=""),"",N909*P909)</f>
        <v/>
      </c>
      <c r="R909" s="9" t="n"/>
      <c r="S909" s="9" t="n"/>
      <c r="T909" s="9" t="n"/>
      <c r="U909" s="9">
        <f>IF(Q909="","",IF(W909=0,"已付款PAID",IF(V909&gt;0,"部分核销","未付款N/P")))</f>
        <v/>
      </c>
      <c r="V909" s="10">
        <f>IF(G909="","",SUMIFS(回款核销!$H:$H,回款核销!$C:$C,G909)+SUMIFS(回款核销!$H:$H,回款核销!$B:$B,D909,回款核销!$C:$C,""))</f>
        <v/>
      </c>
      <c r="W909" s="10">
        <f>IF(Q909="","",MAX(0,Q909-V909))</f>
        <v/>
      </c>
      <c r="X909" s="9" t="n"/>
      <c r="Y909" s="10">
        <f>IF(OR(N909="",X909=""),"",N909*X909)</f>
        <v/>
      </c>
      <c r="Z909" s="10">
        <f>IF(OR(Q909="",Y909=""),"",Q909-Y909)</f>
        <v/>
      </c>
      <c r="AA909" s="9" t="n"/>
      <c r="AB909" s="9" t="n"/>
    </row>
    <row r="910" ht="22" customHeight="1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10">
        <f>IF(OR(N910="",P910=""),"",N910*P910)</f>
        <v/>
      </c>
      <c r="R910" s="9" t="n"/>
      <c r="S910" s="9" t="n"/>
      <c r="T910" s="9" t="n"/>
      <c r="U910" s="9">
        <f>IF(Q910="","",IF(W910=0,"已付款PAID",IF(V910&gt;0,"部分核销","未付款N/P")))</f>
        <v/>
      </c>
      <c r="V910" s="10">
        <f>IF(G910="","",SUMIFS(回款核销!$H:$H,回款核销!$C:$C,G910)+SUMIFS(回款核销!$H:$H,回款核销!$B:$B,D910,回款核销!$C:$C,""))</f>
        <v/>
      </c>
      <c r="W910" s="10">
        <f>IF(Q910="","",MAX(0,Q910-V910))</f>
        <v/>
      </c>
      <c r="X910" s="9" t="n"/>
      <c r="Y910" s="10">
        <f>IF(OR(N910="",X910=""),"",N910*X910)</f>
        <v/>
      </c>
      <c r="Z910" s="10">
        <f>IF(OR(Q910="",Y910=""),"",Q910-Y910)</f>
        <v/>
      </c>
      <c r="AA910" s="9" t="n"/>
      <c r="AB910" s="9" t="n"/>
    </row>
    <row r="911" ht="22" customHeight="1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10">
        <f>IF(OR(N911="",P911=""),"",N911*P911)</f>
        <v/>
      </c>
      <c r="R911" s="9" t="n"/>
      <c r="S911" s="9" t="n"/>
      <c r="T911" s="9" t="n"/>
      <c r="U911" s="9">
        <f>IF(Q911="","",IF(W911=0,"已付款PAID",IF(V911&gt;0,"部分核销","未付款N/P")))</f>
        <v/>
      </c>
      <c r="V911" s="10">
        <f>IF(G911="","",SUMIFS(回款核销!$H:$H,回款核销!$C:$C,G911)+SUMIFS(回款核销!$H:$H,回款核销!$B:$B,D911,回款核销!$C:$C,""))</f>
        <v/>
      </c>
      <c r="W911" s="10">
        <f>IF(Q911="","",MAX(0,Q911-V911))</f>
        <v/>
      </c>
      <c r="X911" s="9" t="n"/>
      <c r="Y911" s="10">
        <f>IF(OR(N911="",X911=""),"",N911*X911)</f>
        <v/>
      </c>
      <c r="Z911" s="10">
        <f>IF(OR(Q911="",Y911=""),"",Q911-Y911)</f>
        <v/>
      </c>
      <c r="AA911" s="9" t="n"/>
      <c r="AB911" s="9" t="n"/>
    </row>
    <row r="912" ht="22" customHeight="1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10">
        <f>IF(OR(N912="",P912=""),"",N912*P912)</f>
        <v/>
      </c>
      <c r="R912" s="9" t="n"/>
      <c r="S912" s="9" t="n"/>
      <c r="T912" s="9" t="n"/>
      <c r="U912" s="9">
        <f>IF(Q912="","",IF(W912=0,"已付款PAID",IF(V912&gt;0,"部分核销","未付款N/P")))</f>
        <v/>
      </c>
      <c r="V912" s="10">
        <f>IF(G912="","",SUMIFS(回款核销!$H:$H,回款核销!$C:$C,G912)+SUMIFS(回款核销!$H:$H,回款核销!$B:$B,D912,回款核销!$C:$C,""))</f>
        <v/>
      </c>
      <c r="W912" s="10">
        <f>IF(Q912="","",MAX(0,Q912-V912))</f>
        <v/>
      </c>
      <c r="X912" s="9" t="n"/>
      <c r="Y912" s="10">
        <f>IF(OR(N912="",X912=""),"",N912*X912)</f>
        <v/>
      </c>
      <c r="Z912" s="10">
        <f>IF(OR(Q912="",Y912=""),"",Q912-Y912)</f>
        <v/>
      </c>
      <c r="AA912" s="9" t="n"/>
      <c r="AB912" s="9" t="n"/>
    </row>
    <row r="913" ht="22" customHeight="1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10">
        <f>IF(OR(N913="",P913=""),"",N913*P913)</f>
        <v/>
      </c>
      <c r="R913" s="9" t="n"/>
      <c r="S913" s="9" t="n"/>
      <c r="T913" s="9" t="n"/>
      <c r="U913" s="9">
        <f>IF(Q913="","",IF(W913=0,"已付款PAID",IF(V913&gt;0,"部分核销","未付款N/P")))</f>
        <v/>
      </c>
      <c r="V913" s="10">
        <f>IF(G913="","",SUMIFS(回款核销!$H:$H,回款核销!$C:$C,G913)+SUMIFS(回款核销!$H:$H,回款核销!$B:$B,D913,回款核销!$C:$C,""))</f>
        <v/>
      </c>
      <c r="W913" s="10">
        <f>IF(Q913="","",MAX(0,Q913-V913))</f>
        <v/>
      </c>
      <c r="X913" s="9" t="n"/>
      <c r="Y913" s="10">
        <f>IF(OR(N913="",X913=""),"",N913*X913)</f>
        <v/>
      </c>
      <c r="Z913" s="10">
        <f>IF(OR(Q913="",Y913=""),"",Q913-Y913)</f>
        <v/>
      </c>
      <c r="AA913" s="9" t="n"/>
      <c r="AB913" s="9" t="n"/>
    </row>
    <row r="914" ht="22" customHeight="1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10">
        <f>IF(OR(N914="",P914=""),"",N914*P914)</f>
        <v/>
      </c>
      <c r="R914" s="9" t="n"/>
      <c r="S914" s="9" t="n"/>
      <c r="T914" s="9" t="n"/>
      <c r="U914" s="9">
        <f>IF(Q914="","",IF(W914=0,"已付款PAID",IF(V914&gt;0,"部分核销","未付款N/P")))</f>
        <v/>
      </c>
      <c r="V914" s="10">
        <f>IF(G914="","",SUMIFS(回款核销!$H:$H,回款核销!$C:$C,G914)+SUMIFS(回款核销!$H:$H,回款核销!$B:$B,D914,回款核销!$C:$C,""))</f>
        <v/>
      </c>
      <c r="W914" s="10">
        <f>IF(Q914="","",MAX(0,Q914-V914))</f>
        <v/>
      </c>
      <c r="X914" s="9" t="n"/>
      <c r="Y914" s="10">
        <f>IF(OR(N914="",X914=""),"",N914*X914)</f>
        <v/>
      </c>
      <c r="Z914" s="10">
        <f>IF(OR(Q914="",Y914=""),"",Q914-Y914)</f>
        <v/>
      </c>
      <c r="AA914" s="9" t="n"/>
      <c r="AB914" s="9" t="n"/>
    </row>
    <row r="915" ht="22" customHeight="1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10">
        <f>IF(OR(N915="",P915=""),"",N915*P915)</f>
        <v/>
      </c>
      <c r="R915" s="9" t="n"/>
      <c r="S915" s="9" t="n"/>
      <c r="T915" s="9" t="n"/>
      <c r="U915" s="9">
        <f>IF(Q915="","",IF(W915=0,"已付款PAID",IF(V915&gt;0,"部分核销","未付款N/P")))</f>
        <v/>
      </c>
      <c r="V915" s="10">
        <f>IF(G915="","",SUMIFS(回款核销!$H:$H,回款核销!$C:$C,G915)+SUMIFS(回款核销!$H:$H,回款核销!$B:$B,D915,回款核销!$C:$C,""))</f>
        <v/>
      </c>
      <c r="W915" s="10">
        <f>IF(Q915="","",MAX(0,Q915-V915))</f>
        <v/>
      </c>
      <c r="X915" s="9" t="n"/>
      <c r="Y915" s="10">
        <f>IF(OR(N915="",X915=""),"",N915*X915)</f>
        <v/>
      </c>
      <c r="Z915" s="10">
        <f>IF(OR(Q915="",Y915=""),"",Q915-Y915)</f>
        <v/>
      </c>
      <c r="AA915" s="9" t="n"/>
      <c r="AB915" s="9" t="n"/>
    </row>
    <row r="916" ht="22" customHeight="1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10">
        <f>IF(OR(N916="",P916=""),"",N916*P916)</f>
        <v/>
      </c>
      <c r="R916" s="9" t="n"/>
      <c r="S916" s="9" t="n"/>
      <c r="T916" s="9" t="n"/>
      <c r="U916" s="9">
        <f>IF(Q916="","",IF(W916=0,"已付款PAID",IF(V916&gt;0,"部分核销","未付款N/P")))</f>
        <v/>
      </c>
      <c r="V916" s="10">
        <f>IF(G916="","",SUMIFS(回款核销!$H:$H,回款核销!$C:$C,G916)+SUMIFS(回款核销!$H:$H,回款核销!$B:$B,D916,回款核销!$C:$C,""))</f>
        <v/>
      </c>
      <c r="W916" s="10">
        <f>IF(Q916="","",MAX(0,Q916-V916))</f>
        <v/>
      </c>
      <c r="X916" s="9" t="n"/>
      <c r="Y916" s="10">
        <f>IF(OR(N916="",X916=""),"",N916*X916)</f>
        <v/>
      </c>
      <c r="Z916" s="10">
        <f>IF(OR(Q916="",Y916=""),"",Q916-Y916)</f>
        <v/>
      </c>
      <c r="AA916" s="9" t="n"/>
      <c r="AB916" s="9" t="n"/>
    </row>
    <row r="917" ht="22" customHeight="1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10">
        <f>IF(OR(N917="",P917=""),"",N917*P917)</f>
        <v/>
      </c>
      <c r="R917" s="9" t="n"/>
      <c r="S917" s="9" t="n"/>
      <c r="T917" s="9" t="n"/>
      <c r="U917" s="9">
        <f>IF(Q917="","",IF(W917=0,"已付款PAID",IF(V917&gt;0,"部分核销","未付款N/P")))</f>
        <v/>
      </c>
      <c r="V917" s="10">
        <f>IF(G917="","",SUMIFS(回款核销!$H:$H,回款核销!$C:$C,G917)+SUMIFS(回款核销!$H:$H,回款核销!$B:$B,D917,回款核销!$C:$C,""))</f>
        <v/>
      </c>
      <c r="W917" s="10">
        <f>IF(Q917="","",MAX(0,Q917-V917))</f>
        <v/>
      </c>
      <c r="X917" s="9" t="n"/>
      <c r="Y917" s="10">
        <f>IF(OR(N917="",X917=""),"",N917*X917)</f>
        <v/>
      </c>
      <c r="Z917" s="10">
        <f>IF(OR(Q917="",Y917=""),"",Q917-Y917)</f>
        <v/>
      </c>
      <c r="AA917" s="9" t="n"/>
      <c r="AB917" s="9" t="n"/>
    </row>
    <row r="918" ht="22" customHeight="1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10">
        <f>IF(OR(N918="",P918=""),"",N918*P918)</f>
        <v/>
      </c>
      <c r="R918" s="9" t="n"/>
      <c r="S918" s="9" t="n"/>
      <c r="T918" s="9" t="n"/>
      <c r="U918" s="9">
        <f>IF(Q918="","",IF(W918=0,"已付款PAID",IF(V918&gt;0,"部分核销","未付款N/P")))</f>
        <v/>
      </c>
      <c r="V918" s="10">
        <f>IF(G918="","",SUMIFS(回款核销!$H:$H,回款核销!$C:$C,G918)+SUMIFS(回款核销!$H:$H,回款核销!$B:$B,D918,回款核销!$C:$C,""))</f>
        <v/>
      </c>
      <c r="W918" s="10">
        <f>IF(Q918="","",MAX(0,Q918-V918))</f>
        <v/>
      </c>
      <c r="X918" s="9" t="n"/>
      <c r="Y918" s="10">
        <f>IF(OR(N918="",X918=""),"",N918*X918)</f>
        <v/>
      </c>
      <c r="Z918" s="10">
        <f>IF(OR(Q918="",Y918=""),"",Q918-Y918)</f>
        <v/>
      </c>
      <c r="AA918" s="9" t="n"/>
      <c r="AB918" s="9" t="n"/>
    </row>
    <row r="919" ht="22" customHeight="1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10">
        <f>IF(OR(N919="",P919=""),"",N919*P919)</f>
        <v/>
      </c>
      <c r="R919" s="9" t="n"/>
      <c r="S919" s="9" t="n"/>
      <c r="T919" s="9" t="n"/>
      <c r="U919" s="9">
        <f>IF(Q919="","",IF(W919=0,"已付款PAID",IF(V919&gt;0,"部分核销","未付款N/P")))</f>
        <v/>
      </c>
      <c r="V919" s="10">
        <f>IF(G919="","",SUMIFS(回款核销!$H:$H,回款核销!$C:$C,G919)+SUMIFS(回款核销!$H:$H,回款核销!$B:$B,D919,回款核销!$C:$C,""))</f>
        <v/>
      </c>
      <c r="W919" s="10">
        <f>IF(Q919="","",MAX(0,Q919-V919))</f>
        <v/>
      </c>
      <c r="X919" s="9" t="n"/>
      <c r="Y919" s="10">
        <f>IF(OR(N919="",X919=""),"",N919*X919)</f>
        <v/>
      </c>
      <c r="Z919" s="10">
        <f>IF(OR(Q919="",Y919=""),"",Q919-Y919)</f>
        <v/>
      </c>
      <c r="AA919" s="9" t="n"/>
      <c r="AB919" s="9" t="n"/>
    </row>
    <row r="920" ht="22" customHeight="1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10">
        <f>IF(OR(N920="",P920=""),"",N920*P920)</f>
        <v/>
      </c>
      <c r="R920" s="9" t="n"/>
      <c r="S920" s="9" t="n"/>
      <c r="T920" s="9" t="n"/>
      <c r="U920" s="9">
        <f>IF(Q920="","",IF(W920=0,"已付款PAID",IF(V920&gt;0,"部分核销","未付款N/P")))</f>
        <v/>
      </c>
      <c r="V920" s="10">
        <f>IF(G920="","",SUMIFS(回款核销!$H:$H,回款核销!$C:$C,G920)+SUMIFS(回款核销!$H:$H,回款核销!$B:$B,D920,回款核销!$C:$C,""))</f>
        <v/>
      </c>
      <c r="W920" s="10">
        <f>IF(Q920="","",MAX(0,Q920-V920))</f>
        <v/>
      </c>
      <c r="X920" s="9" t="n"/>
      <c r="Y920" s="10">
        <f>IF(OR(N920="",X920=""),"",N920*X920)</f>
        <v/>
      </c>
      <c r="Z920" s="10">
        <f>IF(OR(Q920="",Y920=""),"",Q920-Y920)</f>
        <v/>
      </c>
      <c r="AA920" s="9" t="n"/>
      <c r="AB920" s="9" t="n"/>
    </row>
    <row r="921" ht="22" customHeight="1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10">
        <f>IF(OR(N921="",P921=""),"",N921*P921)</f>
        <v/>
      </c>
      <c r="R921" s="9" t="n"/>
      <c r="S921" s="9" t="n"/>
      <c r="T921" s="9" t="n"/>
      <c r="U921" s="9">
        <f>IF(Q921="","",IF(W921=0,"已付款PAID",IF(V921&gt;0,"部分核销","未付款N/P")))</f>
        <v/>
      </c>
      <c r="V921" s="10">
        <f>IF(G921="","",SUMIFS(回款核销!$H:$H,回款核销!$C:$C,G921)+SUMIFS(回款核销!$H:$H,回款核销!$B:$B,D921,回款核销!$C:$C,""))</f>
        <v/>
      </c>
      <c r="W921" s="10">
        <f>IF(Q921="","",MAX(0,Q921-V921))</f>
        <v/>
      </c>
      <c r="X921" s="9" t="n"/>
      <c r="Y921" s="10">
        <f>IF(OR(N921="",X921=""),"",N921*X921)</f>
        <v/>
      </c>
      <c r="Z921" s="10">
        <f>IF(OR(Q921="",Y921=""),"",Q921-Y921)</f>
        <v/>
      </c>
      <c r="AA921" s="9" t="n"/>
      <c r="AB921" s="9" t="n"/>
    </row>
    <row r="922" ht="22" customHeight="1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10">
        <f>IF(OR(N922="",P922=""),"",N922*P922)</f>
        <v/>
      </c>
      <c r="R922" s="9" t="n"/>
      <c r="S922" s="9" t="n"/>
      <c r="T922" s="9" t="n"/>
      <c r="U922" s="9">
        <f>IF(Q922="","",IF(W922=0,"已付款PAID",IF(V922&gt;0,"部分核销","未付款N/P")))</f>
        <v/>
      </c>
      <c r="V922" s="10">
        <f>IF(G922="","",SUMIFS(回款核销!$H:$H,回款核销!$C:$C,G922)+SUMIFS(回款核销!$H:$H,回款核销!$B:$B,D922,回款核销!$C:$C,""))</f>
        <v/>
      </c>
      <c r="W922" s="10">
        <f>IF(Q922="","",MAX(0,Q922-V922))</f>
        <v/>
      </c>
      <c r="X922" s="9" t="n"/>
      <c r="Y922" s="10">
        <f>IF(OR(N922="",X922=""),"",N922*X922)</f>
        <v/>
      </c>
      <c r="Z922" s="10">
        <f>IF(OR(Q922="",Y922=""),"",Q922-Y922)</f>
        <v/>
      </c>
      <c r="AA922" s="9" t="n"/>
      <c r="AB922" s="9" t="n"/>
    </row>
    <row r="923" ht="22" customHeight="1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10">
        <f>IF(OR(N923="",P923=""),"",N923*P923)</f>
        <v/>
      </c>
      <c r="R923" s="9" t="n"/>
      <c r="S923" s="9" t="n"/>
      <c r="T923" s="9" t="n"/>
      <c r="U923" s="9">
        <f>IF(Q923="","",IF(W923=0,"已付款PAID",IF(V923&gt;0,"部分核销","未付款N/P")))</f>
        <v/>
      </c>
      <c r="V923" s="10">
        <f>IF(G923="","",SUMIFS(回款核销!$H:$H,回款核销!$C:$C,G923)+SUMIFS(回款核销!$H:$H,回款核销!$B:$B,D923,回款核销!$C:$C,""))</f>
        <v/>
      </c>
      <c r="W923" s="10">
        <f>IF(Q923="","",MAX(0,Q923-V923))</f>
        <v/>
      </c>
      <c r="X923" s="9" t="n"/>
      <c r="Y923" s="10">
        <f>IF(OR(N923="",X923=""),"",N923*X923)</f>
        <v/>
      </c>
      <c r="Z923" s="10">
        <f>IF(OR(Q923="",Y923=""),"",Q923-Y923)</f>
        <v/>
      </c>
      <c r="AA923" s="9" t="n"/>
      <c r="AB923" s="9" t="n"/>
    </row>
    <row r="924" ht="22" customHeight="1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10">
        <f>IF(OR(N924="",P924=""),"",N924*P924)</f>
        <v/>
      </c>
      <c r="R924" s="9" t="n"/>
      <c r="S924" s="9" t="n"/>
      <c r="T924" s="9" t="n"/>
      <c r="U924" s="9">
        <f>IF(Q924="","",IF(W924=0,"已付款PAID",IF(V924&gt;0,"部分核销","未付款N/P")))</f>
        <v/>
      </c>
      <c r="V924" s="10">
        <f>IF(G924="","",SUMIFS(回款核销!$H:$H,回款核销!$C:$C,G924)+SUMIFS(回款核销!$H:$H,回款核销!$B:$B,D924,回款核销!$C:$C,""))</f>
        <v/>
      </c>
      <c r="W924" s="10">
        <f>IF(Q924="","",MAX(0,Q924-V924))</f>
        <v/>
      </c>
      <c r="X924" s="9" t="n"/>
      <c r="Y924" s="10">
        <f>IF(OR(N924="",X924=""),"",N924*X924)</f>
        <v/>
      </c>
      <c r="Z924" s="10">
        <f>IF(OR(Q924="",Y924=""),"",Q924-Y924)</f>
        <v/>
      </c>
      <c r="AA924" s="9" t="n"/>
      <c r="AB924" s="9" t="n"/>
    </row>
    <row r="925" ht="22" customHeight="1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10">
        <f>IF(OR(N925="",P925=""),"",N925*P925)</f>
        <v/>
      </c>
      <c r="R925" s="9" t="n"/>
      <c r="S925" s="9" t="n"/>
      <c r="T925" s="9" t="n"/>
      <c r="U925" s="9">
        <f>IF(Q925="","",IF(W925=0,"已付款PAID",IF(V925&gt;0,"部分核销","未付款N/P")))</f>
        <v/>
      </c>
      <c r="V925" s="10">
        <f>IF(G925="","",SUMIFS(回款核销!$H:$H,回款核销!$C:$C,G925)+SUMIFS(回款核销!$H:$H,回款核销!$B:$B,D925,回款核销!$C:$C,""))</f>
        <v/>
      </c>
      <c r="W925" s="10">
        <f>IF(Q925="","",MAX(0,Q925-V925))</f>
        <v/>
      </c>
      <c r="X925" s="9" t="n"/>
      <c r="Y925" s="10">
        <f>IF(OR(N925="",X925=""),"",N925*X925)</f>
        <v/>
      </c>
      <c r="Z925" s="10">
        <f>IF(OR(Q925="",Y925=""),"",Q925-Y925)</f>
        <v/>
      </c>
      <c r="AA925" s="9" t="n"/>
      <c r="AB925" s="9" t="n"/>
    </row>
    <row r="926" ht="22" customHeight="1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10">
        <f>IF(OR(N926="",P926=""),"",N926*P926)</f>
        <v/>
      </c>
      <c r="R926" s="9" t="n"/>
      <c r="S926" s="9" t="n"/>
      <c r="T926" s="9" t="n"/>
      <c r="U926" s="9">
        <f>IF(Q926="","",IF(W926=0,"已付款PAID",IF(V926&gt;0,"部分核销","未付款N/P")))</f>
        <v/>
      </c>
      <c r="V926" s="10">
        <f>IF(G926="","",SUMIFS(回款核销!$H:$H,回款核销!$C:$C,G926)+SUMIFS(回款核销!$H:$H,回款核销!$B:$B,D926,回款核销!$C:$C,""))</f>
        <v/>
      </c>
      <c r="W926" s="10">
        <f>IF(Q926="","",MAX(0,Q926-V926))</f>
        <v/>
      </c>
      <c r="X926" s="9" t="n"/>
      <c r="Y926" s="10">
        <f>IF(OR(N926="",X926=""),"",N926*X926)</f>
        <v/>
      </c>
      <c r="Z926" s="10">
        <f>IF(OR(Q926="",Y926=""),"",Q926-Y926)</f>
        <v/>
      </c>
      <c r="AA926" s="9" t="n"/>
      <c r="AB926" s="9" t="n"/>
    </row>
    <row r="927" ht="22" customHeight="1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10">
        <f>IF(OR(N927="",P927=""),"",N927*P927)</f>
        <v/>
      </c>
      <c r="R927" s="9" t="n"/>
      <c r="S927" s="9" t="n"/>
      <c r="T927" s="9" t="n"/>
      <c r="U927" s="9">
        <f>IF(Q927="","",IF(W927=0,"已付款PAID",IF(V927&gt;0,"部分核销","未付款N/P")))</f>
        <v/>
      </c>
      <c r="V927" s="10">
        <f>IF(G927="","",SUMIFS(回款核销!$H:$H,回款核销!$C:$C,G927)+SUMIFS(回款核销!$H:$H,回款核销!$B:$B,D927,回款核销!$C:$C,""))</f>
        <v/>
      </c>
      <c r="W927" s="10">
        <f>IF(Q927="","",MAX(0,Q927-V927))</f>
        <v/>
      </c>
      <c r="X927" s="9" t="n"/>
      <c r="Y927" s="10">
        <f>IF(OR(N927="",X927=""),"",N927*X927)</f>
        <v/>
      </c>
      <c r="Z927" s="10">
        <f>IF(OR(Q927="",Y927=""),"",Q927-Y927)</f>
        <v/>
      </c>
      <c r="AA927" s="9" t="n"/>
      <c r="AB927" s="9" t="n"/>
    </row>
    <row r="928" ht="22" customHeight="1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10">
        <f>IF(OR(N928="",P928=""),"",N928*P928)</f>
        <v/>
      </c>
      <c r="R928" s="9" t="n"/>
      <c r="S928" s="9" t="n"/>
      <c r="T928" s="9" t="n"/>
      <c r="U928" s="9">
        <f>IF(Q928="","",IF(W928=0,"已付款PAID",IF(V928&gt;0,"部分核销","未付款N/P")))</f>
        <v/>
      </c>
      <c r="V928" s="10">
        <f>IF(G928="","",SUMIFS(回款核销!$H:$H,回款核销!$C:$C,G928)+SUMIFS(回款核销!$H:$H,回款核销!$B:$B,D928,回款核销!$C:$C,""))</f>
        <v/>
      </c>
      <c r="W928" s="10">
        <f>IF(Q928="","",MAX(0,Q928-V928))</f>
        <v/>
      </c>
      <c r="X928" s="9" t="n"/>
      <c r="Y928" s="10">
        <f>IF(OR(N928="",X928=""),"",N928*X928)</f>
        <v/>
      </c>
      <c r="Z928" s="10">
        <f>IF(OR(Q928="",Y928=""),"",Q928-Y928)</f>
        <v/>
      </c>
      <c r="AA928" s="9" t="n"/>
      <c r="AB928" s="9" t="n"/>
    </row>
    <row r="929" ht="22" customHeight="1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10">
        <f>IF(OR(N929="",P929=""),"",N929*P929)</f>
        <v/>
      </c>
      <c r="R929" s="9" t="n"/>
      <c r="S929" s="9" t="n"/>
      <c r="T929" s="9" t="n"/>
      <c r="U929" s="9">
        <f>IF(Q929="","",IF(W929=0,"已付款PAID",IF(V929&gt;0,"部分核销","未付款N/P")))</f>
        <v/>
      </c>
      <c r="V929" s="10">
        <f>IF(G929="","",SUMIFS(回款核销!$H:$H,回款核销!$C:$C,G929)+SUMIFS(回款核销!$H:$H,回款核销!$B:$B,D929,回款核销!$C:$C,""))</f>
        <v/>
      </c>
      <c r="W929" s="10">
        <f>IF(Q929="","",MAX(0,Q929-V929))</f>
        <v/>
      </c>
      <c r="X929" s="9" t="n"/>
      <c r="Y929" s="10">
        <f>IF(OR(N929="",X929=""),"",N929*X929)</f>
        <v/>
      </c>
      <c r="Z929" s="10">
        <f>IF(OR(Q929="",Y929=""),"",Q929-Y929)</f>
        <v/>
      </c>
      <c r="AA929" s="9" t="n"/>
      <c r="AB929" s="9" t="n"/>
    </row>
    <row r="930" ht="22" customHeight="1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10">
        <f>IF(OR(N930="",P930=""),"",N930*P930)</f>
        <v/>
      </c>
      <c r="R930" s="9" t="n"/>
      <c r="S930" s="9" t="n"/>
      <c r="T930" s="9" t="n"/>
      <c r="U930" s="9">
        <f>IF(Q930="","",IF(W930=0,"已付款PAID",IF(V930&gt;0,"部分核销","未付款N/P")))</f>
        <v/>
      </c>
      <c r="V930" s="10">
        <f>IF(G930="","",SUMIFS(回款核销!$H:$H,回款核销!$C:$C,G930)+SUMIFS(回款核销!$H:$H,回款核销!$B:$B,D930,回款核销!$C:$C,""))</f>
        <v/>
      </c>
      <c r="W930" s="10">
        <f>IF(Q930="","",MAX(0,Q930-V930))</f>
        <v/>
      </c>
      <c r="X930" s="9" t="n"/>
      <c r="Y930" s="10">
        <f>IF(OR(N930="",X930=""),"",N930*X930)</f>
        <v/>
      </c>
      <c r="Z930" s="10">
        <f>IF(OR(Q930="",Y930=""),"",Q930-Y930)</f>
        <v/>
      </c>
      <c r="AA930" s="9" t="n"/>
      <c r="AB930" s="9" t="n"/>
    </row>
    <row r="931" ht="22" customHeight="1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10">
        <f>IF(OR(N931="",P931=""),"",N931*P931)</f>
        <v/>
      </c>
      <c r="R931" s="9" t="n"/>
      <c r="S931" s="9" t="n"/>
      <c r="T931" s="9" t="n"/>
      <c r="U931" s="9">
        <f>IF(Q931="","",IF(W931=0,"已付款PAID",IF(V931&gt;0,"部分核销","未付款N/P")))</f>
        <v/>
      </c>
      <c r="V931" s="10">
        <f>IF(G931="","",SUMIFS(回款核销!$H:$H,回款核销!$C:$C,G931)+SUMIFS(回款核销!$H:$H,回款核销!$B:$B,D931,回款核销!$C:$C,""))</f>
        <v/>
      </c>
      <c r="W931" s="10">
        <f>IF(Q931="","",MAX(0,Q931-V931))</f>
        <v/>
      </c>
      <c r="X931" s="9" t="n"/>
      <c r="Y931" s="10">
        <f>IF(OR(N931="",X931=""),"",N931*X931)</f>
        <v/>
      </c>
      <c r="Z931" s="10">
        <f>IF(OR(Q931="",Y931=""),"",Q931-Y931)</f>
        <v/>
      </c>
      <c r="AA931" s="9" t="n"/>
      <c r="AB931" s="9" t="n"/>
    </row>
    <row r="932" ht="22" customHeight="1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10">
        <f>IF(OR(N932="",P932=""),"",N932*P932)</f>
        <v/>
      </c>
      <c r="R932" s="9" t="n"/>
      <c r="S932" s="9" t="n"/>
      <c r="T932" s="9" t="n"/>
      <c r="U932" s="9">
        <f>IF(Q932="","",IF(W932=0,"已付款PAID",IF(V932&gt;0,"部分核销","未付款N/P")))</f>
        <v/>
      </c>
      <c r="V932" s="10">
        <f>IF(G932="","",SUMIFS(回款核销!$H:$H,回款核销!$C:$C,G932)+SUMIFS(回款核销!$H:$H,回款核销!$B:$B,D932,回款核销!$C:$C,""))</f>
        <v/>
      </c>
      <c r="W932" s="10">
        <f>IF(Q932="","",MAX(0,Q932-V932))</f>
        <v/>
      </c>
      <c r="X932" s="9" t="n"/>
      <c r="Y932" s="10">
        <f>IF(OR(N932="",X932=""),"",N932*X932)</f>
        <v/>
      </c>
      <c r="Z932" s="10">
        <f>IF(OR(Q932="",Y932=""),"",Q932-Y932)</f>
        <v/>
      </c>
      <c r="AA932" s="9" t="n"/>
      <c r="AB932" s="9" t="n"/>
    </row>
    <row r="933" ht="22" customHeight="1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10">
        <f>IF(OR(N933="",P933=""),"",N933*P933)</f>
        <v/>
      </c>
      <c r="R933" s="9" t="n"/>
      <c r="S933" s="9" t="n"/>
      <c r="T933" s="9" t="n"/>
      <c r="U933" s="9">
        <f>IF(Q933="","",IF(W933=0,"已付款PAID",IF(V933&gt;0,"部分核销","未付款N/P")))</f>
        <v/>
      </c>
      <c r="V933" s="10">
        <f>IF(G933="","",SUMIFS(回款核销!$H:$H,回款核销!$C:$C,G933)+SUMIFS(回款核销!$H:$H,回款核销!$B:$B,D933,回款核销!$C:$C,""))</f>
        <v/>
      </c>
      <c r="W933" s="10">
        <f>IF(Q933="","",MAX(0,Q933-V933))</f>
        <v/>
      </c>
      <c r="X933" s="9" t="n"/>
      <c r="Y933" s="10">
        <f>IF(OR(N933="",X933=""),"",N933*X933)</f>
        <v/>
      </c>
      <c r="Z933" s="10">
        <f>IF(OR(Q933="",Y933=""),"",Q933-Y933)</f>
        <v/>
      </c>
      <c r="AA933" s="9" t="n"/>
      <c r="AB933" s="9" t="n"/>
    </row>
    <row r="934" ht="22" customHeight="1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10">
        <f>IF(OR(N934="",P934=""),"",N934*P934)</f>
        <v/>
      </c>
      <c r="R934" s="9" t="n"/>
      <c r="S934" s="9" t="n"/>
      <c r="T934" s="9" t="n"/>
      <c r="U934" s="9">
        <f>IF(Q934="","",IF(W934=0,"已付款PAID",IF(V934&gt;0,"部分核销","未付款N/P")))</f>
        <v/>
      </c>
      <c r="V934" s="10">
        <f>IF(G934="","",SUMIFS(回款核销!$H:$H,回款核销!$C:$C,G934)+SUMIFS(回款核销!$H:$H,回款核销!$B:$B,D934,回款核销!$C:$C,""))</f>
        <v/>
      </c>
      <c r="W934" s="10">
        <f>IF(Q934="","",MAX(0,Q934-V934))</f>
        <v/>
      </c>
      <c r="X934" s="9" t="n"/>
      <c r="Y934" s="10">
        <f>IF(OR(N934="",X934=""),"",N934*X934)</f>
        <v/>
      </c>
      <c r="Z934" s="10">
        <f>IF(OR(Q934="",Y934=""),"",Q934-Y934)</f>
        <v/>
      </c>
      <c r="AA934" s="9" t="n"/>
      <c r="AB934" s="9" t="n"/>
    </row>
    <row r="935" ht="22" customHeight="1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10">
        <f>IF(OR(N935="",P935=""),"",N935*P935)</f>
        <v/>
      </c>
      <c r="R935" s="9" t="n"/>
      <c r="S935" s="9" t="n"/>
      <c r="T935" s="9" t="n"/>
      <c r="U935" s="9">
        <f>IF(Q935="","",IF(W935=0,"已付款PAID",IF(V935&gt;0,"部分核销","未付款N/P")))</f>
        <v/>
      </c>
      <c r="V935" s="10">
        <f>IF(G935="","",SUMIFS(回款核销!$H:$H,回款核销!$C:$C,G935)+SUMIFS(回款核销!$H:$H,回款核销!$B:$B,D935,回款核销!$C:$C,""))</f>
        <v/>
      </c>
      <c r="W935" s="10">
        <f>IF(Q935="","",MAX(0,Q935-V935))</f>
        <v/>
      </c>
      <c r="X935" s="9" t="n"/>
      <c r="Y935" s="10">
        <f>IF(OR(N935="",X935=""),"",N935*X935)</f>
        <v/>
      </c>
      <c r="Z935" s="10">
        <f>IF(OR(Q935="",Y935=""),"",Q935-Y935)</f>
        <v/>
      </c>
      <c r="AA935" s="9" t="n"/>
      <c r="AB935" s="9" t="n"/>
    </row>
    <row r="936" ht="22" customHeight="1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10">
        <f>IF(OR(N936="",P936=""),"",N936*P936)</f>
        <v/>
      </c>
      <c r="R936" s="9" t="n"/>
      <c r="S936" s="9" t="n"/>
      <c r="T936" s="9" t="n"/>
      <c r="U936" s="9">
        <f>IF(Q936="","",IF(W936=0,"已付款PAID",IF(V936&gt;0,"部分核销","未付款N/P")))</f>
        <v/>
      </c>
      <c r="V936" s="10">
        <f>IF(G936="","",SUMIFS(回款核销!$H:$H,回款核销!$C:$C,G936)+SUMIFS(回款核销!$H:$H,回款核销!$B:$B,D936,回款核销!$C:$C,""))</f>
        <v/>
      </c>
      <c r="W936" s="10">
        <f>IF(Q936="","",MAX(0,Q936-V936))</f>
        <v/>
      </c>
      <c r="X936" s="9" t="n"/>
      <c r="Y936" s="10">
        <f>IF(OR(N936="",X936=""),"",N936*X936)</f>
        <v/>
      </c>
      <c r="Z936" s="10">
        <f>IF(OR(Q936="",Y936=""),"",Q936-Y936)</f>
        <v/>
      </c>
      <c r="AA936" s="9" t="n"/>
      <c r="AB936" s="9" t="n"/>
    </row>
    <row r="937" ht="22" customHeight="1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10">
        <f>IF(OR(N937="",P937=""),"",N937*P937)</f>
        <v/>
      </c>
      <c r="R937" s="9" t="n"/>
      <c r="S937" s="9" t="n"/>
      <c r="T937" s="9" t="n"/>
      <c r="U937" s="9">
        <f>IF(Q937="","",IF(W937=0,"已付款PAID",IF(V937&gt;0,"部分核销","未付款N/P")))</f>
        <v/>
      </c>
      <c r="V937" s="10">
        <f>IF(G937="","",SUMIFS(回款核销!$H:$H,回款核销!$C:$C,G937)+SUMIFS(回款核销!$H:$H,回款核销!$B:$B,D937,回款核销!$C:$C,""))</f>
        <v/>
      </c>
      <c r="W937" s="10">
        <f>IF(Q937="","",MAX(0,Q937-V937))</f>
        <v/>
      </c>
      <c r="X937" s="9" t="n"/>
      <c r="Y937" s="10">
        <f>IF(OR(N937="",X937=""),"",N937*X937)</f>
        <v/>
      </c>
      <c r="Z937" s="10">
        <f>IF(OR(Q937="",Y937=""),"",Q937-Y937)</f>
        <v/>
      </c>
      <c r="AA937" s="9" t="n"/>
      <c r="AB937" s="9" t="n"/>
    </row>
    <row r="938" ht="22" customHeight="1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10">
        <f>IF(OR(N938="",P938=""),"",N938*P938)</f>
        <v/>
      </c>
      <c r="R938" s="9" t="n"/>
      <c r="S938" s="9" t="n"/>
      <c r="T938" s="9" t="n"/>
      <c r="U938" s="9">
        <f>IF(Q938="","",IF(W938=0,"已付款PAID",IF(V938&gt;0,"部分核销","未付款N/P")))</f>
        <v/>
      </c>
      <c r="V938" s="10">
        <f>IF(G938="","",SUMIFS(回款核销!$H:$H,回款核销!$C:$C,G938)+SUMIFS(回款核销!$H:$H,回款核销!$B:$B,D938,回款核销!$C:$C,""))</f>
        <v/>
      </c>
      <c r="W938" s="10">
        <f>IF(Q938="","",MAX(0,Q938-V938))</f>
        <v/>
      </c>
      <c r="X938" s="9" t="n"/>
      <c r="Y938" s="10">
        <f>IF(OR(N938="",X938=""),"",N938*X938)</f>
        <v/>
      </c>
      <c r="Z938" s="10">
        <f>IF(OR(Q938="",Y938=""),"",Q938-Y938)</f>
        <v/>
      </c>
      <c r="AA938" s="9" t="n"/>
      <c r="AB938" s="9" t="n"/>
    </row>
    <row r="939" ht="22" customHeight="1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10">
        <f>IF(OR(N939="",P939=""),"",N939*P939)</f>
        <v/>
      </c>
      <c r="R939" s="9" t="n"/>
      <c r="S939" s="9" t="n"/>
      <c r="T939" s="9" t="n"/>
      <c r="U939" s="9">
        <f>IF(Q939="","",IF(W939=0,"已付款PAID",IF(V939&gt;0,"部分核销","未付款N/P")))</f>
        <v/>
      </c>
      <c r="V939" s="10">
        <f>IF(G939="","",SUMIFS(回款核销!$H:$H,回款核销!$C:$C,G939)+SUMIFS(回款核销!$H:$H,回款核销!$B:$B,D939,回款核销!$C:$C,""))</f>
        <v/>
      </c>
      <c r="W939" s="10">
        <f>IF(Q939="","",MAX(0,Q939-V939))</f>
        <v/>
      </c>
      <c r="X939" s="9" t="n"/>
      <c r="Y939" s="10">
        <f>IF(OR(N939="",X939=""),"",N939*X939)</f>
        <v/>
      </c>
      <c r="Z939" s="10">
        <f>IF(OR(Q939="",Y939=""),"",Q939-Y939)</f>
        <v/>
      </c>
      <c r="AA939" s="9" t="n"/>
      <c r="AB939" s="9" t="n"/>
    </row>
    <row r="940" ht="22" customHeight="1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10">
        <f>IF(OR(N940="",P940=""),"",N940*P940)</f>
        <v/>
      </c>
      <c r="R940" s="9" t="n"/>
      <c r="S940" s="9" t="n"/>
      <c r="T940" s="9" t="n"/>
      <c r="U940" s="9">
        <f>IF(Q940="","",IF(W940=0,"已付款PAID",IF(V940&gt;0,"部分核销","未付款N/P")))</f>
        <v/>
      </c>
      <c r="V940" s="10">
        <f>IF(G940="","",SUMIFS(回款核销!$H:$H,回款核销!$C:$C,G940)+SUMIFS(回款核销!$H:$H,回款核销!$B:$B,D940,回款核销!$C:$C,""))</f>
        <v/>
      </c>
      <c r="W940" s="10">
        <f>IF(Q940="","",MAX(0,Q940-V940))</f>
        <v/>
      </c>
      <c r="X940" s="9" t="n"/>
      <c r="Y940" s="10">
        <f>IF(OR(N940="",X940=""),"",N940*X940)</f>
        <v/>
      </c>
      <c r="Z940" s="10">
        <f>IF(OR(Q940="",Y940=""),"",Q940-Y940)</f>
        <v/>
      </c>
      <c r="AA940" s="9" t="n"/>
      <c r="AB940" s="9" t="n"/>
    </row>
    <row r="941" ht="22" customHeight="1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10">
        <f>IF(OR(N941="",P941=""),"",N941*P941)</f>
        <v/>
      </c>
      <c r="R941" s="9" t="n"/>
      <c r="S941" s="9" t="n"/>
      <c r="T941" s="9" t="n"/>
      <c r="U941" s="9">
        <f>IF(Q941="","",IF(W941=0,"已付款PAID",IF(V941&gt;0,"部分核销","未付款N/P")))</f>
        <v/>
      </c>
      <c r="V941" s="10">
        <f>IF(G941="","",SUMIFS(回款核销!$H:$H,回款核销!$C:$C,G941)+SUMIFS(回款核销!$H:$H,回款核销!$B:$B,D941,回款核销!$C:$C,""))</f>
        <v/>
      </c>
      <c r="W941" s="10">
        <f>IF(Q941="","",MAX(0,Q941-V941))</f>
        <v/>
      </c>
      <c r="X941" s="9" t="n"/>
      <c r="Y941" s="10">
        <f>IF(OR(N941="",X941=""),"",N941*X941)</f>
        <v/>
      </c>
      <c r="Z941" s="10">
        <f>IF(OR(Q941="",Y941=""),"",Q941-Y941)</f>
        <v/>
      </c>
      <c r="AA941" s="9" t="n"/>
      <c r="AB941" s="9" t="n"/>
    </row>
    <row r="942" ht="22" customHeight="1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10">
        <f>IF(OR(N942="",P942=""),"",N942*P942)</f>
        <v/>
      </c>
      <c r="R942" s="9" t="n"/>
      <c r="S942" s="9" t="n"/>
      <c r="T942" s="9" t="n"/>
      <c r="U942" s="9">
        <f>IF(Q942="","",IF(W942=0,"已付款PAID",IF(V942&gt;0,"部分核销","未付款N/P")))</f>
        <v/>
      </c>
      <c r="V942" s="10">
        <f>IF(G942="","",SUMIFS(回款核销!$H:$H,回款核销!$C:$C,G942)+SUMIFS(回款核销!$H:$H,回款核销!$B:$B,D942,回款核销!$C:$C,""))</f>
        <v/>
      </c>
      <c r="W942" s="10">
        <f>IF(Q942="","",MAX(0,Q942-V942))</f>
        <v/>
      </c>
      <c r="X942" s="9" t="n"/>
      <c r="Y942" s="10">
        <f>IF(OR(N942="",X942=""),"",N942*X942)</f>
        <v/>
      </c>
      <c r="Z942" s="10">
        <f>IF(OR(Q942="",Y942=""),"",Q942-Y942)</f>
        <v/>
      </c>
      <c r="AA942" s="9" t="n"/>
      <c r="AB942" s="9" t="n"/>
    </row>
    <row r="943" ht="22" customHeight="1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10">
        <f>IF(OR(N943="",P943=""),"",N943*P943)</f>
        <v/>
      </c>
      <c r="R943" s="9" t="n"/>
      <c r="S943" s="9" t="n"/>
      <c r="T943" s="9" t="n"/>
      <c r="U943" s="9">
        <f>IF(Q943="","",IF(W943=0,"已付款PAID",IF(V943&gt;0,"部分核销","未付款N/P")))</f>
        <v/>
      </c>
      <c r="V943" s="10">
        <f>IF(G943="","",SUMIFS(回款核销!$H:$H,回款核销!$C:$C,G943)+SUMIFS(回款核销!$H:$H,回款核销!$B:$B,D943,回款核销!$C:$C,""))</f>
        <v/>
      </c>
      <c r="W943" s="10">
        <f>IF(Q943="","",MAX(0,Q943-V943))</f>
        <v/>
      </c>
      <c r="X943" s="9" t="n"/>
      <c r="Y943" s="10">
        <f>IF(OR(N943="",X943=""),"",N943*X943)</f>
        <v/>
      </c>
      <c r="Z943" s="10">
        <f>IF(OR(Q943="",Y943=""),"",Q943-Y943)</f>
        <v/>
      </c>
      <c r="AA943" s="9" t="n"/>
      <c r="AB943" s="9" t="n"/>
    </row>
    <row r="944" ht="22" customHeight="1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10">
        <f>IF(OR(N944="",P944=""),"",N944*P944)</f>
        <v/>
      </c>
      <c r="R944" s="9" t="n"/>
      <c r="S944" s="9" t="n"/>
      <c r="T944" s="9" t="n"/>
      <c r="U944" s="9">
        <f>IF(Q944="","",IF(W944=0,"已付款PAID",IF(V944&gt;0,"部分核销","未付款N/P")))</f>
        <v/>
      </c>
      <c r="V944" s="10">
        <f>IF(G944="","",SUMIFS(回款核销!$H:$H,回款核销!$C:$C,G944)+SUMIFS(回款核销!$H:$H,回款核销!$B:$B,D944,回款核销!$C:$C,""))</f>
        <v/>
      </c>
      <c r="W944" s="10">
        <f>IF(Q944="","",MAX(0,Q944-V944))</f>
        <v/>
      </c>
      <c r="X944" s="9" t="n"/>
      <c r="Y944" s="10">
        <f>IF(OR(N944="",X944=""),"",N944*X944)</f>
        <v/>
      </c>
      <c r="Z944" s="10">
        <f>IF(OR(Q944="",Y944=""),"",Q944-Y944)</f>
        <v/>
      </c>
      <c r="AA944" s="9" t="n"/>
      <c r="AB944" s="9" t="n"/>
    </row>
    <row r="945" ht="22" customHeight="1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10">
        <f>IF(OR(N945="",P945=""),"",N945*P945)</f>
        <v/>
      </c>
      <c r="R945" s="9" t="n"/>
      <c r="S945" s="9" t="n"/>
      <c r="T945" s="9" t="n"/>
      <c r="U945" s="9">
        <f>IF(Q945="","",IF(W945=0,"已付款PAID",IF(V945&gt;0,"部分核销","未付款N/P")))</f>
        <v/>
      </c>
      <c r="V945" s="10">
        <f>IF(G945="","",SUMIFS(回款核销!$H:$H,回款核销!$C:$C,G945)+SUMIFS(回款核销!$H:$H,回款核销!$B:$B,D945,回款核销!$C:$C,""))</f>
        <v/>
      </c>
      <c r="W945" s="10">
        <f>IF(Q945="","",MAX(0,Q945-V945))</f>
        <v/>
      </c>
      <c r="X945" s="9" t="n"/>
      <c r="Y945" s="10">
        <f>IF(OR(N945="",X945=""),"",N945*X945)</f>
        <v/>
      </c>
      <c r="Z945" s="10">
        <f>IF(OR(Q945="",Y945=""),"",Q945-Y945)</f>
        <v/>
      </c>
      <c r="AA945" s="9" t="n"/>
      <c r="AB945" s="9" t="n"/>
    </row>
    <row r="946" ht="22" customHeight="1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10">
        <f>IF(OR(N946="",P946=""),"",N946*P946)</f>
        <v/>
      </c>
      <c r="R946" s="9" t="n"/>
      <c r="S946" s="9" t="n"/>
      <c r="T946" s="9" t="n"/>
      <c r="U946" s="9">
        <f>IF(Q946="","",IF(W946=0,"已付款PAID",IF(V946&gt;0,"部分核销","未付款N/P")))</f>
        <v/>
      </c>
      <c r="V946" s="10">
        <f>IF(G946="","",SUMIFS(回款核销!$H:$H,回款核销!$C:$C,G946)+SUMIFS(回款核销!$H:$H,回款核销!$B:$B,D946,回款核销!$C:$C,""))</f>
        <v/>
      </c>
      <c r="W946" s="10">
        <f>IF(Q946="","",MAX(0,Q946-V946))</f>
        <v/>
      </c>
      <c r="X946" s="9" t="n"/>
      <c r="Y946" s="10">
        <f>IF(OR(N946="",X946=""),"",N946*X946)</f>
        <v/>
      </c>
      <c r="Z946" s="10">
        <f>IF(OR(Q946="",Y946=""),"",Q946-Y946)</f>
        <v/>
      </c>
      <c r="AA946" s="9" t="n"/>
      <c r="AB946" s="9" t="n"/>
    </row>
    <row r="947" ht="22" customHeight="1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10">
        <f>IF(OR(N947="",P947=""),"",N947*P947)</f>
        <v/>
      </c>
      <c r="R947" s="9" t="n"/>
      <c r="S947" s="9" t="n"/>
      <c r="T947" s="9" t="n"/>
      <c r="U947" s="9">
        <f>IF(Q947="","",IF(W947=0,"已付款PAID",IF(V947&gt;0,"部分核销","未付款N/P")))</f>
        <v/>
      </c>
      <c r="V947" s="10">
        <f>IF(G947="","",SUMIFS(回款核销!$H:$H,回款核销!$C:$C,G947)+SUMIFS(回款核销!$H:$H,回款核销!$B:$B,D947,回款核销!$C:$C,""))</f>
        <v/>
      </c>
      <c r="W947" s="10">
        <f>IF(Q947="","",MAX(0,Q947-V947))</f>
        <v/>
      </c>
      <c r="X947" s="9" t="n"/>
      <c r="Y947" s="10">
        <f>IF(OR(N947="",X947=""),"",N947*X947)</f>
        <v/>
      </c>
      <c r="Z947" s="10">
        <f>IF(OR(Q947="",Y947=""),"",Q947-Y947)</f>
        <v/>
      </c>
      <c r="AA947" s="9" t="n"/>
      <c r="AB947" s="9" t="n"/>
    </row>
    <row r="948" ht="22" customHeight="1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10">
        <f>IF(OR(N948="",P948=""),"",N948*P948)</f>
        <v/>
      </c>
      <c r="R948" s="9" t="n"/>
      <c r="S948" s="9" t="n"/>
      <c r="T948" s="9" t="n"/>
      <c r="U948" s="9">
        <f>IF(Q948="","",IF(W948=0,"已付款PAID",IF(V948&gt;0,"部分核销","未付款N/P")))</f>
        <v/>
      </c>
      <c r="V948" s="10">
        <f>IF(G948="","",SUMIFS(回款核销!$H:$H,回款核销!$C:$C,G948)+SUMIFS(回款核销!$H:$H,回款核销!$B:$B,D948,回款核销!$C:$C,""))</f>
        <v/>
      </c>
      <c r="W948" s="10">
        <f>IF(Q948="","",MAX(0,Q948-V948))</f>
        <v/>
      </c>
      <c r="X948" s="9" t="n"/>
      <c r="Y948" s="10">
        <f>IF(OR(N948="",X948=""),"",N948*X948)</f>
        <v/>
      </c>
      <c r="Z948" s="10">
        <f>IF(OR(Q948="",Y948=""),"",Q948-Y948)</f>
        <v/>
      </c>
      <c r="AA948" s="9" t="n"/>
      <c r="AB948" s="9" t="n"/>
    </row>
    <row r="949" ht="22" customHeight="1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10">
        <f>IF(OR(N949="",P949=""),"",N949*P949)</f>
        <v/>
      </c>
      <c r="R949" s="9" t="n"/>
      <c r="S949" s="9" t="n"/>
      <c r="T949" s="9" t="n"/>
      <c r="U949" s="9">
        <f>IF(Q949="","",IF(W949=0,"已付款PAID",IF(V949&gt;0,"部分核销","未付款N/P")))</f>
        <v/>
      </c>
      <c r="V949" s="10">
        <f>IF(G949="","",SUMIFS(回款核销!$H:$H,回款核销!$C:$C,G949)+SUMIFS(回款核销!$H:$H,回款核销!$B:$B,D949,回款核销!$C:$C,""))</f>
        <v/>
      </c>
      <c r="W949" s="10">
        <f>IF(Q949="","",MAX(0,Q949-V949))</f>
        <v/>
      </c>
      <c r="X949" s="9" t="n"/>
      <c r="Y949" s="10">
        <f>IF(OR(N949="",X949=""),"",N949*X949)</f>
        <v/>
      </c>
      <c r="Z949" s="10">
        <f>IF(OR(Q949="",Y949=""),"",Q949-Y949)</f>
        <v/>
      </c>
      <c r="AA949" s="9" t="n"/>
      <c r="AB949" s="9" t="n"/>
    </row>
    <row r="950" ht="22" customHeight="1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10">
        <f>IF(OR(N950="",P950=""),"",N950*P950)</f>
        <v/>
      </c>
      <c r="R950" s="9" t="n"/>
      <c r="S950" s="9" t="n"/>
      <c r="T950" s="9" t="n"/>
      <c r="U950" s="9">
        <f>IF(Q950="","",IF(W950=0,"已付款PAID",IF(V950&gt;0,"部分核销","未付款N/P")))</f>
        <v/>
      </c>
      <c r="V950" s="10">
        <f>IF(G950="","",SUMIFS(回款核销!$H:$H,回款核销!$C:$C,G950)+SUMIFS(回款核销!$H:$H,回款核销!$B:$B,D950,回款核销!$C:$C,""))</f>
        <v/>
      </c>
      <c r="W950" s="10">
        <f>IF(Q950="","",MAX(0,Q950-V950))</f>
        <v/>
      </c>
      <c r="X950" s="9" t="n"/>
      <c r="Y950" s="10">
        <f>IF(OR(N950="",X950=""),"",N950*X950)</f>
        <v/>
      </c>
      <c r="Z950" s="10">
        <f>IF(OR(Q950="",Y950=""),"",Q950-Y950)</f>
        <v/>
      </c>
      <c r="AA950" s="9" t="n"/>
      <c r="AB950" s="9" t="n"/>
    </row>
    <row r="951" ht="22" customHeight="1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10">
        <f>IF(OR(N951="",P951=""),"",N951*P951)</f>
        <v/>
      </c>
      <c r="R951" s="9" t="n"/>
      <c r="S951" s="9" t="n"/>
      <c r="T951" s="9" t="n"/>
      <c r="U951" s="9">
        <f>IF(Q951="","",IF(W951=0,"已付款PAID",IF(V951&gt;0,"部分核销","未付款N/P")))</f>
        <v/>
      </c>
      <c r="V951" s="10">
        <f>IF(G951="","",SUMIFS(回款核销!$H:$H,回款核销!$C:$C,G951)+SUMIFS(回款核销!$H:$H,回款核销!$B:$B,D951,回款核销!$C:$C,""))</f>
        <v/>
      </c>
      <c r="W951" s="10">
        <f>IF(Q951="","",MAX(0,Q951-V951))</f>
        <v/>
      </c>
      <c r="X951" s="9" t="n"/>
      <c r="Y951" s="10">
        <f>IF(OR(N951="",X951=""),"",N951*X951)</f>
        <v/>
      </c>
      <c r="Z951" s="10">
        <f>IF(OR(Q951="",Y951=""),"",Q951-Y951)</f>
        <v/>
      </c>
      <c r="AA951" s="9" t="n"/>
      <c r="AB951" s="9" t="n"/>
    </row>
    <row r="952" ht="22" customHeight="1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10">
        <f>IF(OR(N952="",P952=""),"",N952*P952)</f>
        <v/>
      </c>
      <c r="R952" s="9" t="n"/>
      <c r="S952" s="9" t="n"/>
      <c r="T952" s="9" t="n"/>
      <c r="U952" s="9">
        <f>IF(Q952="","",IF(W952=0,"已付款PAID",IF(V952&gt;0,"部分核销","未付款N/P")))</f>
        <v/>
      </c>
      <c r="V952" s="10">
        <f>IF(G952="","",SUMIFS(回款核销!$H:$H,回款核销!$C:$C,G952)+SUMIFS(回款核销!$H:$H,回款核销!$B:$B,D952,回款核销!$C:$C,""))</f>
        <v/>
      </c>
      <c r="W952" s="10">
        <f>IF(Q952="","",MAX(0,Q952-V952))</f>
        <v/>
      </c>
      <c r="X952" s="9" t="n"/>
      <c r="Y952" s="10">
        <f>IF(OR(N952="",X952=""),"",N952*X952)</f>
        <v/>
      </c>
      <c r="Z952" s="10">
        <f>IF(OR(Q952="",Y952=""),"",Q952-Y952)</f>
        <v/>
      </c>
      <c r="AA952" s="9" t="n"/>
      <c r="AB952" s="9" t="n"/>
    </row>
    <row r="953" ht="22" customHeight="1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10">
        <f>IF(OR(N953="",P953=""),"",N953*P953)</f>
        <v/>
      </c>
      <c r="R953" s="9" t="n"/>
      <c r="S953" s="9" t="n"/>
      <c r="T953" s="9" t="n"/>
      <c r="U953" s="9">
        <f>IF(Q953="","",IF(W953=0,"已付款PAID",IF(V953&gt;0,"部分核销","未付款N/P")))</f>
        <v/>
      </c>
      <c r="V953" s="10">
        <f>IF(G953="","",SUMIFS(回款核销!$H:$H,回款核销!$C:$C,G953)+SUMIFS(回款核销!$H:$H,回款核销!$B:$B,D953,回款核销!$C:$C,""))</f>
        <v/>
      </c>
      <c r="W953" s="10">
        <f>IF(Q953="","",MAX(0,Q953-V953))</f>
        <v/>
      </c>
      <c r="X953" s="9" t="n"/>
      <c r="Y953" s="10">
        <f>IF(OR(N953="",X953=""),"",N953*X953)</f>
        <v/>
      </c>
      <c r="Z953" s="10">
        <f>IF(OR(Q953="",Y953=""),"",Q953-Y953)</f>
        <v/>
      </c>
      <c r="AA953" s="9" t="n"/>
      <c r="AB953" s="9" t="n"/>
    </row>
    <row r="954" ht="22" customHeight="1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10">
        <f>IF(OR(N954="",P954=""),"",N954*P954)</f>
        <v/>
      </c>
      <c r="R954" s="9" t="n"/>
      <c r="S954" s="9" t="n"/>
      <c r="T954" s="9" t="n"/>
      <c r="U954" s="9">
        <f>IF(Q954="","",IF(W954=0,"已付款PAID",IF(V954&gt;0,"部分核销","未付款N/P")))</f>
        <v/>
      </c>
      <c r="V954" s="10">
        <f>IF(G954="","",SUMIFS(回款核销!$H:$H,回款核销!$C:$C,G954)+SUMIFS(回款核销!$H:$H,回款核销!$B:$B,D954,回款核销!$C:$C,""))</f>
        <v/>
      </c>
      <c r="W954" s="10">
        <f>IF(Q954="","",MAX(0,Q954-V954))</f>
        <v/>
      </c>
      <c r="X954" s="9" t="n"/>
      <c r="Y954" s="10">
        <f>IF(OR(N954="",X954=""),"",N954*X954)</f>
        <v/>
      </c>
      <c r="Z954" s="10">
        <f>IF(OR(Q954="",Y954=""),"",Q954-Y954)</f>
        <v/>
      </c>
      <c r="AA954" s="9" t="n"/>
      <c r="AB954" s="9" t="n"/>
    </row>
    <row r="955" ht="22" customHeight="1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10">
        <f>IF(OR(N955="",P955=""),"",N955*P955)</f>
        <v/>
      </c>
      <c r="R955" s="9" t="n"/>
      <c r="S955" s="9" t="n"/>
      <c r="T955" s="9" t="n"/>
      <c r="U955" s="9">
        <f>IF(Q955="","",IF(W955=0,"已付款PAID",IF(V955&gt;0,"部分核销","未付款N/P")))</f>
        <v/>
      </c>
      <c r="V955" s="10">
        <f>IF(G955="","",SUMIFS(回款核销!$H:$H,回款核销!$C:$C,G955)+SUMIFS(回款核销!$H:$H,回款核销!$B:$B,D955,回款核销!$C:$C,""))</f>
        <v/>
      </c>
      <c r="W955" s="10">
        <f>IF(Q955="","",MAX(0,Q955-V955))</f>
        <v/>
      </c>
      <c r="X955" s="9" t="n"/>
      <c r="Y955" s="10">
        <f>IF(OR(N955="",X955=""),"",N955*X955)</f>
        <v/>
      </c>
      <c r="Z955" s="10">
        <f>IF(OR(Q955="",Y955=""),"",Q955-Y955)</f>
        <v/>
      </c>
      <c r="AA955" s="9" t="n"/>
      <c r="AB955" s="9" t="n"/>
    </row>
    <row r="956" ht="22" customHeight="1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10">
        <f>IF(OR(N956="",P956=""),"",N956*P956)</f>
        <v/>
      </c>
      <c r="R956" s="9" t="n"/>
      <c r="S956" s="9" t="n"/>
      <c r="T956" s="9" t="n"/>
      <c r="U956" s="9">
        <f>IF(Q956="","",IF(W956=0,"已付款PAID",IF(V956&gt;0,"部分核销","未付款N/P")))</f>
        <v/>
      </c>
      <c r="V956" s="10">
        <f>IF(G956="","",SUMIFS(回款核销!$H:$H,回款核销!$C:$C,G956)+SUMIFS(回款核销!$H:$H,回款核销!$B:$B,D956,回款核销!$C:$C,""))</f>
        <v/>
      </c>
      <c r="W956" s="10">
        <f>IF(Q956="","",MAX(0,Q956-V956))</f>
        <v/>
      </c>
      <c r="X956" s="9" t="n"/>
      <c r="Y956" s="10">
        <f>IF(OR(N956="",X956=""),"",N956*X956)</f>
        <v/>
      </c>
      <c r="Z956" s="10">
        <f>IF(OR(Q956="",Y956=""),"",Q956-Y956)</f>
        <v/>
      </c>
      <c r="AA956" s="9" t="n"/>
      <c r="AB956" s="9" t="n"/>
    </row>
    <row r="957" ht="22" customHeight="1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10">
        <f>IF(OR(N957="",P957=""),"",N957*P957)</f>
        <v/>
      </c>
      <c r="R957" s="9" t="n"/>
      <c r="S957" s="9" t="n"/>
      <c r="T957" s="9" t="n"/>
      <c r="U957" s="9">
        <f>IF(Q957="","",IF(W957=0,"已付款PAID",IF(V957&gt;0,"部分核销","未付款N/P")))</f>
        <v/>
      </c>
      <c r="V957" s="10">
        <f>IF(G957="","",SUMIFS(回款核销!$H:$H,回款核销!$C:$C,G957)+SUMIFS(回款核销!$H:$H,回款核销!$B:$B,D957,回款核销!$C:$C,""))</f>
        <v/>
      </c>
      <c r="W957" s="10">
        <f>IF(Q957="","",MAX(0,Q957-V957))</f>
        <v/>
      </c>
      <c r="X957" s="9" t="n"/>
      <c r="Y957" s="10">
        <f>IF(OR(N957="",X957=""),"",N957*X957)</f>
        <v/>
      </c>
      <c r="Z957" s="10">
        <f>IF(OR(Q957="",Y957=""),"",Q957-Y957)</f>
        <v/>
      </c>
      <c r="AA957" s="9" t="n"/>
      <c r="AB957" s="9" t="n"/>
    </row>
    <row r="958" ht="22" customHeight="1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10">
        <f>IF(OR(N958="",P958=""),"",N958*P958)</f>
        <v/>
      </c>
      <c r="R958" s="9" t="n"/>
      <c r="S958" s="9" t="n"/>
      <c r="T958" s="9" t="n"/>
      <c r="U958" s="9">
        <f>IF(Q958="","",IF(W958=0,"已付款PAID",IF(V958&gt;0,"部分核销","未付款N/P")))</f>
        <v/>
      </c>
      <c r="V958" s="10">
        <f>IF(G958="","",SUMIFS(回款核销!$H:$H,回款核销!$C:$C,G958)+SUMIFS(回款核销!$H:$H,回款核销!$B:$B,D958,回款核销!$C:$C,""))</f>
        <v/>
      </c>
      <c r="W958" s="10">
        <f>IF(Q958="","",MAX(0,Q958-V958))</f>
        <v/>
      </c>
      <c r="X958" s="9" t="n"/>
      <c r="Y958" s="10">
        <f>IF(OR(N958="",X958=""),"",N958*X958)</f>
        <v/>
      </c>
      <c r="Z958" s="10">
        <f>IF(OR(Q958="",Y958=""),"",Q958-Y958)</f>
        <v/>
      </c>
      <c r="AA958" s="9" t="n"/>
      <c r="AB958" s="9" t="n"/>
    </row>
    <row r="959" ht="22" customHeight="1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10">
        <f>IF(OR(N959="",P959=""),"",N959*P959)</f>
        <v/>
      </c>
      <c r="R959" s="9" t="n"/>
      <c r="S959" s="9" t="n"/>
      <c r="T959" s="9" t="n"/>
      <c r="U959" s="9">
        <f>IF(Q959="","",IF(W959=0,"已付款PAID",IF(V959&gt;0,"部分核销","未付款N/P")))</f>
        <v/>
      </c>
      <c r="V959" s="10">
        <f>IF(G959="","",SUMIFS(回款核销!$H:$H,回款核销!$C:$C,G959)+SUMIFS(回款核销!$H:$H,回款核销!$B:$B,D959,回款核销!$C:$C,""))</f>
        <v/>
      </c>
      <c r="W959" s="10">
        <f>IF(Q959="","",MAX(0,Q959-V959))</f>
        <v/>
      </c>
      <c r="X959" s="9" t="n"/>
      <c r="Y959" s="10">
        <f>IF(OR(N959="",X959=""),"",N959*X959)</f>
        <v/>
      </c>
      <c r="Z959" s="10">
        <f>IF(OR(Q959="",Y959=""),"",Q959-Y959)</f>
        <v/>
      </c>
      <c r="AA959" s="9" t="n"/>
      <c r="AB959" s="9" t="n"/>
    </row>
    <row r="960" ht="22" customHeight="1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10">
        <f>IF(OR(N960="",P960=""),"",N960*P960)</f>
        <v/>
      </c>
      <c r="R960" s="9" t="n"/>
      <c r="S960" s="9" t="n"/>
      <c r="T960" s="9" t="n"/>
      <c r="U960" s="9">
        <f>IF(Q960="","",IF(W960=0,"已付款PAID",IF(V960&gt;0,"部分核销","未付款N/P")))</f>
        <v/>
      </c>
      <c r="V960" s="10">
        <f>IF(G960="","",SUMIFS(回款核销!$H:$H,回款核销!$C:$C,G960)+SUMIFS(回款核销!$H:$H,回款核销!$B:$B,D960,回款核销!$C:$C,""))</f>
        <v/>
      </c>
      <c r="W960" s="10">
        <f>IF(Q960="","",MAX(0,Q960-V960))</f>
        <v/>
      </c>
      <c r="X960" s="9" t="n"/>
      <c r="Y960" s="10">
        <f>IF(OR(N960="",X960=""),"",N960*X960)</f>
        <v/>
      </c>
      <c r="Z960" s="10">
        <f>IF(OR(Q960="",Y960=""),"",Q960-Y960)</f>
        <v/>
      </c>
      <c r="AA960" s="9" t="n"/>
      <c r="AB960" s="9" t="n"/>
    </row>
    <row r="961" ht="22" customHeight="1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10">
        <f>IF(OR(N961="",P961=""),"",N961*P961)</f>
        <v/>
      </c>
      <c r="R961" s="9" t="n"/>
      <c r="S961" s="9" t="n"/>
      <c r="T961" s="9" t="n"/>
      <c r="U961" s="9">
        <f>IF(Q961="","",IF(W961=0,"已付款PAID",IF(V961&gt;0,"部分核销","未付款N/P")))</f>
        <v/>
      </c>
      <c r="V961" s="10">
        <f>IF(G961="","",SUMIFS(回款核销!$H:$H,回款核销!$C:$C,G961)+SUMIFS(回款核销!$H:$H,回款核销!$B:$B,D961,回款核销!$C:$C,""))</f>
        <v/>
      </c>
      <c r="W961" s="10">
        <f>IF(Q961="","",MAX(0,Q961-V961))</f>
        <v/>
      </c>
      <c r="X961" s="9" t="n"/>
      <c r="Y961" s="10">
        <f>IF(OR(N961="",X961=""),"",N961*X961)</f>
        <v/>
      </c>
      <c r="Z961" s="10">
        <f>IF(OR(Q961="",Y961=""),"",Q961-Y961)</f>
        <v/>
      </c>
      <c r="AA961" s="9" t="n"/>
      <c r="AB961" s="9" t="n"/>
    </row>
    <row r="962" ht="22" customHeight="1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10">
        <f>IF(OR(N962="",P962=""),"",N962*P962)</f>
        <v/>
      </c>
      <c r="R962" s="9" t="n"/>
      <c r="S962" s="9" t="n"/>
      <c r="T962" s="9" t="n"/>
      <c r="U962" s="9">
        <f>IF(Q962="","",IF(W962=0,"已付款PAID",IF(V962&gt;0,"部分核销","未付款N/P")))</f>
        <v/>
      </c>
      <c r="V962" s="10">
        <f>IF(G962="","",SUMIFS(回款核销!$H:$H,回款核销!$C:$C,G962)+SUMIFS(回款核销!$H:$H,回款核销!$B:$B,D962,回款核销!$C:$C,""))</f>
        <v/>
      </c>
      <c r="W962" s="10">
        <f>IF(Q962="","",MAX(0,Q962-V962))</f>
        <v/>
      </c>
      <c r="X962" s="9" t="n"/>
      <c r="Y962" s="10">
        <f>IF(OR(N962="",X962=""),"",N962*X962)</f>
        <v/>
      </c>
      <c r="Z962" s="10">
        <f>IF(OR(Q962="",Y962=""),"",Q962-Y962)</f>
        <v/>
      </c>
      <c r="AA962" s="9" t="n"/>
      <c r="AB962" s="9" t="n"/>
    </row>
    <row r="963" ht="22" customHeight="1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10">
        <f>IF(OR(N963="",P963=""),"",N963*P963)</f>
        <v/>
      </c>
      <c r="R963" s="9" t="n"/>
      <c r="S963" s="9" t="n"/>
      <c r="T963" s="9" t="n"/>
      <c r="U963" s="9">
        <f>IF(Q963="","",IF(W963=0,"已付款PAID",IF(V963&gt;0,"部分核销","未付款N/P")))</f>
        <v/>
      </c>
      <c r="V963" s="10">
        <f>IF(G963="","",SUMIFS(回款核销!$H:$H,回款核销!$C:$C,G963)+SUMIFS(回款核销!$H:$H,回款核销!$B:$B,D963,回款核销!$C:$C,""))</f>
        <v/>
      </c>
      <c r="W963" s="10">
        <f>IF(Q963="","",MAX(0,Q963-V963))</f>
        <v/>
      </c>
      <c r="X963" s="9" t="n"/>
      <c r="Y963" s="10">
        <f>IF(OR(N963="",X963=""),"",N963*X963)</f>
        <v/>
      </c>
      <c r="Z963" s="10">
        <f>IF(OR(Q963="",Y963=""),"",Q963-Y963)</f>
        <v/>
      </c>
      <c r="AA963" s="9" t="n"/>
      <c r="AB963" s="9" t="n"/>
    </row>
    <row r="964" ht="22" customHeight="1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10">
        <f>IF(OR(N964="",P964=""),"",N964*P964)</f>
        <v/>
      </c>
      <c r="R964" s="9" t="n"/>
      <c r="S964" s="9" t="n"/>
      <c r="T964" s="9" t="n"/>
      <c r="U964" s="9">
        <f>IF(Q964="","",IF(W964=0,"已付款PAID",IF(V964&gt;0,"部分核销","未付款N/P")))</f>
        <v/>
      </c>
      <c r="V964" s="10">
        <f>IF(G964="","",SUMIFS(回款核销!$H:$H,回款核销!$C:$C,G964)+SUMIFS(回款核销!$H:$H,回款核销!$B:$B,D964,回款核销!$C:$C,""))</f>
        <v/>
      </c>
      <c r="W964" s="10">
        <f>IF(Q964="","",MAX(0,Q964-V964))</f>
        <v/>
      </c>
      <c r="X964" s="9" t="n"/>
      <c r="Y964" s="10">
        <f>IF(OR(N964="",X964=""),"",N964*X964)</f>
        <v/>
      </c>
      <c r="Z964" s="10">
        <f>IF(OR(Q964="",Y964=""),"",Q964-Y964)</f>
        <v/>
      </c>
      <c r="AA964" s="9" t="n"/>
      <c r="AB964" s="9" t="n"/>
    </row>
    <row r="965" ht="22" customHeight="1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10">
        <f>IF(OR(N965="",P965=""),"",N965*P965)</f>
        <v/>
      </c>
      <c r="R965" s="9" t="n"/>
      <c r="S965" s="9" t="n"/>
      <c r="T965" s="9" t="n"/>
      <c r="U965" s="9">
        <f>IF(Q965="","",IF(W965=0,"已付款PAID",IF(V965&gt;0,"部分核销","未付款N/P")))</f>
        <v/>
      </c>
      <c r="V965" s="10">
        <f>IF(G965="","",SUMIFS(回款核销!$H:$H,回款核销!$C:$C,G965)+SUMIFS(回款核销!$H:$H,回款核销!$B:$B,D965,回款核销!$C:$C,""))</f>
        <v/>
      </c>
      <c r="W965" s="10">
        <f>IF(Q965="","",MAX(0,Q965-V965))</f>
        <v/>
      </c>
      <c r="X965" s="9" t="n"/>
      <c r="Y965" s="10">
        <f>IF(OR(N965="",X965=""),"",N965*X965)</f>
        <v/>
      </c>
      <c r="Z965" s="10">
        <f>IF(OR(Q965="",Y965=""),"",Q965-Y965)</f>
        <v/>
      </c>
      <c r="AA965" s="9" t="n"/>
      <c r="AB965" s="9" t="n"/>
    </row>
    <row r="966" ht="22" customHeight="1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10">
        <f>IF(OR(N966="",P966=""),"",N966*P966)</f>
        <v/>
      </c>
      <c r="R966" s="9" t="n"/>
      <c r="S966" s="9" t="n"/>
      <c r="T966" s="9" t="n"/>
      <c r="U966" s="9">
        <f>IF(Q966="","",IF(W966=0,"已付款PAID",IF(V966&gt;0,"部分核销","未付款N/P")))</f>
        <v/>
      </c>
      <c r="V966" s="10">
        <f>IF(G966="","",SUMIFS(回款核销!$H:$H,回款核销!$C:$C,G966)+SUMIFS(回款核销!$H:$H,回款核销!$B:$B,D966,回款核销!$C:$C,""))</f>
        <v/>
      </c>
      <c r="W966" s="10">
        <f>IF(Q966="","",MAX(0,Q966-V966))</f>
        <v/>
      </c>
      <c r="X966" s="9" t="n"/>
      <c r="Y966" s="10">
        <f>IF(OR(N966="",X966=""),"",N966*X966)</f>
        <v/>
      </c>
      <c r="Z966" s="10">
        <f>IF(OR(Q966="",Y966=""),"",Q966-Y966)</f>
        <v/>
      </c>
      <c r="AA966" s="9" t="n"/>
      <c r="AB966" s="9" t="n"/>
    </row>
    <row r="967" ht="22" customHeight="1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10">
        <f>IF(OR(N967="",P967=""),"",N967*P967)</f>
        <v/>
      </c>
      <c r="R967" s="9" t="n"/>
      <c r="S967" s="9" t="n"/>
      <c r="T967" s="9" t="n"/>
      <c r="U967" s="9">
        <f>IF(Q967="","",IF(W967=0,"已付款PAID",IF(V967&gt;0,"部分核销","未付款N/P")))</f>
        <v/>
      </c>
      <c r="V967" s="10">
        <f>IF(G967="","",SUMIFS(回款核销!$H:$H,回款核销!$C:$C,G967)+SUMIFS(回款核销!$H:$H,回款核销!$B:$B,D967,回款核销!$C:$C,""))</f>
        <v/>
      </c>
      <c r="W967" s="10">
        <f>IF(Q967="","",MAX(0,Q967-V967))</f>
        <v/>
      </c>
      <c r="X967" s="9" t="n"/>
      <c r="Y967" s="10">
        <f>IF(OR(N967="",X967=""),"",N967*X967)</f>
        <v/>
      </c>
      <c r="Z967" s="10">
        <f>IF(OR(Q967="",Y967=""),"",Q967-Y967)</f>
        <v/>
      </c>
      <c r="AA967" s="9" t="n"/>
      <c r="AB967" s="9" t="n"/>
    </row>
    <row r="968" ht="22" customHeight="1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10">
        <f>IF(OR(N968="",P968=""),"",N968*P968)</f>
        <v/>
      </c>
      <c r="R968" s="9" t="n"/>
      <c r="S968" s="9" t="n"/>
      <c r="T968" s="9" t="n"/>
      <c r="U968" s="9">
        <f>IF(Q968="","",IF(W968=0,"已付款PAID",IF(V968&gt;0,"部分核销","未付款N/P")))</f>
        <v/>
      </c>
      <c r="V968" s="10">
        <f>IF(G968="","",SUMIFS(回款核销!$H:$H,回款核销!$C:$C,G968)+SUMIFS(回款核销!$H:$H,回款核销!$B:$B,D968,回款核销!$C:$C,""))</f>
        <v/>
      </c>
      <c r="W968" s="10">
        <f>IF(Q968="","",MAX(0,Q968-V968))</f>
        <v/>
      </c>
      <c r="X968" s="9" t="n"/>
      <c r="Y968" s="10">
        <f>IF(OR(N968="",X968=""),"",N968*X968)</f>
        <v/>
      </c>
      <c r="Z968" s="10">
        <f>IF(OR(Q968="",Y968=""),"",Q968-Y968)</f>
        <v/>
      </c>
      <c r="AA968" s="9" t="n"/>
      <c r="AB968" s="9" t="n"/>
    </row>
    <row r="969" ht="22" customHeight="1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10">
        <f>IF(OR(N969="",P969=""),"",N969*P969)</f>
        <v/>
      </c>
      <c r="R969" s="9" t="n"/>
      <c r="S969" s="9" t="n"/>
      <c r="T969" s="9" t="n"/>
      <c r="U969" s="9">
        <f>IF(Q969="","",IF(W969=0,"已付款PAID",IF(V969&gt;0,"部分核销","未付款N/P")))</f>
        <v/>
      </c>
      <c r="V969" s="10">
        <f>IF(G969="","",SUMIFS(回款核销!$H:$H,回款核销!$C:$C,G969)+SUMIFS(回款核销!$H:$H,回款核销!$B:$B,D969,回款核销!$C:$C,""))</f>
        <v/>
      </c>
      <c r="W969" s="10">
        <f>IF(Q969="","",MAX(0,Q969-V969))</f>
        <v/>
      </c>
      <c r="X969" s="9" t="n"/>
      <c r="Y969" s="10">
        <f>IF(OR(N969="",X969=""),"",N969*X969)</f>
        <v/>
      </c>
      <c r="Z969" s="10">
        <f>IF(OR(Q969="",Y969=""),"",Q969-Y969)</f>
        <v/>
      </c>
      <c r="AA969" s="9" t="n"/>
      <c r="AB969" s="9" t="n"/>
    </row>
    <row r="970" ht="22" customHeight="1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10">
        <f>IF(OR(N970="",P970=""),"",N970*P970)</f>
        <v/>
      </c>
      <c r="R970" s="9" t="n"/>
      <c r="S970" s="9" t="n"/>
      <c r="T970" s="9" t="n"/>
      <c r="U970" s="9">
        <f>IF(Q970="","",IF(W970=0,"已付款PAID",IF(V970&gt;0,"部分核销","未付款N/P")))</f>
        <v/>
      </c>
      <c r="V970" s="10">
        <f>IF(G970="","",SUMIFS(回款核销!$H:$H,回款核销!$C:$C,G970)+SUMIFS(回款核销!$H:$H,回款核销!$B:$B,D970,回款核销!$C:$C,""))</f>
        <v/>
      </c>
      <c r="W970" s="10">
        <f>IF(Q970="","",MAX(0,Q970-V970))</f>
        <v/>
      </c>
      <c r="X970" s="9" t="n"/>
      <c r="Y970" s="10">
        <f>IF(OR(N970="",X970=""),"",N970*X970)</f>
        <v/>
      </c>
      <c r="Z970" s="10">
        <f>IF(OR(Q970="",Y970=""),"",Q970-Y970)</f>
        <v/>
      </c>
      <c r="AA970" s="9" t="n"/>
      <c r="AB970" s="9" t="n"/>
    </row>
    <row r="971" ht="22" customHeight="1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10">
        <f>IF(OR(N971="",P971=""),"",N971*P971)</f>
        <v/>
      </c>
      <c r="R971" s="9" t="n"/>
      <c r="S971" s="9" t="n"/>
      <c r="T971" s="9" t="n"/>
      <c r="U971" s="9">
        <f>IF(Q971="","",IF(W971=0,"已付款PAID",IF(V971&gt;0,"部分核销","未付款N/P")))</f>
        <v/>
      </c>
      <c r="V971" s="10">
        <f>IF(G971="","",SUMIFS(回款核销!$H:$H,回款核销!$C:$C,G971)+SUMIFS(回款核销!$H:$H,回款核销!$B:$B,D971,回款核销!$C:$C,""))</f>
        <v/>
      </c>
      <c r="W971" s="10">
        <f>IF(Q971="","",MAX(0,Q971-V971))</f>
        <v/>
      </c>
      <c r="X971" s="9" t="n"/>
      <c r="Y971" s="10">
        <f>IF(OR(N971="",X971=""),"",N971*X971)</f>
        <v/>
      </c>
      <c r="Z971" s="10">
        <f>IF(OR(Q971="",Y971=""),"",Q971-Y971)</f>
        <v/>
      </c>
      <c r="AA971" s="9" t="n"/>
      <c r="AB971" s="9" t="n"/>
    </row>
    <row r="972" ht="22" customHeight="1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10">
        <f>IF(OR(N972="",P972=""),"",N972*P972)</f>
        <v/>
      </c>
      <c r="R972" s="9" t="n"/>
      <c r="S972" s="9" t="n"/>
      <c r="T972" s="9" t="n"/>
      <c r="U972" s="9">
        <f>IF(Q972="","",IF(W972=0,"已付款PAID",IF(V972&gt;0,"部分核销","未付款N/P")))</f>
        <v/>
      </c>
      <c r="V972" s="10">
        <f>IF(G972="","",SUMIFS(回款核销!$H:$H,回款核销!$C:$C,G972)+SUMIFS(回款核销!$H:$H,回款核销!$B:$B,D972,回款核销!$C:$C,""))</f>
        <v/>
      </c>
      <c r="W972" s="10">
        <f>IF(Q972="","",MAX(0,Q972-V972))</f>
        <v/>
      </c>
      <c r="X972" s="9" t="n"/>
      <c r="Y972" s="10">
        <f>IF(OR(N972="",X972=""),"",N972*X972)</f>
        <v/>
      </c>
      <c r="Z972" s="10">
        <f>IF(OR(Q972="",Y972=""),"",Q972-Y972)</f>
        <v/>
      </c>
      <c r="AA972" s="9" t="n"/>
      <c r="AB972" s="9" t="n"/>
    </row>
    <row r="973" ht="22" customHeight="1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10">
        <f>IF(OR(N973="",P973=""),"",N973*P973)</f>
        <v/>
      </c>
      <c r="R973" s="9" t="n"/>
      <c r="S973" s="9" t="n"/>
      <c r="T973" s="9" t="n"/>
      <c r="U973" s="9">
        <f>IF(Q973="","",IF(W973=0,"已付款PAID",IF(V973&gt;0,"部分核销","未付款N/P")))</f>
        <v/>
      </c>
      <c r="V973" s="10">
        <f>IF(G973="","",SUMIFS(回款核销!$H:$H,回款核销!$C:$C,G973)+SUMIFS(回款核销!$H:$H,回款核销!$B:$B,D973,回款核销!$C:$C,""))</f>
        <v/>
      </c>
      <c r="W973" s="10">
        <f>IF(Q973="","",MAX(0,Q973-V973))</f>
        <v/>
      </c>
      <c r="X973" s="9" t="n"/>
      <c r="Y973" s="10">
        <f>IF(OR(N973="",X973=""),"",N973*X973)</f>
        <v/>
      </c>
      <c r="Z973" s="10">
        <f>IF(OR(Q973="",Y973=""),"",Q973-Y973)</f>
        <v/>
      </c>
      <c r="AA973" s="9" t="n"/>
      <c r="AB973" s="9" t="n"/>
    </row>
    <row r="974" ht="22" customHeight="1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10">
        <f>IF(OR(N974="",P974=""),"",N974*P974)</f>
        <v/>
      </c>
      <c r="R974" s="9" t="n"/>
      <c r="S974" s="9" t="n"/>
      <c r="T974" s="9" t="n"/>
      <c r="U974" s="9">
        <f>IF(Q974="","",IF(W974=0,"已付款PAID",IF(V974&gt;0,"部分核销","未付款N/P")))</f>
        <v/>
      </c>
      <c r="V974" s="10">
        <f>IF(G974="","",SUMIFS(回款核销!$H:$H,回款核销!$C:$C,G974)+SUMIFS(回款核销!$H:$H,回款核销!$B:$B,D974,回款核销!$C:$C,""))</f>
        <v/>
      </c>
      <c r="W974" s="10">
        <f>IF(Q974="","",MAX(0,Q974-V974))</f>
        <v/>
      </c>
      <c r="X974" s="9" t="n"/>
      <c r="Y974" s="10">
        <f>IF(OR(N974="",X974=""),"",N974*X974)</f>
        <v/>
      </c>
      <c r="Z974" s="10">
        <f>IF(OR(Q974="",Y974=""),"",Q974-Y974)</f>
        <v/>
      </c>
      <c r="AA974" s="9" t="n"/>
      <c r="AB974" s="9" t="n"/>
    </row>
    <row r="975" ht="22" customHeight="1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10">
        <f>IF(OR(N975="",P975=""),"",N975*P975)</f>
        <v/>
      </c>
      <c r="R975" s="9" t="n"/>
      <c r="S975" s="9" t="n"/>
      <c r="T975" s="9" t="n"/>
      <c r="U975" s="9">
        <f>IF(Q975="","",IF(W975=0,"已付款PAID",IF(V975&gt;0,"部分核销","未付款N/P")))</f>
        <v/>
      </c>
      <c r="V975" s="10">
        <f>IF(G975="","",SUMIFS(回款核销!$H:$H,回款核销!$C:$C,G975)+SUMIFS(回款核销!$H:$H,回款核销!$B:$B,D975,回款核销!$C:$C,""))</f>
        <v/>
      </c>
      <c r="W975" s="10">
        <f>IF(Q975="","",MAX(0,Q975-V975))</f>
        <v/>
      </c>
      <c r="X975" s="9" t="n"/>
      <c r="Y975" s="10">
        <f>IF(OR(N975="",X975=""),"",N975*X975)</f>
        <v/>
      </c>
      <c r="Z975" s="10">
        <f>IF(OR(Q975="",Y975=""),"",Q975-Y975)</f>
        <v/>
      </c>
      <c r="AA975" s="9" t="n"/>
      <c r="AB975" s="9" t="n"/>
    </row>
    <row r="976" ht="22" customHeight="1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10">
        <f>IF(OR(N976="",P976=""),"",N976*P976)</f>
        <v/>
      </c>
      <c r="R976" s="9" t="n"/>
      <c r="S976" s="9" t="n"/>
      <c r="T976" s="9" t="n"/>
      <c r="U976" s="9">
        <f>IF(Q976="","",IF(W976=0,"已付款PAID",IF(V976&gt;0,"部分核销","未付款N/P")))</f>
        <v/>
      </c>
      <c r="V976" s="10">
        <f>IF(G976="","",SUMIFS(回款核销!$H:$H,回款核销!$C:$C,G976)+SUMIFS(回款核销!$H:$H,回款核销!$B:$B,D976,回款核销!$C:$C,""))</f>
        <v/>
      </c>
      <c r="W976" s="10">
        <f>IF(Q976="","",MAX(0,Q976-V976))</f>
        <v/>
      </c>
      <c r="X976" s="9" t="n"/>
      <c r="Y976" s="10">
        <f>IF(OR(N976="",X976=""),"",N976*X976)</f>
        <v/>
      </c>
      <c r="Z976" s="10">
        <f>IF(OR(Q976="",Y976=""),"",Q976-Y976)</f>
        <v/>
      </c>
      <c r="AA976" s="9" t="n"/>
      <c r="AB976" s="9" t="n"/>
    </row>
    <row r="977" ht="22" customHeight="1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10">
        <f>IF(OR(N977="",P977=""),"",N977*P977)</f>
        <v/>
      </c>
      <c r="R977" s="9" t="n"/>
      <c r="S977" s="9" t="n"/>
      <c r="T977" s="9" t="n"/>
      <c r="U977" s="9">
        <f>IF(Q977="","",IF(W977=0,"已付款PAID",IF(V977&gt;0,"部分核销","未付款N/P")))</f>
        <v/>
      </c>
      <c r="V977" s="10">
        <f>IF(G977="","",SUMIFS(回款核销!$H:$H,回款核销!$C:$C,G977)+SUMIFS(回款核销!$H:$H,回款核销!$B:$B,D977,回款核销!$C:$C,""))</f>
        <v/>
      </c>
      <c r="W977" s="10">
        <f>IF(Q977="","",MAX(0,Q977-V977))</f>
        <v/>
      </c>
      <c r="X977" s="9" t="n"/>
      <c r="Y977" s="10">
        <f>IF(OR(N977="",X977=""),"",N977*X977)</f>
        <v/>
      </c>
      <c r="Z977" s="10">
        <f>IF(OR(Q977="",Y977=""),"",Q977-Y977)</f>
        <v/>
      </c>
      <c r="AA977" s="9" t="n"/>
      <c r="AB977" s="9" t="n"/>
    </row>
    <row r="978" ht="22" customHeight="1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10">
        <f>IF(OR(N978="",P978=""),"",N978*P978)</f>
        <v/>
      </c>
      <c r="R978" s="9" t="n"/>
      <c r="S978" s="9" t="n"/>
      <c r="T978" s="9" t="n"/>
      <c r="U978" s="9">
        <f>IF(Q978="","",IF(W978=0,"已付款PAID",IF(V978&gt;0,"部分核销","未付款N/P")))</f>
        <v/>
      </c>
      <c r="V978" s="10">
        <f>IF(G978="","",SUMIFS(回款核销!$H:$H,回款核销!$C:$C,G978)+SUMIFS(回款核销!$H:$H,回款核销!$B:$B,D978,回款核销!$C:$C,""))</f>
        <v/>
      </c>
      <c r="W978" s="10">
        <f>IF(Q978="","",MAX(0,Q978-V978))</f>
        <v/>
      </c>
      <c r="X978" s="9" t="n"/>
      <c r="Y978" s="10">
        <f>IF(OR(N978="",X978=""),"",N978*X978)</f>
        <v/>
      </c>
      <c r="Z978" s="10">
        <f>IF(OR(Q978="",Y978=""),"",Q978-Y978)</f>
        <v/>
      </c>
      <c r="AA978" s="9" t="n"/>
      <c r="AB978" s="9" t="n"/>
    </row>
    <row r="979" ht="22" customHeight="1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10">
        <f>IF(OR(N979="",P979=""),"",N979*P979)</f>
        <v/>
      </c>
      <c r="R979" s="9" t="n"/>
      <c r="S979" s="9" t="n"/>
      <c r="T979" s="9" t="n"/>
      <c r="U979" s="9">
        <f>IF(Q979="","",IF(W979=0,"已付款PAID",IF(V979&gt;0,"部分核销","未付款N/P")))</f>
        <v/>
      </c>
      <c r="V979" s="10">
        <f>IF(G979="","",SUMIFS(回款核销!$H:$H,回款核销!$C:$C,G979)+SUMIFS(回款核销!$H:$H,回款核销!$B:$B,D979,回款核销!$C:$C,""))</f>
        <v/>
      </c>
      <c r="W979" s="10">
        <f>IF(Q979="","",MAX(0,Q979-V979))</f>
        <v/>
      </c>
      <c r="X979" s="9" t="n"/>
      <c r="Y979" s="10">
        <f>IF(OR(N979="",X979=""),"",N979*X979)</f>
        <v/>
      </c>
      <c r="Z979" s="10">
        <f>IF(OR(Q979="",Y979=""),"",Q979-Y979)</f>
        <v/>
      </c>
      <c r="AA979" s="9" t="n"/>
      <c r="AB979" s="9" t="n"/>
    </row>
    <row r="980" ht="22" customHeight="1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10">
        <f>IF(OR(N980="",P980=""),"",N980*P980)</f>
        <v/>
      </c>
      <c r="R980" s="9" t="n"/>
      <c r="S980" s="9" t="n"/>
      <c r="T980" s="9" t="n"/>
      <c r="U980" s="9">
        <f>IF(Q980="","",IF(W980=0,"已付款PAID",IF(V980&gt;0,"部分核销","未付款N/P")))</f>
        <v/>
      </c>
      <c r="V980" s="10">
        <f>IF(G980="","",SUMIFS(回款核销!$H:$H,回款核销!$C:$C,G980)+SUMIFS(回款核销!$H:$H,回款核销!$B:$B,D980,回款核销!$C:$C,""))</f>
        <v/>
      </c>
      <c r="W980" s="10">
        <f>IF(Q980="","",MAX(0,Q980-V980))</f>
        <v/>
      </c>
      <c r="X980" s="9" t="n"/>
      <c r="Y980" s="10">
        <f>IF(OR(N980="",X980=""),"",N980*X980)</f>
        <v/>
      </c>
      <c r="Z980" s="10">
        <f>IF(OR(Q980="",Y980=""),"",Q980-Y980)</f>
        <v/>
      </c>
      <c r="AA980" s="9" t="n"/>
      <c r="AB980" s="9" t="n"/>
    </row>
    <row r="981" ht="22" customHeight="1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10">
        <f>IF(OR(N981="",P981=""),"",N981*P981)</f>
        <v/>
      </c>
      <c r="R981" s="9" t="n"/>
      <c r="S981" s="9" t="n"/>
      <c r="T981" s="9" t="n"/>
      <c r="U981" s="9">
        <f>IF(Q981="","",IF(W981=0,"已付款PAID",IF(V981&gt;0,"部分核销","未付款N/P")))</f>
        <v/>
      </c>
      <c r="V981" s="10">
        <f>IF(G981="","",SUMIFS(回款核销!$H:$H,回款核销!$C:$C,G981)+SUMIFS(回款核销!$H:$H,回款核销!$B:$B,D981,回款核销!$C:$C,""))</f>
        <v/>
      </c>
      <c r="W981" s="10">
        <f>IF(Q981="","",MAX(0,Q981-V981))</f>
        <v/>
      </c>
      <c r="X981" s="9" t="n"/>
      <c r="Y981" s="10">
        <f>IF(OR(N981="",X981=""),"",N981*X981)</f>
        <v/>
      </c>
      <c r="Z981" s="10">
        <f>IF(OR(Q981="",Y981=""),"",Q981-Y981)</f>
        <v/>
      </c>
      <c r="AA981" s="9" t="n"/>
      <c r="AB981" s="9" t="n"/>
    </row>
    <row r="982" ht="22" customHeight="1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10">
        <f>IF(OR(N982="",P982=""),"",N982*P982)</f>
        <v/>
      </c>
      <c r="R982" s="9" t="n"/>
      <c r="S982" s="9" t="n"/>
      <c r="T982" s="9" t="n"/>
      <c r="U982" s="9">
        <f>IF(Q982="","",IF(W982=0,"已付款PAID",IF(V982&gt;0,"部分核销","未付款N/P")))</f>
        <v/>
      </c>
      <c r="V982" s="10">
        <f>IF(G982="","",SUMIFS(回款核销!$H:$H,回款核销!$C:$C,G982)+SUMIFS(回款核销!$H:$H,回款核销!$B:$B,D982,回款核销!$C:$C,""))</f>
        <v/>
      </c>
      <c r="W982" s="10">
        <f>IF(Q982="","",MAX(0,Q982-V982))</f>
        <v/>
      </c>
      <c r="X982" s="9" t="n"/>
      <c r="Y982" s="10">
        <f>IF(OR(N982="",X982=""),"",N982*X982)</f>
        <v/>
      </c>
      <c r="Z982" s="10">
        <f>IF(OR(Q982="",Y982=""),"",Q982-Y982)</f>
        <v/>
      </c>
      <c r="AA982" s="9" t="n"/>
      <c r="AB982" s="9" t="n"/>
    </row>
    <row r="983" ht="22" customHeight="1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10">
        <f>IF(OR(N983="",P983=""),"",N983*P983)</f>
        <v/>
      </c>
      <c r="R983" s="9" t="n"/>
      <c r="S983" s="9" t="n"/>
      <c r="T983" s="9" t="n"/>
      <c r="U983" s="9">
        <f>IF(Q983="","",IF(W983=0,"已付款PAID",IF(V983&gt;0,"部分核销","未付款N/P")))</f>
        <v/>
      </c>
      <c r="V983" s="10">
        <f>IF(G983="","",SUMIFS(回款核销!$H:$H,回款核销!$C:$C,G983)+SUMIFS(回款核销!$H:$H,回款核销!$B:$B,D983,回款核销!$C:$C,""))</f>
        <v/>
      </c>
      <c r="W983" s="10">
        <f>IF(Q983="","",MAX(0,Q983-V983))</f>
        <v/>
      </c>
      <c r="X983" s="9" t="n"/>
      <c r="Y983" s="10">
        <f>IF(OR(N983="",X983=""),"",N983*X983)</f>
        <v/>
      </c>
      <c r="Z983" s="10">
        <f>IF(OR(Q983="",Y983=""),"",Q983-Y983)</f>
        <v/>
      </c>
      <c r="AA983" s="9" t="n"/>
      <c r="AB983" s="9" t="n"/>
    </row>
    <row r="984" ht="22" customHeight="1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10">
        <f>IF(OR(N984="",P984=""),"",N984*P984)</f>
        <v/>
      </c>
      <c r="R984" s="9" t="n"/>
      <c r="S984" s="9" t="n"/>
      <c r="T984" s="9" t="n"/>
      <c r="U984" s="9">
        <f>IF(Q984="","",IF(W984=0,"已付款PAID",IF(V984&gt;0,"部分核销","未付款N/P")))</f>
        <v/>
      </c>
      <c r="V984" s="10">
        <f>IF(G984="","",SUMIFS(回款核销!$H:$H,回款核销!$C:$C,G984)+SUMIFS(回款核销!$H:$H,回款核销!$B:$B,D984,回款核销!$C:$C,""))</f>
        <v/>
      </c>
      <c r="W984" s="10">
        <f>IF(Q984="","",MAX(0,Q984-V984))</f>
        <v/>
      </c>
      <c r="X984" s="9" t="n"/>
      <c r="Y984" s="10">
        <f>IF(OR(N984="",X984=""),"",N984*X984)</f>
        <v/>
      </c>
      <c r="Z984" s="10">
        <f>IF(OR(Q984="",Y984=""),"",Q984-Y984)</f>
        <v/>
      </c>
      <c r="AA984" s="9" t="n"/>
      <c r="AB984" s="9" t="n"/>
    </row>
    <row r="985" ht="22" customHeight="1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10">
        <f>IF(OR(N985="",P985=""),"",N985*P985)</f>
        <v/>
      </c>
      <c r="R985" s="9" t="n"/>
      <c r="S985" s="9" t="n"/>
      <c r="T985" s="9" t="n"/>
      <c r="U985" s="9">
        <f>IF(Q985="","",IF(W985=0,"已付款PAID",IF(V985&gt;0,"部分核销","未付款N/P")))</f>
        <v/>
      </c>
      <c r="V985" s="10">
        <f>IF(G985="","",SUMIFS(回款核销!$H:$H,回款核销!$C:$C,G985)+SUMIFS(回款核销!$H:$H,回款核销!$B:$B,D985,回款核销!$C:$C,""))</f>
        <v/>
      </c>
      <c r="W985" s="10">
        <f>IF(Q985="","",MAX(0,Q985-V985))</f>
        <v/>
      </c>
      <c r="X985" s="9" t="n"/>
      <c r="Y985" s="10">
        <f>IF(OR(N985="",X985=""),"",N985*X985)</f>
        <v/>
      </c>
      <c r="Z985" s="10">
        <f>IF(OR(Q985="",Y985=""),"",Q985-Y985)</f>
        <v/>
      </c>
      <c r="AA985" s="9" t="n"/>
      <c r="AB985" s="9" t="n"/>
    </row>
    <row r="986" ht="22" customHeight="1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10">
        <f>IF(OR(N986="",P986=""),"",N986*P986)</f>
        <v/>
      </c>
      <c r="R986" s="9" t="n"/>
      <c r="S986" s="9" t="n"/>
      <c r="T986" s="9" t="n"/>
      <c r="U986" s="9">
        <f>IF(Q986="","",IF(W986=0,"已付款PAID",IF(V986&gt;0,"部分核销","未付款N/P")))</f>
        <v/>
      </c>
      <c r="V986" s="10">
        <f>IF(G986="","",SUMIFS(回款核销!$H:$H,回款核销!$C:$C,G986)+SUMIFS(回款核销!$H:$H,回款核销!$B:$B,D986,回款核销!$C:$C,""))</f>
        <v/>
      </c>
      <c r="W986" s="10">
        <f>IF(Q986="","",MAX(0,Q986-V986))</f>
        <v/>
      </c>
      <c r="X986" s="9" t="n"/>
      <c r="Y986" s="10">
        <f>IF(OR(N986="",X986=""),"",N986*X986)</f>
        <v/>
      </c>
      <c r="Z986" s="10">
        <f>IF(OR(Q986="",Y986=""),"",Q986-Y986)</f>
        <v/>
      </c>
      <c r="AA986" s="9" t="n"/>
      <c r="AB986" s="9" t="n"/>
    </row>
    <row r="987" ht="22" customHeight="1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10">
        <f>IF(OR(N987="",P987=""),"",N987*P987)</f>
        <v/>
      </c>
      <c r="R987" s="9" t="n"/>
      <c r="S987" s="9" t="n"/>
      <c r="T987" s="9" t="n"/>
      <c r="U987" s="9">
        <f>IF(Q987="","",IF(W987=0,"已付款PAID",IF(V987&gt;0,"部分核销","未付款N/P")))</f>
        <v/>
      </c>
      <c r="V987" s="10">
        <f>IF(G987="","",SUMIFS(回款核销!$H:$H,回款核销!$C:$C,G987)+SUMIFS(回款核销!$H:$H,回款核销!$B:$B,D987,回款核销!$C:$C,""))</f>
        <v/>
      </c>
      <c r="W987" s="10">
        <f>IF(Q987="","",MAX(0,Q987-V987))</f>
        <v/>
      </c>
      <c r="X987" s="9" t="n"/>
      <c r="Y987" s="10">
        <f>IF(OR(N987="",X987=""),"",N987*X987)</f>
        <v/>
      </c>
      <c r="Z987" s="10">
        <f>IF(OR(Q987="",Y987=""),"",Q987-Y987)</f>
        <v/>
      </c>
      <c r="AA987" s="9" t="n"/>
      <c r="AB987" s="9" t="n"/>
    </row>
    <row r="988" ht="22" customHeight="1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10">
        <f>IF(OR(N988="",P988=""),"",N988*P988)</f>
        <v/>
      </c>
      <c r="R988" s="9" t="n"/>
      <c r="S988" s="9" t="n"/>
      <c r="T988" s="9" t="n"/>
      <c r="U988" s="9">
        <f>IF(Q988="","",IF(W988=0,"已付款PAID",IF(V988&gt;0,"部分核销","未付款N/P")))</f>
        <v/>
      </c>
      <c r="V988" s="10">
        <f>IF(G988="","",SUMIFS(回款核销!$H:$H,回款核销!$C:$C,G988)+SUMIFS(回款核销!$H:$H,回款核销!$B:$B,D988,回款核销!$C:$C,""))</f>
        <v/>
      </c>
      <c r="W988" s="10">
        <f>IF(Q988="","",MAX(0,Q988-V988))</f>
        <v/>
      </c>
      <c r="X988" s="9" t="n"/>
      <c r="Y988" s="10">
        <f>IF(OR(N988="",X988=""),"",N988*X988)</f>
        <v/>
      </c>
      <c r="Z988" s="10">
        <f>IF(OR(Q988="",Y988=""),"",Q988-Y988)</f>
        <v/>
      </c>
      <c r="AA988" s="9" t="n"/>
      <c r="AB988" s="9" t="n"/>
    </row>
    <row r="989" ht="22" customHeight="1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10">
        <f>IF(OR(N989="",P989=""),"",N989*P989)</f>
        <v/>
      </c>
      <c r="R989" s="9" t="n"/>
      <c r="S989" s="9" t="n"/>
      <c r="T989" s="9" t="n"/>
      <c r="U989" s="9">
        <f>IF(Q989="","",IF(W989=0,"已付款PAID",IF(V989&gt;0,"部分核销","未付款N/P")))</f>
        <v/>
      </c>
      <c r="V989" s="10">
        <f>IF(G989="","",SUMIFS(回款核销!$H:$H,回款核销!$C:$C,G989)+SUMIFS(回款核销!$H:$H,回款核销!$B:$B,D989,回款核销!$C:$C,""))</f>
        <v/>
      </c>
      <c r="W989" s="10">
        <f>IF(Q989="","",MAX(0,Q989-V989))</f>
        <v/>
      </c>
      <c r="X989" s="9" t="n"/>
      <c r="Y989" s="10">
        <f>IF(OR(N989="",X989=""),"",N989*X989)</f>
        <v/>
      </c>
      <c r="Z989" s="10">
        <f>IF(OR(Q989="",Y989=""),"",Q989-Y989)</f>
        <v/>
      </c>
      <c r="AA989" s="9" t="n"/>
      <c r="AB989" s="9" t="n"/>
    </row>
    <row r="990" ht="22" customHeight="1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10">
        <f>IF(OR(N990="",P990=""),"",N990*P990)</f>
        <v/>
      </c>
      <c r="R990" s="9" t="n"/>
      <c r="S990" s="9" t="n"/>
      <c r="T990" s="9" t="n"/>
      <c r="U990" s="9">
        <f>IF(Q990="","",IF(W990=0,"已付款PAID",IF(V990&gt;0,"部分核销","未付款N/P")))</f>
        <v/>
      </c>
      <c r="V990" s="10">
        <f>IF(G990="","",SUMIFS(回款核销!$H:$H,回款核销!$C:$C,G990)+SUMIFS(回款核销!$H:$H,回款核销!$B:$B,D990,回款核销!$C:$C,""))</f>
        <v/>
      </c>
      <c r="W990" s="10">
        <f>IF(Q990="","",MAX(0,Q990-V990))</f>
        <v/>
      </c>
      <c r="X990" s="9" t="n"/>
      <c r="Y990" s="10">
        <f>IF(OR(N990="",X990=""),"",N990*X990)</f>
        <v/>
      </c>
      <c r="Z990" s="10">
        <f>IF(OR(Q990="",Y990=""),"",Q990-Y990)</f>
        <v/>
      </c>
      <c r="AA990" s="9" t="n"/>
      <c r="AB990" s="9" t="n"/>
    </row>
    <row r="991" ht="22" customHeight="1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10">
        <f>IF(OR(N991="",P991=""),"",N991*P991)</f>
        <v/>
      </c>
      <c r="R991" s="9" t="n"/>
      <c r="S991" s="9" t="n"/>
      <c r="T991" s="9" t="n"/>
      <c r="U991" s="9">
        <f>IF(Q991="","",IF(W991=0,"已付款PAID",IF(V991&gt;0,"部分核销","未付款N/P")))</f>
        <v/>
      </c>
      <c r="V991" s="10">
        <f>IF(G991="","",SUMIFS(回款核销!$H:$H,回款核销!$C:$C,G991)+SUMIFS(回款核销!$H:$H,回款核销!$B:$B,D991,回款核销!$C:$C,""))</f>
        <v/>
      </c>
      <c r="W991" s="10">
        <f>IF(Q991="","",MAX(0,Q991-V991))</f>
        <v/>
      </c>
      <c r="X991" s="9" t="n"/>
      <c r="Y991" s="10">
        <f>IF(OR(N991="",X991=""),"",N991*X991)</f>
        <v/>
      </c>
      <c r="Z991" s="10">
        <f>IF(OR(Q991="",Y991=""),"",Q991-Y991)</f>
        <v/>
      </c>
      <c r="AA991" s="9" t="n"/>
      <c r="AB991" s="9" t="n"/>
    </row>
    <row r="992" ht="22" customHeight="1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10">
        <f>IF(OR(N992="",P992=""),"",N992*P992)</f>
        <v/>
      </c>
      <c r="R992" s="9" t="n"/>
      <c r="S992" s="9" t="n"/>
      <c r="T992" s="9" t="n"/>
      <c r="U992" s="9">
        <f>IF(Q992="","",IF(W992=0,"已付款PAID",IF(V992&gt;0,"部分核销","未付款N/P")))</f>
        <v/>
      </c>
      <c r="V992" s="10">
        <f>IF(G992="","",SUMIFS(回款核销!$H:$H,回款核销!$C:$C,G992)+SUMIFS(回款核销!$H:$H,回款核销!$B:$B,D992,回款核销!$C:$C,""))</f>
        <v/>
      </c>
      <c r="W992" s="10">
        <f>IF(Q992="","",MAX(0,Q992-V992))</f>
        <v/>
      </c>
      <c r="X992" s="9" t="n"/>
      <c r="Y992" s="10">
        <f>IF(OR(N992="",X992=""),"",N992*X992)</f>
        <v/>
      </c>
      <c r="Z992" s="10">
        <f>IF(OR(Q992="",Y992=""),"",Q992-Y992)</f>
        <v/>
      </c>
      <c r="AA992" s="9" t="n"/>
      <c r="AB992" s="9" t="n"/>
    </row>
    <row r="993" ht="22" customHeight="1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10">
        <f>IF(OR(N993="",P993=""),"",N993*P993)</f>
        <v/>
      </c>
      <c r="R993" s="9" t="n"/>
      <c r="S993" s="9" t="n"/>
      <c r="T993" s="9" t="n"/>
      <c r="U993" s="9">
        <f>IF(Q993="","",IF(W993=0,"已付款PAID",IF(V993&gt;0,"部分核销","未付款N/P")))</f>
        <v/>
      </c>
      <c r="V993" s="10">
        <f>IF(G993="","",SUMIFS(回款核销!$H:$H,回款核销!$C:$C,G993)+SUMIFS(回款核销!$H:$H,回款核销!$B:$B,D993,回款核销!$C:$C,""))</f>
        <v/>
      </c>
      <c r="W993" s="10">
        <f>IF(Q993="","",MAX(0,Q993-V993))</f>
        <v/>
      </c>
      <c r="X993" s="9" t="n"/>
      <c r="Y993" s="10">
        <f>IF(OR(N993="",X993=""),"",N993*X993)</f>
        <v/>
      </c>
      <c r="Z993" s="10">
        <f>IF(OR(Q993="",Y993=""),"",Q993-Y993)</f>
        <v/>
      </c>
      <c r="AA993" s="9" t="n"/>
      <c r="AB993" s="9" t="n"/>
    </row>
    <row r="994" ht="22" customHeight="1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10">
        <f>IF(OR(N994="",P994=""),"",N994*P994)</f>
        <v/>
      </c>
      <c r="R994" s="9" t="n"/>
      <c r="S994" s="9" t="n"/>
      <c r="T994" s="9" t="n"/>
      <c r="U994" s="9">
        <f>IF(Q994="","",IF(W994=0,"已付款PAID",IF(V994&gt;0,"部分核销","未付款N/P")))</f>
        <v/>
      </c>
      <c r="V994" s="10">
        <f>IF(G994="","",SUMIFS(回款核销!$H:$H,回款核销!$C:$C,G994)+SUMIFS(回款核销!$H:$H,回款核销!$B:$B,D994,回款核销!$C:$C,""))</f>
        <v/>
      </c>
      <c r="W994" s="10">
        <f>IF(Q994="","",MAX(0,Q994-V994))</f>
        <v/>
      </c>
      <c r="X994" s="9" t="n"/>
      <c r="Y994" s="10">
        <f>IF(OR(N994="",X994=""),"",N994*X994)</f>
        <v/>
      </c>
      <c r="Z994" s="10">
        <f>IF(OR(Q994="",Y994=""),"",Q994-Y994)</f>
        <v/>
      </c>
      <c r="AA994" s="9" t="n"/>
      <c r="AB994" s="9" t="n"/>
    </row>
    <row r="995" ht="22" customHeight="1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10">
        <f>IF(OR(N995="",P995=""),"",N995*P995)</f>
        <v/>
      </c>
      <c r="R995" s="9" t="n"/>
      <c r="S995" s="9" t="n"/>
      <c r="T995" s="9" t="n"/>
      <c r="U995" s="9">
        <f>IF(Q995="","",IF(W995=0,"已付款PAID",IF(V995&gt;0,"部分核销","未付款N/P")))</f>
        <v/>
      </c>
      <c r="V995" s="10">
        <f>IF(G995="","",SUMIFS(回款核销!$H:$H,回款核销!$C:$C,G995)+SUMIFS(回款核销!$H:$H,回款核销!$B:$B,D995,回款核销!$C:$C,""))</f>
        <v/>
      </c>
      <c r="W995" s="10">
        <f>IF(Q995="","",MAX(0,Q995-V995))</f>
        <v/>
      </c>
      <c r="X995" s="9" t="n"/>
      <c r="Y995" s="10">
        <f>IF(OR(N995="",X995=""),"",N995*X995)</f>
        <v/>
      </c>
      <c r="Z995" s="10">
        <f>IF(OR(Q995="",Y995=""),"",Q995-Y995)</f>
        <v/>
      </c>
      <c r="AA995" s="9" t="n"/>
      <c r="AB995" s="9" t="n"/>
    </row>
    <row r="996" ht="22" customHeight="1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10">
        <f>IF(OR(N996="",P996=""),"",N996*P996)</f>
        <v/>
      </c>
      <c r="R996" s="9" t="n"/>
      <c r="S996" s="9" t="n"/>
      <c r="T996" s="9" t="n"/>
      <c r="U996" s="9">
        <f>IF(Q996="","",IF(W996=0,"已付款PAID",IF(V996&gt;0,"部分核销","未付款N/P")))</f>
        <v/>
      </c>
      <c r="V996" s="10">
        <f>IF(G996="","",SUMIFS(回款核销!$H:$H,回款核销!$C:$C,G996)+SUMIFS(回款核销!$H:$H,回款核销!$B:$B,D996,回款核销!$C:$C,""))</f>
        <v/>
      </c>
      <c r="W996" s="10">
        <f>IF(Q996="","",MAX(0,Q996-V996))</f>
        <v/>
      </c>
      <c r="X996" s="9" t="n"/>
      <c r="Y996" s="10">
        <f>IF(OR(N996="",X996=""),"",N996*X996)</f>
        <v/>
      </c>
      <c r="Z996" s="10">
        <f>IF(OR(Q996="",Y996=""),"",Q996-Y996)</f>
        <v/>
      </c>
      <c r="AA996" s="9" t="n"/>
      <c r="AB996" s="9" t="n"/>
    </row>
    <row r="997" ht="22" customHeight="1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10">
        <f>IF(OR(N997="",P997=""),"",N997*P997)</f>
        <v/>
      </c>
      <c r="R997" s="9" t="n"/>
      <c r="S997" s="9" t="n"/>
      <c r="T997" s="9" t="n"/>
      <c r="U997" s="9">
        <f>IF(Q997="","",IF(W997=0,"已付款PAID",IF(V997&gt;0,"部分核销","未付款N/P")))</f>
        <v/>
      </c>
      <c r="V997" s="10">
        <f>IF(G997="","",SUMIFS(回款核销!$H:$H,回款核销!$C:$C,G997)+SUMIFS(回款核销!$H:$H,回款核销!$B:$B,D997,回款核销!$C:$C,""))</f>
        <v/>
      </c>
      <c r="W997" s="10">
        <f>IF(Q997="","",MAX(0,Q997-V997))</f>
        <v/>
      </c>
      <c r="X997" s="9" t="n"/>
      <c r="Y997" s="10">
        <f>IF(OR(N997="",X997=""),"",N997*X997)</f>
        <v/>
      </c>
      <c r="Z997" s="10">
        <f>IF(OR(Q997="",Y997=""),"",Q997-Y997)</f>
        <v/>
      </c>
      <c r="AA997" s="9" t="n"/>
      <c r="AB997" s="9" t="n"/>
    </row>
    <row r="998" ht="22" customHeight="1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10">
        <f>IF(OR(N998="",P998=""),"",N998*P998)</f>
        <v/>
      </c>
      <c r="R998" s="9" t="n"/>
      <c r="S998" s="9" t="n"/>
      <c r="T998" s="9" t="n"/>
      <c r="U998" s="9">
        <f>IF(Q998="","",IF(W998=0,"已付款PAID",IF(V998&gt;0,"部分核销","未付款N/P")))</f>
        <v/>
      </c>
      <c r="V998" s="10">
        <f>IF(G998="","",SUMIFS(回款核销!$H:$H,回款核销!$C:$C,G998)+SUMIFS(回款核销!$H:$H,回款核销!$B:$B,D998,回款核销!$C:$C,""))</f>
        <v/>
      </c>
      <c r="W998" s="10">
        <f>IF(Q998="","",MAX(0,Q998-V998))</f>
        <v/>
      </c>
      <c r="X998" s="9" t="n"/>
      <c r="Y998" s="10">
        <f>IF(OR(N998="",X998=""),"",N998*X998)</f>
        <v/>
      </c>
      <c r="Z998" s="10">
        <f>IF(OR(Q998="",Y998=""),"",Q998-Y998)</f>
        <v/>
      </c>
      <c r="AA998" s="9" t="n"/>
      <c r="AB998" s="9" t="n"/>
    </row>
    <row r="999" ht="22" customHeight="1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10">
        <f>IF(OR(N999="",P999=""),"",N999*P999)</f>
        <v/>
      </c>
      <c r="R999" s="9" t="n"/>
      <c r="S999" s="9" t="n"/>
      <c r="T999" s="9" t="n"/>
      <c r="U999" s="9">
        <f>IF(Q999="","",IF(W999=0,"已付款PAID",IF(V999&gt;0,"部分核销","未付款N/P")))</f>
        <v/>
      </c>
      <c r="V999" s="10">
        <f>IF(G999="","",SUMIFS(回款核销!$H:$H,回款核销!$C:$C,G999)+SUMIFS(回款核销!$H:$H,回款核销!$B:$B,D999,回款核销!$C:$C,""))</f>
        <v/>
      </c>
      <c r="W999" s="10">
        <f>IF(Q999="","",MAX(0,Q999-V999))</f>
        <v/>
      </c>
      <c r="X999" s="9" t="n"/>
      <c r="Y999" s="10">
        <f>IF(OR(N999="",X999=""),"",N999*X999)</f>
        <v/>
      </c>
      <c r="Z999" s="10">
        <f>IF(OR(Q999="",Y999=""),"",Q999-Y999)</f>
        <v/>
      </c>
      <c r="AA999" s="9" t="n"/>
      <c r="AB999" s="9" t="n"/>
    </row>
    <row r="1000" ht="22" customHeight="1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10">
        <f>IF(OR(N1000="",P1000=""),"",N1000*P1000)</f>
        <v/>
      </c>
      <c r="R1000" s="9" t="n"/>
      <c r="S1000" s="9" t="n"/>
      <c r="T1000" s="9" t="n"/>
      <c r="U1000" s="9">
        <f>IF(Q1000="","",IF(W1000=0,"已付款PAID",IF(V1000&gt;0,"部分核销","未付款N/P")))</f>
        <v/>
      </c>
      <c r="V1000" s="10">
        <f>IF(G1000="","",SUMIFS(回款核销!$H:$H,回款核销!$C:$C,G1000)+SUMIFS(回款核销!$H:$H,回款核销!$B:$B,D1000,回款核销!$C:$C,""))</f>
        <v/>
      </c>
      <c r="W1000" s="10">
        <f>IF(Q1000="","",MAX(0,Q1000-V1000))</f>
        <v/>
      </c>
      <c r="X1000" s="9" t="n"/>
      <c r="Y1000" s="10">
        <f>IF(OR(N1000="",X1000=""),"",N1000*X1000)</f>
        <v/>
      </c>
      <c r="Z1000" s="10">
        <f>IF(OR(Q1000="",Y1000=""),"",Q1000-Y1000)</f>
        <v/>
      </c>
      <c r="AA1000" s="9" t="n"/>
      <c r="AB1000" s="9" t="n"/>
    </row>
    <row r="1001" ht="22" customHeight="1">
      <c r="A1001" s="9" t="n"/>
      <c r="B1001" s="9" t="n"/>
      <c r="C1001" s="9" t="n"/>
      <c r="D1001" s="9" t="n"/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10">
        <f>IF(OR(N1001="",P1001=""),"",N1001*P1001)</f>
        <v/>
      </c>
      <c r="R1001" s="9" t="n"/>
      <c r="S1001" s="9" t="n"/>
      <c r="T1001" s="9" t="n"/>
      <c r="U1001" s="9">
        <f>IF(Q1001="","",IF(W1001=0,"已付款PAID",IF(V1001&gt;0,"部分核销","未付款N/P")))</f>
        <v/>
      </c>
      <c r="V1001" s="10">
        <f>IF(G1001="","",SUMIFS(回款核销!$H:$H,回款核销!$C:$C,G1001)+SUMIFS(回款核销!$H:$H,回款核销!$B:$B,D1001,回款核销!$C:$C,""))</f>
        <v/>
      </c>
      <c r="W1001" s="10">
        <f>IF(Q1001="","",MAX(0,Q1001-V1001))</f>
        <v/>
      </c>
      <c r="X1001" s="9" t="n"/>
      <c r="Y1001" s="10">
        <f>IF(OR(N1001="",X1001=""),"",N1001*X1001)</f>
        <v/>
      </c>
      <c r="Z1001" s="10">
        <f>IF(OR(Q1001="",Y1001=""),"",Q1001-Y1001)</f>
        <v/>
      </c>
      <c r="AA1001" s="9" t="n"/>
      <c r="AB1001" s="9" t="n"/>
    </row>
    <row r="1002" ht="22" customHeight="1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10">
        <f>IF(OR(N1002="",P1002=""),"",N1002*P1002)</f>
        <v/>
      </c>
      <c r="R1002" s="9" t="n"/>
      <c r="S1002" s="9" t="n"/>
      <c r="T1002" s="9" t="n"/>
      <c r="U1002" s="9">
        <f>IF(Q1002="","",IF(W1002=0,"已付款PAID",IF(V1002&gt;0,"部分核销","未付款N/P")))</f>
        <v/>
      </c>
      <c r="V1002" s="10">
        <f>IF(G1002="","",SUMIFS(回款核销!$H:$H,回款核销!$C:$C,G1002)+SUMIFS(回款核销!$H:$H,回款核销!$B:$B,D1002,回款核销!$C:$C,""))</f>
        <v/>
      </c>
      <c r="W1002" s="10">
        <f>IF(Q1002="","",MAX(0,Q1002-V1002))</f>
        <v/>
      </c>
      <c r="X1002" s="9" t="n"/>
      <c r="Y1002" s="10">
        <f>IF(OR(N1002="",X1002=""),"",N1002*X1002)</f>
        <v/>
      </c>
      <c r="Z1002" s="10">
        <f>IF(OR(Q1002="",Y1002=""),"",Q1002-Y1002)</f>
        <v/>
      </c>
      <c r="AA1002" s="9" t="n"/>
      <c r="AB1002" s="9" t="n"/>
    </row>
  </sheetData>
  <autoFilter ref="A2:AB1002"/>
  <conditionalFormatting sqref="W3:W1002">
    <cfRule type="cellIs" priority="1" operator="greaterThan" dxfId="0">
      <formula>0</formula>
    </cfRule>
  </conditionalFormatting>
  <conditionalFormatting sqref="U3:U1002">
    <cfRule type="expression" priority="2" dxfId="1">
      <formula>$U3="已付款PAID"</formula>
    </cfRule>
  </conditionalFormatting>
  <dataValidations count="12">
    <dataValidation sqref="B3:B1002" showDropDown="0" showInputMessage="0" showErrorMessage="0" allowBlank="1" type="list">
      <formula1>=基础数据!$L$2:$L$5</formula1>
    </dataValidation>
    <dataValidation sqref="C3:C1002" showDropDown="0" showInputMessage="0" showErrorMessage="0" allowBlank="1" type="list">
      <formula1>=基础数据!$A$2:$A$16</formula1>
    </dataValidation>
    <dataValidation sqref="D3:D1002" showDropDown="0" showInputMessage="0" showErrorMessage="0" allowBlank="1" type="list">
      <formula1>=基础数据!$B$2:$B$164</formula1>
    </dataValidation>
    <dataValidation sqref="E3:E1002" showDropDown="0" showInputMessage="0" showErrorMessage="0" allowBlank="1" type="list">
      <formula1>=基础数据!$C$2:$C$1110</formula1>
    </dataValidation>
    <dataValidation sqref="H3:H1002" showDropDown="0" showInputMessage="0" showErrorMessage="0" allowBlank="1" type="list">
      <formula1>=基础数据!$D$2:$D$8</formula1>
    </dataValidation>
    <dataValidation sqref="I3:I1002" showDropDown="0" showInputMessage="0" showErrorMessage="0" allowBlank="1" type="list">
      <formula1>=基础数据!$E$2:$E$11</formula1>
    </dataValidation>
    <dataValidation sqref="J3:J1002" showDropDown="0" showInputMessage="0" showErrorMessage="0" allowBlank="1" type="list">
      <formula1>=基础数据!$H$2:$H$12</formula1>
    </dataValidation>
    <dataValidation sqref="O3:O1002" showDropDown="0" showInputMessage="0" showErrorMessage="0" allowBlank="1" type="list">
      <formula1>=基础数据!$K$2:$K$5</formula1>
    </dataValidation>
    <dataValidation sqref="R3:R1002" showDropDown="0" showInputMessage="0" showErrorMessage="0" allowBlank="1" type="list">
      <formula1>=基础数据!$F$2:$F$7</formula1>
    </dataValidation>
    <dataValidation sqref="S3:S1002" showDropDown="0" showInputMessage="0" showErrorMessage="0" allowBlank="1" type="list">
      <formula1>=基础数据!$G$2:$G$20</formula1>
    </dataValidation>
    <dataValidation sqref="U3:U1002" showDropDown="0" showInputMessage="0" showErrorMessage="0" allowBlank="1" type="list">
      <formula1>=基础数据!$I$2:$I$5</formula1>
    </dataValidation>
    <dataValidation sqref="AA3:AA1002" showDropDown="0" showInputMessage="0" showErrorMessage="0" allowBlank="1" type="list">
      <formula1>=基础数据!$J$2:$J$5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0" customWidth="1" min="5" max="5"/>
    <col width="12" customWidth="1" min="6" max="6"/>
    <col width="8" customWidth="1" min="7" max="7"/>
    <col width="14" customWidth="1" min="8" max="8"/>
    <col width="12" customWidth="1" min="9" max="9"/>
    <col width="24" customWidth="1" min="10" max="10"/>
  </cols>
  <sheetData>
    <row r="1" ht="22" customHeight="1">
      <c r="A1" s="1" t="inlineStr">
        <is>
          <t>回款核销登记</t>
        </is>
      </c>
    </row>
    <row r="2" ht="36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</row>
    <row r="3" ht="22" customHeight="1">
      <c r="A3" s="9" t="inlineStr">
        <is>
          <t>回款日期</t>
        </is>
      </c>
      <c r="B3" s="9" t="inlineStr">
        <is>
          <t>客户单位</t>
        </is>
      </c>
      <c r="C3" s="9" t="inlineStr">
        <is>
          <t>运单号</t>
        </is>
      </c>
      <c r="D3" s="9" t="inlineStr">
        <is>
          <t>收款账户</t>
        </is>
      </c>
      <c r="E3" s="9" t="inlineStr">
        <is>
          <t>收款币种</t>
        </is>
      </c>
      <c r="F3" s="10" t="inlineStr">
        <is>
          <t>回款金额</t>
        </is>
      </c>
      <c r="G3" s="10" t="inlineStr">
        <is>
          <t>汇率</t>
        </is>
      </c>
      <c r="H3" s="10">
        <f>IF(F3="","",F3*IF(G3="",1,G3))</f>
        <v/>
      </c>
      <c r="I3" s="9" t="inlineStr">
        <is>
          <t>核销方式</t>
        </is>
      </c>
      <c r="J3" s="9" t="inlineStr">
        <is>
          <t>备注</t>
        </is>
      </c>
    </row>
    <row r="4" ht="22" customHeight="1">
      <c r="A4" s="9" t="n"/>
      <c r="B4" s="9" t="n"/>
      <c r="C4" s="9" t="n"/>
      <c r="D4" s="9" t="n"/>
      <c r="E4" s="9" t="n"/>
      <c r="F4" s="10" t="n"/>
      <c r="G4" s="10" t="n"/>
      <c r="H4" s="10">
        <f>IF(F4="","",F4*IF(G4="",1,G4))</f>
        <v/>
      </c>
      <c r="I4" s="9" t="n"/>
      <c r="J4" s="9" t="n"/>
    </row>
    <row r="5" ht="22" customHeight="1">
      <c r="A5" s="9" t="n"/>
      <c r="B5" s="9" t="n"/>
      <c r="C5" s="9" t="n"/>
      <c r="D5" s="9" t="n"/>
      <c r="E5" s="9" t="n"/>
      <c r="F5" s="10" t="n"/>
      <c r="G5" s="10" t="n"/>
      <c r="H5" s="10">
        <f>IF(F5="","",F5*IF(G5="",1,G5))</f>
        <v/>
      </c>
      <c r="I5" s="9" t="n"/>
      <c r="J5" s="9" t="n"/>
    </row>
    <row r="6" ht="22" customHeight="1">
      <c r="A6" s="9" t="n"/>
      <c r="B6" s="9" t="n"/>
      <c r="C6" s="9" t="n"/>
      <c r="D6" s="9" t="n"/>
      <c r="E6" s="9" t="n"/>
      <c r="F6" s="10" t="n"/>
      <c r="G6" s="10" t="n"/>
      <c r="H6" s="10">
        <f>IF(F6="","",F6*IF(G6="",1,G6))</f>
        <v/>
      </c>
      <c r="I6" s="9" t="n"/>
      <c r="J6" s="9" t="n"/>
    </row>
    <row r="7" ht="22" customHeight="1">
      <c r="A7" s="9" t="n"/>
      <c r="B7" s="9" t="n"/>
      <c r="C7" s="9" t="n"/>
      <c r="D7" s="9" t="n"/>
      <c r="E7" s="9" t="n"/>
      <c r="F7" s="10" t="n"/>
      <c r="G7" s="10" t="n"/>
      <c r="H7" s="10">
        <f>IF(F7="","",F7*IF(G7="",1,G7))</f>
        <v/>
      </c>
      <c r="I7" s="9" t="n"/>
      <c r="J7" s="9" t="n"/>
    </row>
    <row r="8" ht="22" customHeight="1">
      <c r="A8" s="9" t="n"/>
      <c r="B8" s="9" t="n"/>
      <c r="C8" s="9" t="n"/>
      <c r="D8" s="9" t="n"/>
      <c r="E8" s="9" t="n"/>
      <c r="F8" s="10" t="n"/>
      <c r="G8" s="10" t="n"/>
      <c r="H8" s="10">
        <f>IF(F8="","",F8*IF(G8="",1,G8))</f>
        <v/>
      </c>
      <c r="I8" s="9" t="n"/>
      <c r="J8" s="9" t="n"/>
    </row>
    <row r="9" ht="22" customHeight="1">
      <c r="A9" s="9" t="n"/>
      <c r="B9" s="9" t="n"/>
      <c r="C9" s="9" t="n"/>
      <c r="D9" s="9" t="n"/>
      <c r="E9" s="9" t="n"/>
      <c r="F9" s="10" t="n"/>
      <c r="G9" s="10" t="n"/>
      <c r="H9" s="10">
        <f>IF(F9="","",F9*IF(G9="",1,G9))</f>
        <v/>
      </c>
      <c r="I9" s="9" t="n"/>
      <c r="J9" s="9" t="n"/>
    </row>
    <row r="10" ht="22" customHeight="1">
      <c r="A10" s="9" t="n"/>
      <c r="B10" s="9" t="n"/>
      <c r="C10" s="9" t="n"/>
      <c r="D10" s="9" t="n"/>
      <c r="E10" s="9" t="n"/>
      <c r="F10" s="10" t="n"/>
      <c r="G10" s="10" t="n"/>
      <c r="H10" s="10">
        <f>IF(F10="","",F10*IF(G10="",1,G10))</f>
        <v/>
      </c>
      <c r="I10" s="9" t="n"/>
      <c r="J10" s="9" t="n"/>
    </row>
    <row r="11" ht="22" customHeight="1">
      <c r="A11" s="9" t="n"/>
      <c r="B11" s="9" t="n"/>
      <c r="C11" s="9" t="n"/>
      <c r="D11" s="9" t="n"/>
      <c r="E11" s="9" t="n"/>
      <c r="F11" s="10" t="n"/>
      <c r="G11" s="10" t="n"/>
      <c r="H11" s="10">
        <f>IF(F11="","",F11*IF(G11="",1,G11))</f>
        <v/>
      </c>
      <c r="I11" s="9" t="n"/>
      <c r="J11" s="9" t="n"/>
    </row>
    <row r="12" ht="22" customHeight="1">
      <c r="A12" s="9" t="n"/>
      <c r="B12" s="9" t="n"/>
      <c r="C12" s="9" t="n"/>
      <c r="D12" s="9" t="n"/>
      <c r="E12" s="9" t="n"/>
      <c r="F12" s="10" t="n"/>
      <c r="G12" s="10" t="n"/>
      <c r="H12" s="10">
        <f>IF(F12="","",F12*IF(G12="",1,G12))</f>
        <v/>
      </c>
      <c r="I12" s="9" t="n"/>
      <c r="J12" s="9" t="n"/>
    </row>
    <row r="13" ht="22" customHeight="1">
      <c r="A13" s="9" t="n"/>
      <c r="B13" s="9" t="n"/>
      <c r="C13" s="9" t="n"/>
      <c r="D13" s="9" t="n"/>
      <c r="E13" s="9" t="n"/>
      <c r="F13" s="10" t="n"/>
      <c r="G13" s="10" t="n"/>
      <c r="H13" s="10">
        <f>IF(F13="","",F13*IF(G13="",1,G13))</f>
        <v/>
      </c>
      <c r="I13" s="9" t="n"/>
      <c r="J13" s="9" t="n"/>
    </row>
    <row r="14" ht="22" customHeight="1">
      <c r="A14" s="9" t="n"/>
      <c r="B14" s="9" t="n"/>
      <c r="C14" s="9" t="n"/>
      <c r="D14" s="9" t="n"/>
      <c r="E14" s="9" t="n"/>
      <c r="F14" s="10" t="n"/>
      <c r="G14" s="10" t="n"/>
      <c r="H14" s="10">
        <f>IF(F14="","",F14*IF(G14="",1,G14))</f>
        <v/>
      </c>
      <c r="I14" s="9" t="n"/>
      <c r="J14" s="9" t="n"/>
    </row>
    <row r="15" ht="22" customHeight="1">
      <c r="A15" s="9" t="n"/>
      <c r="B15" s="9" t="n"/>
      <c r="C15" s="9" t="n"/>
      <c r="D15" s="9" t="n"/>
      <c r="E15" s="9" t="n"/>
      <c r="F15" s="10" t="n"/>
      <c r="G15" s="10" t="n"/>
      <c r="H15" s="10">
        <f>IF(F15="","",F15*IF(G15="",1,G15))</f>
        <v/>
      </c>
      <c r="I15" s="9" t="n"/>
      <c r="J15" s="9" t="n"/>
    </row>
    <row r="16" ht="22" customHeight="1">
      <c r="A16" s="9" t="n"/>
      <c r="B16" s="9" t="n"/>
      <c r="C16" s="9" t="n"/>
      <c r="D16" s="9" t="n"/>
      <c r="E16" s="9" t="n"/>
      <c r="F16" s="10" t="n"/>
      <c r="G16" s="10" t="n"/>
      <c r="H16" s="10">
        <f>IF(F16="","",F16*IF(G16="",1,G16))</f>
        <v/>
      </c>
      <c r="I16" s="9" t="n"/>
      <c r="J16" s="9" t="n"/>
    </row>
    <row r="17" ht="22" customHeight="1">
      <c r="A17" s="9" t="n"/>
      <c r="B17" s="9" t="n"/>
      <c r="C17" s="9" t="n"/>
      <c r="D17" s="9" t="n"/>
      <c r="E17" s="9" t="n"/>
      <c r="F17" s="10" t="n"/>
      <c r="G17" s="10" t="n"/>
      <c r="H17" s="10">
        <f>IF(F17="","",F17*IF(G17="",1,G17))</f>
        <v/>
      </c>
      <c r="I17" s="9" t="n"/>
      <c r="J17" s="9" t="n"/>
    </row>
    <row r="18" ht="22" customHeight="1">
      <c r="A18" s="9" t="n"/>
      <c r="B18" s="9" t="n"/>
      <c r="C18" s="9" t="n"/>
      <c r="D18" s="9" t="n"/>
      <c r="E18" s="9" t="n"/>
      <c r="F18" s="10" t="n"/>
      <c r="G18" s="10" t="n"/>
      <c r="H18" s="10">
        <f>IF(F18="","",F18*IF(G18="",1,G18))</f>
        <v/>
      </c>
      <c r="I18" s="9" t="n"/>
      <c r="J18" s="9" t="n"/>
    </row>
    <row r="19" ht="22" customHeight="1">
      <c r="A19" s="9" t="n"/>
      <c r="B19" s="9" t="n"/>
      <c r="C19" s="9" t="n"/>
      <c r="D19" s="9" t="n"/>
      <c r="E19" s="9" t="n"/>
      <c r="F19" s="10" t="n"/>
      <c r="G19" s="10" t="n"/>
      <c r="H19" s="10">
        <f>IF(F19="","",F19*IF(G19="",1,G19))</f>
        <v/>
      </c>
      <c r="I19" s="9" t="n"/>
      <c r="J19" s="9" t="n"/>
    </row>
    <row r="20" ht="22" customHeight="1">
      <c r="A20" s="9" t="n"/>
      <c r="B20" s="9" t="n"/>
      <c r="C20" s="9" t="n"/>
      <c r="D20" s="9" t="n"/>
      <c r="E20" s="9" t="n"/>
      <c r="F20" s="10" t="n"/>
      <c r="G20" s="10" t="n"/>
      <c r="H20" s="10">
        <f>IF(F20="","",F20*IF(G20="",1,G20))</f>
        <v/>
      </c>
      <c r="I20" s="9" t="n"/>
      <c r="J20" s="9" t="n"/>
    </row>
    <row r="21" ht="22" customHeight="1">
      <c r="A21" s="9" t="n"/>
      <c r="B21" s="9" t="n"/>
      <c r="C21" s="9" t="n"/>
      <c r="D21" s="9" t="n"/>
      <c r="E21" s="9" t="n"/>
      <c r="F21" s="10" t="n"/>
      <c r="G21" s="10" t="n"/>
      <c r="H21" s="10">
        <f>IF(F21="","",F21*IF(G21="",1,G21))</f>
        <v/>
      </c>
      <c r="I21" s="9" t="n"/>
      <c r="J21" s="9" t="n"/>
    </row>
    <row r="22" ht="22" customHeight="1">
      <c r="A22" s="9" t="n"/>
      <c r="B22" s="9" t="n"/>
      <c r="C22" s="9" t="n"/>
      <c r="D22" s="9" t="n"/>
      <c r="E22" s="9" t="n"/>
      <c r="F22" s="10" t="n"/>
      <c r="G22" s="10" t="n"/>
      <c r="H22" s="10">
        <f>IF(F22="","",F22*IF(G22="",1,G22))</f>
        <v/>
      </c>
      <c r="I22" s="9" t="n"/>
      <c r="J22" s="9" t="n"/>
    </row>
    <row r="23" ht="22" customHeight="1">
      <c r="A23" s="9" t="n"/>
      <c r="B23" s="9" t="n"/>
      <c r="C23" s="9" t="n"/>
      <c r="D23" s="9" t="n"/>
      <c r="E23" s="9" t="n"/>
      <c r="F23" s="10" t="n"/>
      <c r="G23" s="10" t="n"/>
      <c r="H23" s="10">
        <f>IF(F23="","",F23*IF(G23="",1,G23))</f>
        <v/>
      </c>
      <c r="I23" s="9" t="n"/>
      <c r="J23" s="9" t="n"/>
    </row>
    <row r="24" ht="22" customHeight="1">
      <c r="A24" s="9" t="n"/>
      <c r="B24" s="9" t="n"/>
      <c r="C24" s="9" t="n"/>
      <c r="D24" s="9" t="n"/>
      <c r="E24" s="9" t="n"/>
      <c r="F24" s="10" t="n"/>
      <c r="G24" s="10" t="n"/>
      <c r="H24" s="10">
        <f>IF(F24="","",F24*IF(G24="",1,G24))</f>
        <v/>
      </c>
      <c r="I24" s="9" t="n"/>
      <c r="J24" s="9" t="n"/>
    </row>
    <row r="25" ht="22" customHeight="1">
      <c r="A25" s="9" t="n"/>
      <c r="B25" s="9" t="n"/>
      <c r="C25" s="9" t="n"/>
      <c r="D25" s="9" t="n"/>
      <c r="E25" s="9" t="n"/>
      <c r="F25" s="10" t="n"/>
      <c r="G25" s="10" t="n"/>
      <c r="H25" s="10">
        <f>IF(F25="","",F25*IF(G25="",1,G25))</f>
        <v/>
      </c>
      <c r="I25" s="9" t="n"/>
      <c r="J25" s="9" t="n"/>
    </row>
    <row r="26" ht="22" customHeight="1">
      <c r="A26" s="9" t="n"/>
      <c r="B26" s="9" t="n"/>
      <c r="C26" s="9" t="n"/>
      <c r="D26" s="9" t="n"/>
      <c r="E26" s="9" t="n"/>
      <c r="F26" s="10" t="n"/>
      <c r="G26" s="10" t="n"/>
      <c r="H26" s="10">
        <f>IF(F26="","",F26*IF(G26="",1,G26))</f>
        <v/>
      </c>
      <c r="I26" s="9" t="n"/>
      <c r="J26" s="9" t="n"/>
    </row>
    <row r="27" ht="22" customHeight="1">
      <c r="A27" s="9" t="n"/>
      <c r="B27" s="9" t="n"/>
      <c r="C27" s="9" t="n"/>
      <c r="D27" s="9" t="n"/>
      <c r="E27" s="9" t="n"/>
      <c r="F27" s="10" t="n"/>
      <c r="G27" s="10" t="n"/>
      <c r="H27" s="10">
        <f>IF(F27="","",F27*IF(G27="",1,G27))</f>
        <v/>
      </c>
      <c r="I27" s="9" t="n"/>
      <c r="J27" s="9" t="n"/>
    </row>
    <row r="28" ht="22" customHeight="1">
      <c r="A28" s="9" t="n"/>
      <c r="B28" s="9" t="n"/>
      <c r="C28" s="9" t="n"/>
      <c r="D28" s="9" t="n"/>
      <c r="E28" s="9" t="n"/>
      <c r="F28" s="10" t="n"/>
      <c r="G28" s="10" t="n"/>
      <c r="H28" s="10">
        <f>IF(F28="","",F28*IF(G28="",1,G28))</f>
        <v/>
      </c>
      <c r="I28" s="9" t="n"/>
      <c r="J28" s="9" t="n"/>
    </row>
    <row r="29" ht="22" customHeight="1">
      <c r="A29" s="9" t="n"/>
      <c r="B29" s="9" t="n"/>
      <c r="C29" s="9" t="n"/>
      <c r="D29" s="9" t="n"/>
      <c r="E29" s="9" t="n"/>
      <c r="F29" s="10" t="n"/>
      <c r="G29" s="10" t="n"/>
      <c r="H29" s="10">
        <f>IF(F29="","",F29*IF(G29="",1,G29))</f>
        <v/>
      </c>
      <c r="I29" s="9" t="n"/>
      <c r="J29" s="9" t="n"/>
    </row>
    <row r="30" ht="22" customHeight="1">
      <c r="A30" s="9" t="n"/>
      <c r="B30" s="9" t="n"/>
      <c r="C30" s="9" t="n"/>
      <c r="D30" s="9" t="n"/>
      <c r="E30" s="9" t="n"/>
      <c r="F30" s="10" t="n"/>
      <c r="G30" s="10" t="n"/>
      <c r="H30" s="10">
        <f>IF(F30="","",F30*IF(G30="",1,G30))</f>
        <v/>
      </c>
      <c r="I30" s="9" t="n"/>
      <c r="J30" s="9" t="n"/>
    </row>
    <row r="31" ht="22" customHeight="1">
      <c r="A31" s="9" t="n"/>
      <c r="B31" s="9" t="n"/>
      <c r="C31" s="9" t="n"/>
      <c r="D31" s="9" t="n"/>
      <c r="E31" s="9" t="n"/>
      <c r="F31" s="10" t="n"/>
      <c r="G31" s="10" t="n"/>
      <c r="H31" s="10">
        <f>IF(F31="","",F31*IF(G31="",1,G31))</f>
        <v/>
      </c>
      <c r="I31" s="9" t="n"/>
      <c r="J31" s="9" t="n"/>
    </row>
    <row r="32" ht="22" customHeight="1">
      <c r="A32" s="9" t="n"/>
      <c r="B32" s="9" t="n"/>
      <c r="C32" s="9" t="n"/>
      <c r="D32" s="9" t="n"/>
      <c r="E32" s="9" t="n"/>
      <c r="F32" s="10" t="n"/>
      <c r="G32" s="10" t="n"/>
      <c r="H32" s="10">
        <f>IF(F32="","",F32*IF(G32="",1,G32))</f>
        <v/>
      </c>
      <c r="I32" s="9" t="n"/>
      <c r="J32" s="9" t="n"/>
    </row>
    <row r="33" ht="22" customHeight="1">
      <c r="A33" s="9" t="n"/>
      <c r="B33" s="9" t="n"/>
      <c r="C33" s="9" t="n"/>
      <c r="D33" s="9" t="n"/>
      <c r="E33" s="9" t="n"/>
      <c r="F33" s="10" t="n"/>
      <c r="G33" s="10" t="n"/>
      <c r="H33" s="10">
        <f>IF(F33="","",F33*IF(G33="",1,G33))</f>
        <v/>
      </c>
      <c r="I33" s="9" t="n"/>
      <c r="J33" s="9" t="n"/>
    </row>
    <row r="34" ht="22" customHeight="1">
      <c r="A34" s="9" t="n"/>
      <c r="B34" s="9" t="n"/>
      <c r="C34" s="9" t="n"/>
      <c r="D34" s="9" t="n"/>
      <c r="E34" s="9" t="n"/>
      <c r="F34" s="10" t="n"/>
      <c r="G34" s="10" t="n"/>
      <c r="H34" s="10">
        <f>IF(F34="","",F34*IF(G34="",1,G34))</f>
        <v/>
      </c>
      <c r="I34" s="9" t="n"/>
      <c r="J34" s="9" t="n"/>
    </row>
    <row r="35" ht="22" customHeight="1">
      <c r="A35" s="9" t="n"/>
      <c r="B35" s="9" t="n"/>
      <c r="C35" s="9" t="n"/>
      <c r="D35" s="9" t="n"/>
      <c r="E35" s="9" t="n"/>
      <c r="F35" s="10" t="n"/>
      <c r="G35" s="10" t="n"/>
      <c r="H35" s="10">
        <f>IF(F35="","",F35*IF(G35="",1,G35))</f>
        <v/>
      </c>
      <c r="I35" s="9" t="n"/>
      <c r="J35" s="9" t="n"/>
    </row>
    <row r="36" ht="22" customHeight="1">
      <c r="A36" s="9" t="n"/>
      <c r="B36" s="9" t="n"/>
      <c r="C36" s="9" t="n"/>
      <c r="D36" s="9" t="n"/>
      <c r="E36" s="9" t="n"/>
      <c r="F36" s="10" t="n"/>
      <c r="G36" s="10" t="n"/>
      <c r="H36" s="10">
        <f>IF(F36="","",F36*IF(G36="",1,G36))</f>
        <v/>
      </c>
      <c r="I36" s="9" t="n"/>
      <c r="J36" s="9" t="n"/>
    </row>
    <row r="37" ht="22" customHeight="1">
      <c r="A37" s="9" t="n"/>
      <c r="B37" s="9" t="n"/>
      <c r="C37" s="9" t="n"/>
      <c r="D37" s="9" t="n"/>
      <c r="E37" s="9" t="n"/>
      <c r="F37" s="10" t="n"/>
      <c r="G37" s="10" t="n"/>
      <c r="H37" s="10">
        <f>IF(F37="","",F37*IF(G37="",1,G37))</f>
        <v/>
      </c>
      <c r="I37" s="9" t="n"/>
      <c r="J37" s="9" t="n"/>
    </row>
    <row r="38" ht="22" customHeight="1">
      <c r="A38" s="9" t="n"/>
      <c r="B38" s="9" t="n"/>
      <c r="C38" s="9" t="n"/>
      <c r="D38" s="9" t="n"/>
      <c r="E38" s="9" t="n"/>
      <c r="F38" s="10" t="n"/>
      <c r="G38" s="10" t="n"/>
      <c r="H38" s="10">
        <f>IF(F38="","",F38*IF(G38="",1,G38))</f>
        <v/>
      </c>
      <c r="I38" s="9" t="n"/>
      <c r="J38" s="9" t="n"/>
    </row>
    <row r="39" ht="22" customHeight="1">
      <c r="A39" s="9" t="n"/>
      <c r="B39" s="9" t="n"/>
      <c r="C39" s="9" t="n"/>
      <c r="D39" s="9" t="n"/>
      <c r="E39" s="9" t="n"/>
      <c r="F39" s="10" t="n"/>
      <c r="G39" s="10" t="n"/>
      <c r="H39" s="10">
        <f>IF(F39="","",F39*IF(G39="",1,G39))</f>
        <v/>
      </c>
      <c r="I39" s="9" t="n"/>
      <c r="J39" s="9" t="n"/>
    </row>
    <row r="40" ht="22" customHeight="1">
      <c r="A40" s="9" t="n"/>
      <c r="B40" s="9" t="n"/>
      <c r="C40" s="9" t="n"/>
      <c r="D40" s="9" t="n"/>
      <c r="E40" s="9" t="n"/>
      <c r="F40" s="10" t="n"/>
      <c r="G40" s="10" t="n"/>
      <c r="H40" s="10">
        <f>IF(F40="","",F40*IF(G40="",1,G40))</f>
        <v/>
      </c>
      <c r="I40" s="9" t="n"/>
      <c r="J40" s="9" t="n"/>
    </row>
    <row r="41" ht="22" customHeight="1">
      <c r="A41" s="9" t="n"/>
      <c r="B41" s="9" t="n"/>
      <c r="C41" s="9" t="n"/>
      <c r="D41" s="9" t="n"/>
      <c r="E41" s="9" t="n"/>
      <c r="F41" s="10" t="n"/>
      <c r="G41" s="10" t="n"/>
      <c r="H41" s="10">
        <f>IF(F41="","",F41*IF(G41="",1,G41))</f>
        <v/>
      </c>
      <c r="I41" s="9" t="n"/>
      <c r="J41" s="9" t="n"/>
    </row>
    <row r="42" ht="22" customHeight="1">
      <c r="A42" s="9" t="n"/>
      <c r="B42" s="9" t="n"/>
      <c r="C42" s="9" t="n"/>
      <c r="D42" s="9" t="n"/>
      <c r="E42" s="9" t="n"/>
      <c r="F42" s="10" t="n"/>
      <c r="G42" s="10" t="n"/>
      <c r="H42" s="10">
        <f>IF(F42="","",F42*IF(G42="",1,G42))</f>
        <v/>
      </c>
      <c r="I42" s="9" t="n"/>
      <c r="J42" s="9" t="n"/>
    </row>
    <row r="43" ht="22" customHeight="1">
      <c r="A43" s="9" t="n"/>
      <c r="B43" s="9" t="n"/>
      <c r="C43" s="9" t="n"/>
      <c r="D43" s="9" t="n"/>
      <c r="E43" s="9" t="n"/>
      <c r="F43" s="10" t="n"/>
      <c r="G43" s="10" t="n"/>
      <c r="H43" s="10">
        <f>IF(F43="","",F43*IF(G43="",1,G43))</f>
        <v/>
      </c>
      <c r="I43" s="9" t="n"/>
      <c r="J43" s="9" t="n"/>
    </row>
    <row r="44" ht="22" customHeight="1">
      <c r="A44" s="9" t="n"/>
      <c r="B44" s="9" t="n"/>
      <c r="C44" s="9" t="n"/>
      <c r="D44" s="9" t="n"/>
      <c r="E44" s="9" t="n"/>
      <c r="F44" s="10" t="n"/>
      <c r="G44" s="10" t="n"/>
      <c r="H44" s="10">
        <f>IF(F44="","",F44*IF(G44="",1,G44))</f>
        <v/>
      </c>
      <c r="I44" s="9" t="n"/>
      <c r="J44" s="9" t="n"/>
    </row>
    <row r="45" ht="22" customHeight="1">
      <c r="A45" s="9" t="n"/>
      <c r="B45" s="9" t="n"/>
      <c r="C45" s="9" t="n"/>
      <c r="D45" s="9" t="n"/>
      <c r="E45" s="9" t="n"/>
      <c r="F45" s="10" t="n"/>
      <c r="G45" s="10" t="n"/>
      <c r="H45" s="10">
        <f>IF(F45="","",F45*IF(G45="",1,G45))</f>
        <v/>
      </c>
      <c r="I45" s="9" t="n"/>
      <c r="J45" s="9" t="n"/>
    </row>
    <row r="46" ht="22" customHeight="1">
      <c r="A46" s="9" t="n"/>
      <c r="B46" s="9" t="n"/>
      <c r="C46" s="9" t="n"/>
      <c r="D46" s="9" t="n"/>
      <c r="E46" s="9" t="n"/>
      <c r="F46" s="10" t="n"/>
      <c r="G46" s="10" t="n"/>
      <c r="H46" s="10">
        <f>IF(F46="","",F46*IF(G46="",1,G46))</f>
        <v/>
      </c>
      <c r="I46" s="9" t="n"/>
      <c r="J46" s="9" t="n"/>
    </row>
    <row r="47" ht="22" customHeight="1">
      <c r="A47" s="9" t="n"/>
      <c r="B47" s="9" t="n"/>
      <c r="C47" s="9" t="n"/>
      <c r="D47" s="9" t="n"/>
      <c r="E47" s="9" t="n"/>
      <c r="F47" s="10" t="n"/>
      <c r="G47" s="10" t="n"/>
      <c r="H47" s="10">
        <f>IF(F47="","",F47*IF(G47="",1,G47))</f>
        <v/>
      </c>
      <c r="I47" s="9" t="n"/>
      <c r="J47" s="9" t="n"/>
    </row>
    <row r="48" ht="22" customHeight="1">
      <c r="A48" s="9" t="n"/>
      <c r="B48" s="9" t="n"/>
      <c r="C48" s="9" t="n"/>
      <c r="D48" s="9" t="n"/>
      <c r="E48" s="9" t="n"/>
      <c r="F48" s="10" t="n"/>
      <c r="G48" s="10" t="n"/>
      <c r="H48" s="10">
        <f>IF(F48="","",F48*IF(G48="",1,G48))</f>
        <v/>
      </c>
      <c r="I48" s="9" t="n"/>
      <c r="J48" s="9" t="n"/>
    </row>
    <row r="49" ht="22" customHeight="1">
      <c r="A49" s="9" t="n"/>
      <c r="B49" s="9" t="n"/>
      <c r="C49" s="9" t="n"/>
      <c r="D49" s="9" t="n"/>
      <c r="E49" s="9" t="n"/>
      <c r="F49" s="10" t="n"/>
      <c r="G49" s="10" t="n"/>
      <c r="H49" s="10">
        <f>IF(F49="","",F49*IF(G49="",1,G49))</f>
        <v/>
      </c>
      <c r="I49" s="9" t="n"/>
      <c r="J49" s="9" t="n"/>
    </row>
    <row r="50" ht="22" customHeight="1">
      <c r="A50" s="9" t="n"/>
      <c r="B50" s="9" t="n"/>
      <c r="C50" s="9" t="n"/>
      <c r="D50" s="9" t="n"/>
      <c r="E50" s="9" t="n"/>
      <c r="F50" s="10" t="n"/>
      <c r="G50" s="10" t="n"/>
      <c r="H50" s="10">
        <f>IF(F50="","",F50*IF(G50="",1,G50))</f>
        <v/>
      </c>
      <c r="I50" s="9" t="n"/>
      <c r="J50" s="9" t="n"/>
    </row>
    <row r="51" ht="22" customHeight="1">
      <c r="A51" s="9" t="n"/>
      <c r="B51" s="9" t="n"/>
      <c r="C51" s="9" t="n"/>
      <c r="D51" s="9" t="n"/>
      <c r="E51" s="9" t="n"/>
      <c r="F51" s="10" t="n"/>
      <c r="G51" s="10" t="n"/>
      <c r="H51" s="10">
        <f>IF(F51="","",F51*IF(G51="",1,G51))</f>
        <v/>
      </c>
      <c r="I51" s="9" t="n"/>
      <c r="J51" s="9" t="n"/>
    </row>
    <row r="52" ht="22" customHeight="1">
      <c r="A52" s="9" t="n"/>
      <c r="B52" s="9" t="n"/>
      <c r="C52" s="9" t="n"/>
      <c r="D52" s="9" t="n"/>
      <c r="E52" s="9" t="n"/>
      <c r="F52" s="10" t="n"/>
      <c r="G52" s="10" t="n"/>
      <c r="H52" s="10">
        <f>IF(F52="","",F52*IF(G52="",1,G52))</f>
        <v/>
      </c>
      <c r="I52" s="9" t="n"/>
      <c r="J52" s="9" t="n"/>
    </row>
    <row r="53" ht="22" customHeight="1">
      <c r="A53" s="9" t="n"/>
      <c r="B53" s="9" t="n"/>
      <c r="C53" s="9" t="n"/>
      <c r="D53" s="9" t="n"/>
      <c r="E53" s="9" t="n"/>
      <c r="F53" s="10" t="n"/>
      <c r="G53" s="10" t="n"/>
      <c r="H53" s="10">
        <f>IF(F53="","",F53*IF(G53="",1,G53))</f>
        <v/>
      </c>
      <c r="I53" s="9" t="n"/>
      <c r="J53" s="9" t="n"/>
    </row>
    <row r="54" ht="22" customHeight="1">
      <c r="A54" s="9" t="n"/>
      <c r="B54" s="9" t="n"/>
      <c r="C54" s="9" t="n"/>
      <c r="D54" s="9" t="n"/>
      <c r="E54" s="9" t="n"/>
      <c r="F54" s="10" t="n"/>
      <c r="G54" s="10" t="n"/>
      <c r="H54" s="10">
        <f>IF(F54="","",F54*IF(G54="",1,G54))</f>
        <v/>
      </c>
      <c r="I54" s="9" t="n"/>
      <c r="J54" s="9" t="n"/>
    </row>
    <row r="55" ht="22" customHeight="1">
      <c r="A55" s="9" t="n"/>
      <c r="B55" s="9" t="n"/>
      <c r="C55" s="9" t="n"/>
      <c r="D55" s="9" t="n"/>
      <c r="E55" s="9" t="n"/>
      <c r="F55" s="10" t="n"/>
      <c r="G55" s="10" t="n"/>
      <c r="H55" s="10">
        <f>IF(F55="","",F55*IF(G55="",1,G55))</f>
        <v/>
      </c>
      <c r="I55" s="9" t="n"/>
      <c r="J55" s="9" t="n"/>
    </row>
    <row r="56" ht="22" customHeight="1">
      <c r="A56" s="9" t="n"/>
      <c r="B56" s="9" t="n"/>
      <c r="C56" s="9" t="n"/>
      <c r="D56" s="9" t="n"/>
      <c r="E56" s="9" t="n"/>
      <c r="F56" s="10" t="n"/>
      <c r="G56" s="10" t="n"/>
      <c r="H56" s="10">
        <f>IF(F56="","",F56*IF(G56="",1,G56))</f>
        <v/>
      </c>
      <c r="I56" s="9" t="n"/>
      <c r="J56" s="9" t="n"/>
    </row>
    <row r="57" ht="22" customHeight="1">
      <c r="A57" s="9" t="n"/>
      <c r="B57" s="9" t="n"/>
      <c r="C57" s="9" t="n"/>
      <c r="D57" s="9" t="n"/>
      <c r="E57" s="9" t="n"/>
      <c r="F57" s="10" t="n"/>
      <c r="G57" s="10" t="n"/>
      <c r="H57" s="10">
        <f>IF(F57="","",F57*IF(G57="",1,G57))</f>
        <v/>
      </c>
      <c r="I57" s="9" t="n"/>
      <c r="J57" s="9" t="n"/>
    </row>
    <row r="58" ht="22" customHeight="1">
      <c r="A58" s="9" t="n"/>
      <c r="B58" s="9" t="n"/>
      <c r="C58" s="9" t="n"/>
      <c r="D58" s="9" t="n"/>
      <c r="E58" s="9" t="n"/>
      <c r="F58" s="10" t="n"/>
      <c r="G58" s="10" t="n"/>
      <c r="H58" s="10">
        <f>IF(F58="","",F58*IF(G58="",1,G58))</f>
        <v/>
      </c>
      <c r="I58" s="9" t="n"/>
      <c r="J58" s="9" t="n"/>
    </row>
    <row r="59" ht="22" customHeight="1">
      <c r="A59" s="9" t="n"/>
      <c r="B59" s="9" t="n"/>
      <c r="C59" s="9" t="n"/>
      <c r="D59" s="9" t="n"/>
      <c r="E59" s="9" t="n"/>
      <c r="F59" s="10" t="n"/>
      <c r="G59" s="10" t="n"/>
      <c r="H59" s="10">
        <f>IF(F59="","",F59*IF(G59="",1,G59))</f>
        <v/>
      </c>
      <c r="I59" s="9" t="n"/>
      <c r="J59" s="9" t="n"/>
    </row>
    <row r="60" ht="22" customHeight="1">
      <c r="A60" s="9" t="n"/>
      <c r="B60" s="9" t="n"/>
      <c r="C60" s="9" t="n"/>
      <c r="D60" s="9" t="n"/>
      <c r="E60" s="9" t="n"/>
      <c r="F60" s="10" t="n"/>
      <c r="G60" s="10" t="n"/>
      <c r="H60" s="10">
        <f>IF(F60="","",F60*IF(G60="",1,G60))</f>
        <v/>
      </c>
      <c r="I60" s="9" t="n"/>
      <c r="J60" s="9" t="n"/>
    </row>
    <row r="61" ht="22" customHeight="1">
      <c r="A61" s="9" t="n"/>
      <c r="B61" s="9" t="n"/>
      <c r="C61" s="9" t="n"/>
      <c r="D61" s="9" t="n"/>
      <c r="E61" s="9" t="n"/>
      <c r="F61" s="10" t="n"/>
      <c r="G61" s="10" t="n"/>
      <c r="H61" s="10">
        <f>IF(F61="","",F61*IF(G61="",1,G61))</f>
        <v/>
      </c>
      <c r="I61" s="9" t="n"/>
      <c r="J61" s="9" t="n"/>
    </row>
    <row r="62" ht="22" customHeight="1">
      <c r="A62" s="9" t="n"/>
      <c r="B62" s="9" t="n"/>
      <c r="C62" s="9" t="n"/>
      <c r="D62" s="9" t="n"/>
      <c r="E62" s="9" t="n"/>
      <c r="F62" s="10" t="n"/>
      <c r="G62" s="10" t="n"/>
      <c r="H62" s="10">
        <f>IF(F62="","",F62*IF(G62="",1,G62))</f>
        <v/>
      </c>
      <c r="I62" s="9" t="n"/>
      <c r="J62" s="9" t="n"/>
    </row>
    <row r="63" ht="22" customHeight="1">
      <c r="A63" s="9" t="n"/>
      <c r="B63" s="9" t="n"/>
      <c r="C63" s="9" t="n"/>
      <c r="D63" s="9" t="n"/>
      <c r="E63" s="9" t="n"/>
      <c r="F63" s="10" t="n"/>
      <c r="G63" s="10" t="n"/>
      <c r="H63" s="10">
        <f>IF(F63="","",F63*IF(G63="",1,G63))</f>
        <v/>
      </c>
      <c r="I63" s="9" t="n"/>
      <c r="J63" s="9" t="n"/>
    </row>
    <row r="64" ht="22" customHeight="1">
      <c r="A64" s="9" t="n"/>
      <c r="B64" s="9" t="n"/>
      <c r="C64" s="9" t="n"/>
      <c r="D64" s="9" t="n"/>
      <c r="E64" s="9" t="n"/>
      <c r="F64" s="10" t="n"/>
      <c r="G64" s="10" t="n"/>
      <c r="H64" s="10">
        <f>IF(F64="","",F64*IF(G64="",1,G64))</f>
        <v/>
      </c>
      <c r="I64" s="9" t="n"/>
      <c r="J64" s="9" t="n"/>
    </row>
    <row r="65" ht="22" customHeight="1">
      <c r="A65" s="9" t="n"/>
      <c r="B65" s="9" t="n"/>
      <c r="C65" s="9" t="n"/>
      <c r="D65" s="9" t="n"/>
      <c r="E65" s="9" t="n"/>
      <c r="F65" s="10" t="n"/>
      <c r="G65" s="10" t="n"/>
      <c r="H65" s="10">
        <f>IF(F65="","",F65*IF(G65="",1,G65))</f>
        <v/>
      </c>
      <c r="I65" s="9" t="n"/>
      <c r="J65" s="9" t="n"/>
    </row>
    <row r="66" ht="22" customHeight="1">
      <c r="A66" s="9" t="n"/>
      <c r="B66" s="9" t="n"/>
      <c r="C66" s="9" t="n"/>
      <c r="D66" s="9" t="n"/>
      <c r="E66" s="9" t="n"/>
      <c r="F66" s="10" t="n"/>
      <c r="G66" s="10" t="n"/>
      <c r="H66" s="10">
        <f>IF(F66="","",F66*IF(G66="",1,G66))</f>
        <v/>
      </c>
      <c r="I66" s="9" t="n"/>
      <c r="J66" s="9" t="n"/>
    </row>
    <row r="67" ht="22" customHeight="1">
      <c r="A67" s="9" t="n"/>
      <c r="B67" s="9" t="n"/>
      <c r="C67" s="9" t="n"/>
      <c r="D67" s="9" t="n"/>
      <c r="E67" s="9" t="n"/>
      <c r="F67" s="10" t="n"/>
      <c r="G67" s="10" t="n"/>
      <c r="H67" s="10">
        <f>IF(F67="","",F67*IF(G67="",1,G67))</f>
        <v/>
      </c>
      <c r="I67" s="9" t="n"/>
      <c r="J67" s="9" t="n"/>
    </row>
    <row r="68" ht="22" customHeight="1">
      <c r="A68" s="9" t="n"/>
      <c r="B68" s="9" t="n"/>
      <c r="C68" s="9" t="n"/>
      <c r="D68" s="9" t="n"/>
      <c r="E68" s="9" t="n"/>
      <c r="F68" s="10" t="n"/>
      <c r="G68" s="10" t="n"/>
      <c r="H68" s="10">
        <f>IF(F68="","",F68*IF(G68="",1,G68))</f>
        <v/>
      </c>
      <c r="I68" s="9" t="n"/>
      <c r="J68" s="9" t="n"/>
    </row>
    <row r="69" ht="22" customHeight="1">
      <c r="A69" s="9" t="n"/>
      <c r="B69" s="9" t="n"/>
      <c r="C69" s="9" t="n"/>
      <c r="D69" s="9" t="n"/>
      <c r="E69" s="9" t="n"/>
      <c r="F69" s="10" t="n"/>
      <c r="G69" s="10" t="n"/>
      <c r="H69" s="10">
        <f>IF(F69="","",F69*IF(G69="",1,G69))</f>
        <v/>
      </c>
      <c r="I69" s="9" t="n"/>
      <c r="J69" s="9" t="n"/>
    </row>
    <row r="70" ht="22" customHeight="1">
      <c r="A70" s="9" t="n"/>
      <c r="B70" s="9" t="n"/>
      <c r="C70" s="9" t="n"/>
      <c r="D70" s="9" t="n"/>
      <c r="E70" s="9" t="n"/>
      <c r="F70" s="10" t="n"/>
      <c r="G70" s="10" t="n"/>
      <c r="H70" s="10">
        <f>IF(F70="","",F70*IF(G70="",1,G70))</f>
        <v/>
      </c>
      <c r="I70" s="9" t="n"/>
      <c r="J70" s="9" t="n"/>
    </row>
    <row r="71" ht="22" customHeight="1">
      <c r="A71" s="9" t="n"/>
      <c r="B71" s="9" t="n"/>
      <c r="C71" s="9" t="n"/>
      <c r="D71" s="9" t="n"/>
      <c r="E71" s="9" t="n"/>
      <c r="F71" s="10" t="n"/>
      <c r="G71" s="10" t="n"/>
      <c r="H71" s="10">
        <f>IF(F71="","",F71*IF(G71="",1,G71))</f>
        <v/>
      </c>
      <c r="I71" s="9" t="n"/>
      <c r="J71" s="9" t="n"/>
    </row>
    <row r="72" ht="22" customHeight="1">
      <c r="A72" s="9" t="n"/>
      <c r="B72" s="9" t="n"/>
      <c r="C72" s="9" t="n"/>
      <c r="D72" s="9" t="n"/>
      <c r="E72" s="9" t="n"/>
      <c r="F72" s="10" t="n"/>
      <c r="G72" s="10" t="n"/>
      <c r="H72" s="10">
        <f>IF(F72="","",F72*IF(G72="",1,G72))</f>
        <v/>
      </c>
      <c r="I72" s="9" t="n"/>
      <c r="J72" s="9" t="n"/>
    </row>
    <row r="73" ht="22" customHeight="1">
      <c r="A73" s="9" t="n"/>
      <c r="B73" s="9" t="n"/>
      <c r="C73" s="9" t="n"/>
      <c r="D73" s="9" t="n"/>
      <c r="E73" s="9" t="n"/>
      <c r="F73" s="10" t="n"/>
      <c r="G73" s="10" t="n"/>
      <c r="H73" s="10">
        <f>IF(F73="","",F73*IF(G73="",1,G73))</f>
        <v/>
      </c>
      <c r="I73" s="9" t="n"/>
      <c r="J73" s="9" t="n"/>
    </row>
    <row r="74" ht="22" customHeight="1">
      <c r="A74" s="9" t="n"/>
      <c r="B74" s="9" t="n"/>
      <c r="C74" s="9" t="n"/>
      <c r="D74" s="9" t="n"/>
      <c r="E74" s="9" t="n"/>
      <c r="F74" s="10" t="n"/>
      <c r="G74" s="10" t="n"/>
      <c r="H74" s="10">
        <f>IF(F74="","",F74*IF(G74="",1,G74))</f>
        <v/>
      </c>
      <c r="I74" s="9" t="n"/>
      <c r="J74" s="9" t="n"/>
    </row>
    <row r="75" ht="22" customHeight="1">
      <c r="A75" s="9" t="n"/>
      <c r="B75" s="9" t="n"/>
      <c r="C75" s="9" t="n"/>
      <c r="D75" s="9" t="n"/>
      <c r="E75" s="9" t="n"/>
      <c r="F75" s="10" t="n"/>
      <c r="G75" s="10" t="n"/>
      <c r="H75" s="10">
        <f>IF(F75="","",F75*IF(G75="",1,G75))</f>
        <v/>
      </c>
      <c r="I75" s="9" t="n"/>
      <c r="J75" s="9" t="n"/>
    </row>
    <row r="76" ht="22" customHeight="1">
      <c r="A76" s="9" t="n"/>
      <c r="B76" s="9" t="n"/>
      <c r="C76" s="9" t="n"/>
      <c r="D76" s="9" t="n"/>
      <c r="E76" s="9" t="n"/>
      <c r="F76" s="10" t="n"/>
      <c r="G76" s="10" t="n"/>
      <c r="H76" s="10">
        <f>IF(F76="","",F76*IF(G76="",1,G76))</f>
        <v/>
      </c>
      <c r="I76" s="9" t="n"/>
      <c r="J76" s="9" t="n"/>
    </row>
    <row r="77" ht="22" customHeight="1">
      <c r="A77" s="9" t="n"/>
      <c r="B77" s="9" t="n"/>
      <c r="C77" s="9" t="n"/>
      <c r="D77" s="9" t="n"/>
      <c r="E77" s="9" t="n"/>
      <c r="F77" s="10" t="n"/>
      <c r="G77" s="10" t="n"/>
      <c r="H77" s="10">
        <f>IF(F77="","",F77*IF(G77="",1,G77))</f>
        <v/>
      </c>
      <c r="I77" s="9" t="n"/>
      <c r="J77" s="9" t="n"/>
    </row>
    <row r="78" ht="22" customHeight="1">
      <c r="A78" s="9" t="n"/>
      <c r="B78" s="9" t="n"/>
      <c r="C78" s="9" t="n"/>
      <c r="D78" s="9" t="n"/>
      <c r="E78" s="9" t="n"/>
      <c r="F78" s="10" t="n"/>
      <c r="G78" s="10" t="n"/>
      <c r="H78" s="10">
        <f>IF(F78="","",F78*IF(G78="",1,G78))</f>
        <v/>
      </c>
      <c r="I78" s="9" t="n"/>
      <c r="J78" s="9" t="n"/>
    </row>
    <row r="79" ht="22" customHeight="1">
      <c r="A79" s="9" t="n"/>
      <c r="B79" s="9" t="n"/>
      <c r="C79" s="9" t="n"/>
      <c r="D79" s="9" t="n"/>
      <c r="E79" s="9" t="n"/>
      <c r="F79" s="10" t="n"/>
      <c r="G79" s="10" t="n"/>
      <c r="H79" s="10">
        <f>IF(F79="","",F79*IF(G79="",1,G79))</f>
        <v/>
      </c>
      <c r="I79" s="9" t="n"/>
      <c r="J79" s="9" t="n"/>
    </row>
    <row r="80" ht="22" customHeight="1">
      <c r="A80" s="9" t="n"/>
      <c r="B80" s="9" t="n"/>
      <c r="C80" s="9" t="n"/>
      <c r="D80" s="9" t="n"/>
      <c r="E80" s="9" t="n"/>
      <c r="F80" s="10" t="n"/>
      <c r="G80" s="10" t="n"/>
      <c r="H80" s="10">
        <f>IF(F80="","",F80*IF(G80="",1,G80))</f>
        <v/>
      </c>
      <c r="I80" s="9" t="n"/>
      <c r="J80" s="9" t="n"/>
    </row>
    <row r="81" ht="22" customHeight="1">
      <c r="A81" s="9" t="n"/>
      <c r="B81" s="9" t="n"/>
      <c r="C81" s="9" t="n"/>
      <c r="D81" s="9" t="n"/>
      <c r="E81" s="9" t="n"/>
      <c r="F81" s="10" t="n"/>
      <c r="G81" s="10" t="n"/>
      <c r="H81" s="10">
        <f>IF(F81="","",F81*IF(G81="",1,G81))</f>
        <v/>
      </c>
      <c r="I81" s="9" t="n"/>
      <c r="J81" s="9" t="n"/>
    </row>
    <row r="82" ht="22" customHeight="1">
      <c r="A82" s="9" t="n"/>
      <c r="B82" s="9" t="n"/>
      <c r="C82" s="9" t="n"/>
      <c r="D82" s="9" t="n"/>
      <c r="E82" s="9" t="n"/>
      <c r="F82" s="10" t="n"/>
      <c r="G82" s="10" t="n"/>
      <c r="H82" s="10">
        <f>IF(F82="","",F82*IF(G82="",1,G82))</f>
        <v/>
      </c>
      <c r="I82" s="9" t="n"/>
      <c r="J82" s="9" t="n"/>
    </row>
    <row r="83" ht="22" customHeight="1">
      <c r="A83" s="9" t="n"/>
      <c r="B83" s="9" t="n"/>
      <c r="C83" s="9" t="n"/>
      <c r="D83" s="9" t="n"/>
      <c r="E83" s="9" t="n"/>
      <c r="F83" s="10" t="n"/>
      <c r="G83" s="10" t="n"/>
      <c r="H83" s="10">
        <f>IF(F83="","",F83*IF(G83="",1,G83))</f>
        <v/>
      </c>
      <c r="I83" s="9" t="n"/>
      <c r="J83" s="9" t="n"/>
    </row>
    <row r="84" ht="22" customHeight="1">
      <c r="A84" s="9" t="n"/>
      <c r="B84" s="9" t="n"/>
      <c r="C84" s="9" t="n"/>
      <c r="D84" s="9" t="n"/>
      <c r="E84" s="9" t="n"/>
      <c r="F84" s="10" t="n"/>
      <c r="G84" s="10" t="n"/>
      <c r="H84" s="10">
        <f>IF(F84="","",F84*IF(G84="",1,G84))</f>
        <v/>
      </c>
      <c r="I84" s="9" t="n"/>
      <c r="J84" s="9" t="n"/>
    </row>
    <row r="85" ht="22" customHeight="1">
      <c r="A85" s="9" t="n"/>
      <c r="B85" s="9" t="n"/>
      <c r="C85" s="9" t="n"/>
      <c r="D85" s="9" t="n"/>
      <c r="E85" s="9" t="n"/>
      <c r="F85" s="10" t="n"/>
      <c r="G85" s="10" t="n"/>
      <c r="H85" s="10">
        <f>IF(F85="","",F85*IF(G85="",1,G85))</f>
        <v/>
      </c>
      <c r="I85" s="9" t="n"/>
      <c r="J85" s="9" t="n"/>
    </row>
    <row r="86" ht="22" customHeight="1">
      <c r="A86" s="9" t="n"/>
      <c r="B86" s="9" t="n"/>
      <c r="C86" s="9" t="n"/>
      <c r="D86" s="9" t="n"/>
      <c r="E86" s="9" t="n"/>
      <c r="F86" s="10" t="n"/>
      <c r="G86" s="10" t="n"/>
      <c r="H86" s="10">
        <f>IF(F86="","",F86*IF(G86="",1,G86))</f>
        <v/>
      </c>
      <c r="I86" s="9" t="n"/>
      <c r="J86" s="9" t="n"/>
    </row>
    <row r="87" ht="22" customHeight="1">
      <c r="A87" s="9" t="n"/>
      <c r="B87" s="9" t="n"/>
      <c r="C87" s="9" t="n"/>
      <c r="D87" s="9" t="n"/>
      <c r="E87" s="9" t="n"/>
      <c r="F87" s="10" t="n"/>
      <c r="G87" s="10" t="n"/>
      <c r="H87" s="10">
        <f>IF(F87="","",F87*IF(G87="",1,G87))</f>
        <v/>
      </c>
      <c r="I87" s="9" t="n"/>
      <c r="J87" s="9" t="n"/>
    </row>
    <row r="88" ht="22" customHeight="1">
      <c r="A88" s="9" t="n"/>
      <c r="B88" s="9" t="n"/>
      <c r="C88" s="9" t="n"/>
      <c r="D88" s="9" t="n"/>
      <c r="E88" s="9" t="n"/>
      <c r="F88" s="10" t="n"/>
      <c r="G88" s="10" t="n"/>
      <c r="H88" s="10">
        <f>IF(F88="","",F88*IF(G88="",1,G88))</f>
        <v/>
      </c>
      <c r="I88" s="9" t="n"/>
      <c r="J88" s="9" t="n"/>
    </row>
    <row r="89" ht="22" customHeight="1">
      <c r="A89" s="9" t="n"/>
      <c r="B89" s="9" t="n"/>
      <c r="C89" s="9" t="n"/>
      <c r="D89" s="9" t="n"/>
      <c r="E89" s="9" t="n"/>
      <c r="F89" s="10" t="n"/>
      <c r="G89" s="10" t="n"/>
      <c r="H89" s="10">
        <f>IF(F89="","",F89*IF(G89="",1,G89))</f>
        <v/>
      </c>
      <c r="I89" s="9" t="n"/>
      <c r="J89" s="9" t="n"/>
    </row>
    <row r="90" ht="22" customHeight="1">
      <c r="A90" s="9" t="n"/>
      <c r="B90" s="9" t="n"/>
      <c r="C90" s="9" t="n"/>
      <c r="D90" s="9" t="n"/>
      <c r="E90" s="9" t="n"/>
      <c r="F90" s="10" t="n"/>
      <c r="G90" s="10" t="n"/>
      <c r="H90" s="10">
        <f>IF(F90="","",F90*IF(G90="",1,G90))</f>
        <v/>
      </c>
      <c r="I90" s="9" t="n"/>
      <c r="J90" s="9" t="n"/>
    </row>
    <row r="91" ht="22" customHeight="1">
      <c r="A91" s="9" t="n"/>
      <c r="B91" s="9" t="n"/>
      <c r="C91" s="9" t="n"/>
      <c r="D91" s="9" t="n"/>
      <c r="E91" s="9" t="n"/>
      <c r="F91" s="10" t="n"/>
      <c r="G91" s="10" t="n"/>
      <c r="H91" s="10">
        <f>IF(F91="","",F91*IF(G91="",1,G91))</f>
        <v/>
      </c>
      <c r="I91" s="9" t="n"/>
      <c r="J91" s="9" t="n"/>
    </row>
    <row r="92" ht="22" customHeight="1">
      <c r="A92" s="9" t="n"/>
      <c r="B92" s="9" t="n"/>
      <c r="C92" s="9" t="n"/>
      <c r="D92" s="9" t="n"/>
      <c r="E92" s="9" t="n"/>
      <c r="F92" s="10" t="n"/>
      <c r="G92" s="10" t="n"/>
      <c r="H92" s="10">
        <f>IF(F92="","",F92*IF(G92="",1,G92))</f>
        <v/>
      </c>
      <c r="I92" s="9" t="n"/>
      <c r="J92" s="9" t="n"/>
    </row>
    <row r="93" ht="22" customHeight="1">
      <c r="A93" s="9" t="n"/>
      <c r="B93" s="9" t="n"/>
      <c r="C93" s="9" t="n"/>
      <c r="D93" s="9" t="n"/>
      <c r="E93" s="9" t="n"/>
      <c r="F93" s="10" t="n"/>
      <c r="G93" s="10" t="n"/>
      <c r="H93" s="10">
        <f>IF(F93="","",F93*IF(G93="",1,G93))</f>
        <v/>
      </c>
      <c r="I93" s="9" t="n"/>
      <c r="J93" s="9" t="n"/>
    </row>
    <row r="94" ht="22" customHeight="1">
      <c r="A94" s="9" t="n"/>
      <c r="B94" s="9" t="n"/>
      <c r="C94" s="9" t="n"/>
      <c r="D94" s="9" t="n"/>
      <c r="E94" s="9" t="n"/>
      <c r="F94" s="10" t="n"/>
      <c r="G94" s="10" t="n"/>
      <c r="H94" s="10">
        <f>IF(F94="","",F94*IF(G94="",1,G94))</f>
        <v/>
      </c>
      <c r="I94" s="9" t="n"/>
      <c r="J94" s="9" t="n"/>
    </row>
    <row r="95" ht="22" customHeight="1">
      <c r="A95" s="9" t="n"/>
      <c r="B95" s="9" t="n"/>
      <c r="C95" s="9" t="n"/>
      <c r="D95" s="9" t="n"/>
      <c r="E95" s="9" t="n"/>
      <c r="F95" s="10" t="n"/>
      <c r="G95" s="10" t="n"/>
      <c r="H95" s="10">
        <f>IF(F95="","",F95*IF(G95="",1,G95))</f>
        <v/>
      </c>
      <c r="I95" s="9" t="n"/>
      <c r="J95" s="9" t="n"/>
    </row>
    <row r="96" ht="22" customHeight="1">
      <c r="A96" s="9" t="n"/>
      <c r="B96" s="9" t="n"/>
      <c r="C96" s="9" t="n"/>
      <c r="D96" s="9" t="n"/>
      <c r="E96" s="9" t="n"/>
      <c r="F96" s="10" t="n"/>
      <c r="G96" s="10" t="n"/>
      <c r="H96" s="10">
        <f>IF(F96="","",F96*IF(G96="",1,G96))</f>
        <v/>
      </c>
      <c r="I96" s="9" t="n"/>
      <c r="J96" s="9" t="n"/>
    </row>
    <row r="97" ht="22" customHeight="1">
      <c r="A97" s="9" t="n"/>
      <c r="B97" s="9" t="n"/>
      <c r="C97" s="9" t="n"/>
      <c r="D97" s="9" t="n"/>
      <c r="E97" s="9" t="n"/>
      <c r="F97" s="10" t="n"/>
      <c r="G97" s="10" t="n"/>
      <c r="H97" s="10">
        <f>IF(F97="","",F97*IF(G97="",1,G97))</f>
        <v/>
      </c>
      <c r="I97" s="9" t="n"/>
      <c r="J97" s="9" t="n"/>
    </row>
    <row r="98" ht="22" customHeight="1">
      <c r="A98" s="9" t="n"/>
      <c r="B98" s="9" t="n"/>
      <c r="C98" s="9" t="n"/>
      <c r="D98" s="9" t="n"/>
      <c r="E98" s="9" t="n"/>
      <c r="F98" s="10" t="n"/>
      <c r="G98" s="10" t="n"/>
      <c r="H98" s="10">
        <f>IF(F98="","",F98*IF(G98="",1,G98))</f>
        <v/>
      </c>
      <c r="I98" s="9" t="n"/>
      <c r="J98" s="9" t="n"/>
    </row>
    <row r="99" ht="22" customHeight="1">
      <c r="A99" s="9" t="n"/>
      <c r="B99" s="9" t="n"/>
      <c r="C99" s="9" t="n"/>
      <c r="D99" s="9" t="n"/>
      <c r="E99" s="9" t="n"/>
      <c r="F99" s="10" t="n"/>
      <c r="G99" s="10" t="n"/>
      <c r="H99" s="10">
        <f>IF(F99="","",F99*IF(G99="",1,G99))</f>
        <v/>
      </c>
      <c r="I99" s="9" t="n"/>
      <c r="J99" s="9" t="n"/>
    </row>
    <row r="100" ht="22" customHeight="1">
      <c r="A100" s="9" t="n"/>
      <c r="B100" s="9" t="n"/>
      <c r="C100" s="9" t="n"/>
      <c r="D100" s="9" t="n"/>
      <c r="E100" s="9" t="n"/>
      <c r="F100" s="10" t="n"/>
      <c r="G100" s="10" t="n"/>
      <c r="H100" s="10">
        <f>IF(F100="","",F100*IF(G100="",1,G100))</f>
        <v/>
      </c>
      <c r="I100" s="9" t="n"/>
      <c r="J100" s="9" t="n"/>
    </row>
    <row r="101" ht="22" customHeight="1">
      <c r="A101" s="9" t="n"/>
      <c r="B101" s="9" t="n"/>
      <c r="C101" s="9" t="n"/>
      <c r="D101" s="9" t="n"/>
      <c r="E101" s="9" t="n"/>
      <c r="F101" s="10" t="n"/>
      <c r="G101" s="10" t="n"/>
      <c r="H101" s="10">
        <f>IF(F101="","",F101*IF(G101="",1,G101))</f>
        <v/>
      </c>
      <c r="I101" s="9" t="n"/>
      <c r="J101" s="9" t="n"/>
    </row>
    <row r="102" ht="22" customHeight="1">
      <c r="A102" s="9" t="n"/>
      <c r="B102" s="9" t="n"/>
      <c r="C102" s="9" t="n"/>
      <c r="D102" s="9" t="n"/>
      <c r="E102" s="9" t="n"/>
      <c r="F102" s="10" t="n"/>
      <c r="G102" s="10" t="n"/>
      <c r="H102" s="10">
        <f>IF(F102="","",F102*IF(G102="",1,G102))</f>
        <v/>
      </c>
      <c r="I102" s="9" t="n"/>
      <c r="J102" s="9" t="n"/>
    </row>
    <row r="103" ht="22" customHeight="1">
      <c r="A103" s="9" t="n"/>
      <c r="B103" s="9" t="n"/>
      <c r="C103" s="9" t="n"/>
      <c r="D103" s="9" t="n"/>
      <c r="E103" s="9" t="n"/>
      <c r="F103" s="10" t="n"/>
      <c r="G103" s="10" t="n"/>
      <c r="H103" s="10">
        <f>IF(F103="","",F103*IF(G103="",1,G103))</f>
        <v/>
      </c>
      <c r="I103" s="9" t="n"/>
      <c r="J103" s="9" t="n"/>
    </row>
    <row r="104" ht="22" customHeight="1">
      <c r="A104" s="9" t="n"/>
      <c r="B104" s="9" t="n"/>
      <c r="C104" s="9" t="n"/>
      <c r="D104" s="9" t="n"/>
      <c r="E104" s="9" t="n"/>
      <c r="F104" s="10" t="n"/>
      <c r="G104" s="10" t="n"/>
      <c r="H104" s="10">
        <f>IF(F104="","",F104*IF(G104="",1,G104))</f>
        <v/>
      </c>
      <c r="I104" s="9" t="n"/>
      <c r="J104" s="9" t="n"/>
    </row>
    <row r="105" ht="22" customHeight="1">
      <c r="A105" s="9" t="n"/>
      <c r="B105" s="9" t="n"/>
      <c r="C105" s="9" t="n"/>
      <c r="D105" s="9" t="n"/>
      <c r="E105" s="9" t="n"/>
      <c r="F105" s="10" t="n"/>
      <c r="G105" s="10" t="n"/>
      <c r="H105" s="10">
        <f>IF(F105="","",F105*IF(G105="",1,G105))</f>
        <v/>
      </c>
      <c r="I105" s="9" t="n"/>
      <c r="J105" s="9" t="n"/>
    </row>
    <row r="106" ht="22" customHeight="1">
      <c r="A106" s="9" t="n"/>
      <c r="B106" s="9" t="n"/>
      <c r="C106" s="9" t="n"/>
      <c r="D106" s="9" t="n"/>
      <c r="E106" s="9" t="n"/>
      <c r="F106" s="10" t="n"/>
      <c r="G106" s="10" t="n"/>
      <c r="H106" s="10">
        <f>IF(F106="","",F106*IF(G106="",1,G106))</f>
        <v/>
      </c>
      <c r="I106" s="9" t="n"/>
      <c r="J106" s="9" t="n"/>
    </row>
    <row r="107" ht="22" customHeight="1">
      <c r="A107" s="9" t="n"/>
      <c r="B107" s="9" t="n"/>
      <c r="C107" s="9" t="n"/>
      <c r="D107" s="9" t="n"/>
      <c r="E107" s="9" t="n"/>
      <c r="F107" s="10" t="n"/>
      <c r="G107" s="10" t="n"/>
      <c r="H107" s="10">
        <f>IF(F107="","",F107*IF(G107="",1,G107))</f>
        <v/>
      </c>
      <c r="I107" s="9" t="n"/>
      <c r="J107" s="9" t="n"/>
    </row>
    <row r="108" ht="22" customHeight="1">
      <c r="A108" s="9" t="n"/>
      <c r="B108" s="9" t="n"/>
      <c r="C108" s="9" t="n"/>
      <c r="D108" s="9" t="n"/>
      <c r="E108" s="9" t="n"/>
      <c r="F108" s="10" t="n"/>
      <c r="G108" s="10" t="n"/>
      <c r="H108" s="10">
        <f>IF(F108="","",F108*IF(G108="",1,G108))</f>
        <v/>
      </c>
      <c r="I108" s="9" t="n"/>
      <c r="J108" s="9" t="n"/>
    </row>
    <row r="109" ht="22" customHeight="1">
      <c r="A109" s="9" t="n"/>
      <c r="B109" s="9" t="n"/>
      <c r="C109" s="9" t="n"/>
      <c r="D109" s="9" t="n"/>
      <c r="E109" s="9" t="n"/>
      <c r="F109" s="10" t="n"/>
      <c r="G109" s="10" t="n"/>
      <c r="H109" s="10">
        <f>IF(F109="","",F109*IF(G109="",1,G109))</f>
        <v/>
      </c>
      <c r="I109" s="9" t="n"/>
      <c r="J109" s="9" t="n"/>
    </row>
    <row r="110" ht="22" customHeight="1">
      <c r="A110" s="9" t="n"/>
      <c r="B110" s="9" t="n"/>
      <c r="C110" s="9" t="n"/>
      <c r="D110" s="9" t="n"/>
      <c r="E110" s="9" t="n"/>
      <c r="F110" s="10" t="n"/>
      <c r="G110" s="10" t="n"/>
      <c r="H110" s="10">
        <f>IF(F110="","",F110*IF(G110="",1,G110))</f>
        <v/>
      </c>
      <c r="I110" s="9" t="n"/>
      <c r="J110" s="9" t="n"/>
    </row>
    <row r="111" ht="22" customHeight="1">
      <c r="A111" s="9" t="n"/>
      <c r="B111" s="9" t="n"/>
      <c r="C111" s="9" t="n"/>
      <c r="D111" s="9" t="n"/>
      <c r="E111" s="9" t="n"/>
      <c r="F111" s="10" t="n"/>
      <c r="G111" s="10" t="n"/>
      <c r="H111" s="10">
        <f>IF(F111="","",F111*IF(G111="",1,G111))</f>
        <v/>
      </c>
      <c r="I111" s="9" t="n"/>
      <c r="J111" s="9" t="n"/>
    </row>
    <row r="112" ht="22" customHeight="1">
      <c r="A112" s="9" t="n"/>
      <c r="B112" s="9" t="n"/>
      <c r="C112" s="9" t="n"/>
      <c r="D112" s="9" t="n"/>
      <c r="E112" s="9" t="n"/>
      <c r="F112" s="10" t="n"/>
      <c r="G112" s="10" t="n"/>
      <c r="H112" s="10">
        <f>IF(F112="","",F112*IF(G112="",1,G112))</f>
        <v/>
      </c>
      <c r="I112" s="9" t="n"/>
      <c r="J112" s="9" t="n"/>
    </row>
    <row r="113" ht="22" customHeight="1">
      <c r="A113" s="9" t="n"/>
      <c r="B113" s="9" t="n"/>
      <c r="C113" s="9" t="n"/>
      <c r="D113" s="9" t="n"/>
      <c r="E113" s="9" t="n"/>
      <c r="F113" s="10" t="n"/>
      <c r="G113" s="10" t="n"/>
      <c r="H113" s="10">
        <f>IF(F113="","",F113*IF(G113="",1,G113))</f>
        <v/>
      </c>
      <c r="I113" s="9" t="n"/>
      <c r="J113" s="9" t="n"/>
    </row>
    <row r="114" ht="22" customHeight="1">
      <c r="A114" s="9" t="n"/>
      <c r="B114" s="9" t="n"/>
      <c r="C114" s="9" t="n"/>
      <c r="D114" s="9" t="n"/>
      <c r="E114" s="9" t="n"/>
      <c r="F114" s="10" t="n"/>
      <c r="G114" s="10" t="n"/>
      <c r="H114" s="10">
        <f>IF(F114="","",F114*IF(G114="",1,G114))</f>
        <v/>
      </c>
      <c r="I114" s="9" t="n"/>
      <c r="J114" s="9" t="n"/>
    </row>
    <row r="115" ht="22" customHeight="1">
      <c r="A115" s="9" t="n"/>
      <c r="B115" s="9" t="n"/>
      <c r="C115" s="9" t="n"/>
      <c r="D115" s="9" t="n"/>
      <c r="E115" s="9" t="n"/>
      <c r="F115" s="10" t="n"/>
      <c r="G115" s="10" t="n"/>
      <c r="H115" s="10">
        <f>IF(F115="","",F115*IF(G115="",1,G115))</f>
        <v/>
      </c>
      <c r="I115" s="9" t="n"/>
      <c r="J115" s="9" t="n"/>
    </row>
    <row r="116" ht="22" customHeight="1">
      <c r="A116" s="9" t="n"/>
      <c r="B116" s="9" t="n"/>
      <c r="C116" s="9" t="n"/>
      <c r="D116" s="9" t="n"/>
      <c r="E116" s="9" t="n"/>
      <c r="F116" s="10" t="n"/>
      <c r="G116" s="10" t="n"/>
      <c r="H116" s="10">
        <f>IF(F116="","",F116*IF(G116="",1,G116))</f>
        <v/>
      </c>
      <c r="I116" s="9" t="n"/>
      <c r="J116" s="9" t="n"/>
    </row>
    <row r="117" ht="22" customHeight="1">
      <c r="A117" s="9" t="n"/>
      <c r="B117" s="9" t="n"/>
      <c r="C117" s="9" t="n"/>
      <c r="D117" s="9" t="n"/>
      <c r="E117" s="9" t="n"/>
      <c r="F117" s="10" t="n"/>
      <c r="G117" s="10" t="n"/>
      <c r="H117" s="10">
        <f>IF(F117="","",F117*IF(G117="",1,G117))</f>
        <v/>
      </c>
      <c r="I117" s="9" t="n"/>
      <c r="J117" s="9" t="n"/>
    </row>
    <row r="118" ht="22" customHeight="1">
      <c r="A118" s="9" t="n"/>
      <c r="B118" s="9" t="n"/>
      <c r="C118" s="9" t="n"/>
      <c r="D118" s="9" t="n"/>
      <c r="E118" s="9" t="n"/>
      <c r="F118" s="10" t="n"/>
      <c r="G118" s="10" t="n"/>
      <c r="H118" s="10">
        <f>IF(F118="","",F118*IF(G118="",1,G118))</f>
        <v/>
      </c>
      <c r="I118" s="9" t="n"/>
      <c r="J118" s="9" t="n"/>
    </row>
    <row r="119" ht="22" customHeight="1">
      <c r="A119" s="9" t="n"/>
      <c r="B119" s="9" t="n"/>
      <c r="C119" s="9" t="n"/>
      <c r="D119" s="9" t="n"/>
      <c r="E119" s="9" t="n"/>
      <c r="F119" s="10" t="n"/>
      <c r="G119" s="10" t="n"/>
      <c r="H119" s="10">
        <f>IF(F119="","",F119*IF(G119="",1,G119))</f>
        <v/>
      </c>
      <c r="I119" s="9" t="n"/>
      <c r="J119" s="9" t="n"/>
    </row>
    <row r="120" ht="22" customHeight="1">
      <c r="A120" s="9" t="n"/>
      <c r="B120" s="9" t="n"/>
      <c r="C120" s="9" t="n"/>
      <c r="D120" s="9" t="n"/>
      <c r="E120" s="9" t="n"/>
      <c r="F120" s="10" t="n"/>
      <c r="G120" s="10" t="n"/>
      <c r="H120" s="10">
        <f>IF(F120="","",F120*IF(G120="",1,G120))</f>
        <v/>
      </c>
      <c r="I120" s="9" t="n"/>
      <c r="J120" s="9" t="n"/>
    </row>
    <row r="121" ht="22" customHeight="1">
      <c r="A121" s="9" t="n"/>
      <c r="B121" s="9" t="n"/>
      <c r="C121" s="9" t="n"/>
      <c r="D121" s="9" t="n"/>
      <c r="E121" s="9" t="n"/>
      <c r="F121" s="10" t="n"/>
      <c r="G121" s="10" t="n"/>
      <c r="H121" s="10">
        <f>IF(F121="","",F121*IF(G121="",1,G121))</f>
        <v/>
      </c>
      <c r="I121" s="9" t="n"/>
      <c r="J121" s="9" t="n"/>
    </row>
    <row r="122" ht="22" customHeight="1">
      <c r="A122" s="9" t="n"/>
      <c r="B122" s="9" t="n"/>
      <c r="C122" s="9" t="n"/>
      <c r="D122" s="9" t="n"/>
      <c r="E122" s="9" t="n"/>
      <c r="F122" s="10" t="n"/>
      <c r="G122" s="10" t="n"/>
      <c r="H122" s="10">
        <f>IF(F122="","",F122*IF(G122="",1,G122))</f>
        <v/>
      </c>
      <c r="I122" s="9" t="n"/>
      <c r="J122" s="9" t="n"/>
    </row>
    <row r="123" ht="22" customHeight="1">
      <c r="A123" s="9" t="n"/>
      <c r="B123" s="9" t="n"/>
      <c r="C123" s="9" t="n"/>
      <c r="D123" s="9" t="n"/>
      <c r="E123" s="9" t="n"/>
      <c r="F123" s="10" t="n"/>
      <c r="G123" s="10" t="n"/>
      <c r="H123" s="10">
        <f>IF(F123="","",F123*IF(G123="",1,G123))</f>
        <v/>
      </c>
      <c r="I123" s="9" t="n"/>
      <c r="J123" s="9" t="n"/>
    </row>
    <row r="124" ht="22" customHeight="1">
      <c r="A124" s="9" t="n"/>
      <c r="B124" s="9" t="n"/>
      <c r="C124" s="9" t="n"/>
      <c r="D124" s="9" t="n"/>
      <c r="E124" s="9" t="n"/>
      <c r="F124" s="10" t="n"/>
      <c r="G124" s="10" t="n"/>
      <c r="H124" s="10">
        <f>IF(F124="","",F124*IF(G124="",1,G124))</f>
        <v/>
      </c>
      <c r="I124" s="9" t="n"/>
      <c r="J124" s="9" t="n"/>
    </row>
    <row r="125" ht="22" customHeight="1">
      <c r="A125" s="9" t="n"/>
      <c r="B125" s="9" t="n"/>
      <c r="C125" s="9" t="n"/>
      <c r="D125" s="9" t="n"/>
      <c r="E125" s="9" t="n"/>
      <c r="F125" s="10" t="n"/>
      <c r="G125" s="10" t="n"/>
      <c r="H125" s="10">
        <f>IF(F125="","",F125*IF(G125="",1,G125))</f>
        <v/>
      </c>
      <c r="I125" s="9" t="n"/>
      <c r="J125" s="9" t="n"/>
    </row>
    <row r="126" ht="22" customHeight="1">
      <c r="A126" s="9" t="n"/>
      <c r="B126" s="9" t="n"/>
      <c r="C126" s="9" t="n"/>
      <c r="D126" s="9" t="n"/>
      <c r="E126" s="9" t="n"/>
      <c r="F126" s="10" t="n"/>
      <c r="G126" s="10" t="n"/>
      <c r="H126" s="10">
        <f>IF(F126="","",F126*IF(G126="",1,G126))</f>
        <v/>
      </c>
      <c r="I126" s="9" t="n"/>
      <c r="J126" s="9" t="n"/>
    </row>
    <row r="127" ht="22" customHeight="1">
      <c r="A127" s="9" t="n"/>
      <c r="B127" s="9" t="n"/>
      <c r="C127" s="9" t="n"/>
      <c r="D127" s="9" t="n"/>
      <c r="E127" s="9" t="n"/>
      <c r="F127" s="10" t="n"/>
      <c r="G127" s="10" t="n"/>
      <c r="H127" s="10">
        <f>IF(F127="","",F127*IF(G127="",1,G127))</f>
        <v/>
      </c>
      <c r="I127" s="9" t="n"/>
      <c r="J127" s="9" t="n"/>
    </row>
    <row r="128" ht="22" customHeight="1">
      <c r="A128" s="9" t="n"/>
      <c r="B128" s="9" t="n"/>
      <c r="C128" s="9" t="n"/>
      <c r="D128" s="9" t="n"/>
      <c r="E128" s="9" t="n"/>
      <c r="F128" s="10" t="n"/>
      <c r="G128" s="10" t="n"/>
      <c r="H128" s="10">
        <f>IF(F128="","",F128*IF(G128="",1,G128))</f>
        <v/>
      </c>
      <c r="I128" s="9" t="n"/>
      <c r="J128" s="9" t="n"/>
    </row>
    <row r="129" ht="22" customHeight="1">
      <c r="A129" s="9" t="n"/>
      <c r="B129" s="9" t="n"/>
      <c r="C129" s="9" t="n"/>
      <c r="D129" s="9" t="n"/>
      <c r="E129" s="9" t="n"/>
      <c r="F129" s="10" t="n"/>
      <c r="G129" s="10" t="n"/>
      <c r="H129" s="10">
        <f>IF(F129="","",F129*IF(G129="",1,G129))</f>
        <v/>
      </c>
      <c r="I129" s="9" t="n"/>
      <c r="J129" s="9" t="n"/>
    </row>
    <row r="130" ht="22" customHeight="1">
      <c r="A130" s="9" t="n"/>
      <c r="B130" s="9" t="n"/>
      <c r="C130" s="9" t="n"/>
      <c r="D130" s="9" t="n"/>
      <c r="E130" s="9" t="n"/>
      <c r="F130" s="10" t="n"/>
      <c r="G130" s="10" t="n"/>
      <c r="H130" s="10">
        <f>IF(F130="","",F130*IF(G130="",1,G130))</f>
        <v/>
      </c>
      <c r="I130" s="9" t="n"/>
      <c r="J130" s="9" t="n"/>
    </row>
    <row r="131" ht="22" customHeight="1">
      <c r="A131" s="9" t="n"/>
      <c r="B131" s="9" t="n"/>
      <c r="C131" s="9" t="n"/>
      <c r="D131" s="9" t="n"/>
      <c r="E131" s="9" t="n"/>
      <c r="F131" s="10" t="n"/>
      <c r="G131" s="10" t="n"/>
      <c r="H131" s="10">
        <f>IF(F131="","",F131*IF(G131="",1,G131))</f>
        <v/>
      </c>
      <c r="I131" s="9" t="n"/>
      <c r="J131" s="9" t="n"/>
    </row>
    <row r="132" ht="22" customHeight="1">
      <c r="A132" s="9" t="n"/>
      <c r="B132" s="9" t="n"/>
      <c r="C132" s="9" t="n"/>
      <c r="D132" s="9" t="n"/>
      <c r="E132" s="9" t="n"/>
      <c r="F132" s="10" t="n"/>
      <c r="G132" s="10" t="n"/>
      <c r="H132" s="10">
        <f>IF(F132="","",F132*IF(G132="",1,G132))</f>
        <v/>
      </c>
      <c r="I132" s="9" t="n"/>
      <c r="J132" s="9" t="n"/>
    </row>
    <row r="133" ht="22" customHeight="1">
      <c r="A133" s="9" t="n"/>
      <c r="B133" s="9" t="n"/>
      <c r="C133" s="9" t="n"/>
      <c r="D133" s="9" t="n"/>
      <c r="E133" s="9" t="n"/>
      <c r="F133" s="10" t="n"/>
      <c r="G133" s="10" t="n"/>
      <c r="H133" s="10">
        <f>IF(F133="","",F133*IF(G133="",1,G133))</f>
        <v/>
      </c>
      <c r="I133" s="9" t="n"/>
      <c r="J133" s="9" t="n"/>
    </row>
    <row r="134" ht="22" customHeight="1">
      <c r="A134" s="9" t="n"/>
      <c r="B134" s="9" t="n"/>
      <c r="C134" s="9" t="n"/>
      <c r="D134" s="9" t="n"/>
      <c r="E134" s="9" t="n"/>
      <c r="F134" s="10" t="n"/>
      <c r="G134" s="10" t="n"/>
      <c r="H134" s="10">
        <f>IF(F134="","",F134*IF(G134="",1,G134))</f>
        <v/>
      </c>
      <c r="I134" s="9" t="n"/>
      <c r="J134" s="9" t="n"/>
    </row>
    <row r="135" ht="22" customHeight="1">
      <c r="A135" s="9" t="n"/>
      <c r="B135" s="9" t="n"/>
      <c r="C135" s="9" t="n"/>
      <c r="D135" s="9" t="n"/>
      <c r="E135" s="9" t="n"/>
      <c r="F135" s="10" t="n"/>
      <c r="G135" s="10" t="n"/>
      <c r="H135" s="10">
        <f>IF(F135="","",F135*IF(G135="",1,G135))</f>
        <v/>
      </c>
      <c r="I135" s="9" t="n"/>
      <c r="J135" s="9" t="n"/>
    </row>
    <row r="136" ht="22" customHeight="1">
      <c r="A136" s="9" t="n"/>
      <c r="B136" s="9" t="n"/>
      <c r="C136" s="9" t="n"/>
      <c r="D136" s="9" t="n"/>
      <c r="E136" s="9" t="n"/>
      <c r="F136" s="10" t="n"/>
      <c r="G136" s="10" t="n"/>
      <c r="H136" s="10">
        <f>IF(F136="","",F136*IF(G136="",1,G136))</f>
        <v/>
      </c>
      <c r="I136" s="9" t="n"/>
      <c r="J136" s="9" t="n"/>
    </row>
    <row r="137" ht="22" customHeight="1">
      <c r="A137" s="9" t="n"/>
      <c r="B137" s="9" t="n"/>
      <c r="C137" s="9" t="n"/>
      <c r="D137" s="9" t="n"/>
      <c r="E137" s="9" t="n"/>
      <c r="F137" s="10" t="n"/>
      <c r="G137" s="10" t="n"/>
      <c r="H137" s="10">
        <f>IF(F137="","",F137*IF(G137="",1,G137))</f>
        <v/>
      </c>
      <c r="I137" s="9" t="n"/>
      <c r="J137" s="9" t="n"/>
    </row>
    <row r="138" ht="22" customHeight="1">
      <c r="A138" s="9" t="n"/>
      <c r="B138" s="9" t="n"/>
      <c r="C138" s="9" t="n"/>
      <c r="D138" s="9" t="n"/>
      <c r="E138" s="9" t="n"/>
      <c r="F138" s="10" t="n"/>
      <c r="G138" s="10" t="n"/>
      <c r="H138" s="10">
        <f>IF(F138="","",F138*IF(G138="",1,G138))</f>
        <v/>
      </c>
      <c r="I138" s="9" t="n"/>
      <c r="J138" s="9" t="n"/>
    </row>
    <row r="139" ht="22" customHeight="1">
      <c r="A139" s="9" t="n"/>
      <c r="B139" s="9" t="n"/>
      <c r="C139" s="9" t="n"/>
      <c r="D139" s="9" t="n"/>
      <c r="E139" s="9" t="n"/>
      <c r="F139" s="10" t="n"/>
      <c r="G139" s="10" t="n"/>
      <c r="H139" s="10">
        <f>IF(F139="","",F139*IF(G139="",1,G139))</f>
        <v/>
      </c>
      <c r="I139" s="9" t="n"/>
      <c r="J139" s="9" t="n"/>
    </row>
    <row r="140" ht="22" customHeight="1">
      <c r="A140" s="9" t="n"/>
      <c r="B140" s="9" t="n"/>
      <c r="C140" s="9" t="n"/>
      <c r="D140" s="9" t="n"/>
      <c r="E140" s="9" t="n"/>
      <c r="F140" s="10" t="n"/>
      <c r="G140" s="10" t="n"/>
      <c r="H140" s="10">
        <f>IF(F140="","",F140*IF(G140="",1,G140))</f>
        <v/>
      </c>
      <c r="I140" s="9" t="n"/>
      <c r="J140" s="9" t="n"/>
    </row>
    <row r="141" ht="22" customHeight="1">
      <c r="A141" s="9" t="n"/>
      <c r="B141" s="9" t="n"/>
      <c r="C141" s="9" t="n"/>
      <c r="D141" s="9" t="n"/>
      <c r="E141" s="9" t="n"/>
      <c r="F141" s="10" t="n"/>
      <c r="G141" s="10" t="n"/>
      <c r="H141" s="10">
        <f>IF(F141="","",F141*IF(G141="",1,G141))</f>
        <v/>
      </c>
      <c r="I141" s="9" t="n"/>
      <c r="J141" s="9" t="n"/>
    </row>
    <row r="142" ht="22" customHeight="1">
      <c r="A142" s="9" t="n"/>
      <c r="B142" s="9" t="n"/>
      <c r="C142" s="9" t="n"/>
      <c r="D142" s="9" t="n"/>
      <c r="E142" s="9" t="n"/>
      <c r="F142" s="10" t="n"/>
      <c r="G142" s="10" t="n"/>
      <c r="H142" s="10">
        <f>IF(F142="","",F142*IF(G142="",1,G142))</f>
        <v/>
      </c>
      <c r="I142" s="9" t="n"/>
      <c r="J142" s="9" t="n"/>
    </row>
    <row r="143" ht="22" customHeight="1">
      <c r="A143" s="9" t="n"/>
      <c r="B143" s="9" t="n"/>
      <c r="C143" s="9" t="n"/>
      <c r="D143" s="9" t="n"/>
      <c r="E143" s="9" t="n"/>
      <c r="F143" s="10" t="n"/>
      <c r="G143" s="10" t="n"/>
      <c r="H143" s="10">
        <f>IF(F143="","",F143*IF(G143="",1,G143))</f>
        <v/>
      </c>
      <c r="I143" s="9" t="n"/>
      <c r="J143" s="9" t="n"/>
    </row>
    <row r="144" ht="22" customHeight="1">
      <c r="A144" s="9" t="n"/>
      <c r="B144" s="9" t="n"/>
      <c r="C144" s="9" t="n"/>
      <c r="D144" s="9" t="n"/>
      <c r="E144" s="9" t="n"/>
      <c r="F144" s="10" t="n"/>
      <c r="G144" s="10" t="n"/>
      <c r="H144" s="10">
        <f>IF(F144="","",F144*IF(G144="",1,G144))</f>
        <v/>
      </c>
      <c r="I144" s="9" t="n"/>
      <c r="J144" s="9" t="n"/>
    </row>
    <row r="145" ht="22" customHeight="1">
      <c r="A145" s="9" t="n"/>
      <c r="B145" s="9" t="n"/>
      <c r="C145" s="9" t="n"/>
      <c r="D145" s="9" t="n"/>
      <c r="E145" s="9" t="n"/>
      <c r="F145" s="10" t="n"/>
      <c r="G145" s="10" t="n"/>
      <c r="H145" s="10">
        <f>IF(F145="","",F145*IF(G145="",1,G145))</f>
        <v/>
      </c>
      <c r="I145" s="9" t="n"/>
      <c r="J145" s="9" t="n"/>
    </row>
    <row r="146" ht="22" customHeight="1">
      <c r="A146" s="9" t="n"/>
      <c r="B146" s="9" t="n"/>
      <c r="C146" s="9" t="n"/>
      <c r="D146" s="9" t="n"/>
      <c r="E146" s="9" t="n"/>
      <c r="F146" s="10" t="n"/>
      <c r="G146" s="10" t="n"/>
      <c r="H146" s="10">
        <f>IF(F146="","",F146*IF(G146="",1,G146))</f>
        <v/>
      </c>
      <c r="I146" s="9" t="n"/>
      <c r="J146" s="9" t="n"/>
    </row>
    <row r="147" ht="22" customHeight="1">
      <c r="A147" s="9" t="n"/>
      <c r="B147" s="9" t="n"/>
      <c r="C147" s="9" t="n"/>
      <c r="D147" s="9" t="n"/>
      <c r="E147" s="9" t="n"/>
      <c r="F147" s="10" t="n"/>
      <c r="G147" s="10" t="n"/>
      <c r="H147" s="10">
        <f>IF(F147="","",F147*IF(G147="",1,G147))</f>
        <v/>
      </c>
      <c r="I147" s="9" t="n"/>
      <c r="J147" s="9" t="n"/>
    </row>
    <row r="148" ht="22" customHeight="1">
      <c r="A148" s="9" t="n"/>
      <c r="B148" s="9" t="n"/>
      <c r="C148" s="9" t="n"/>
      <c r="D148" s="9" t="n"/>
      <c r="E148" s="9" t="n"/>
      <c r="F148" s="10" t="n"/>
      <c r="G148" s="10" t="n"/>
      <c r="H148" s="10">
        <f>IF(F148="","",F148*IF(G148="",1,G148))</f>
        <v/>
      </c>
      <c r="I148" s="9" t="n"/>
      <c r="J148" s="9" t="n"/>
    </row>
    <row r="149" ht="22" customHeight="1">
      <c r="A149" s="9" t="n"/>
      <c r="B149" s="9" t="n"/>
      <c r="C149" s="9" t="n"/>
      <c r="D149" s="9" t="n"/>
      <c r="E149" s="9" t="n"/>
      <c r="F149" s="10" t="n"/>
      <c r="G149" s="10" t="n"/>
      <c r="H149" s="10">
        <f>IF(F149="","",F149*IF(G149="",1,G149))</f>
        <v/>
      </c>
      <c r="I149" s="9" t="n"/>
      <c r="J149" s="9" t="n"/>
    </row>
    <row r="150" ht="22" customHeight="1">
      <c r="A150" s="9" t="n"/>
      <c r="B150" s="9" t="n"/>
      <c r="C150" s="9" t="n"/>
      <c r="D150" s="9" t="n"/>
      <c r="E150" s="9" t="n"/>
      <c r="F150" s="10" t="n"/>
      <c r="G150" s="10" t="n"/>
      <c r="H150" s="10">
        <f>IF(F150="","",F150*IF(G150="",1,G150))</f>
        <v/>
      </c>
      <c r="I150" s="9" t="n"/>
      <c r="J150" s="9" t="n"/>
    </row>
    <row r="151" ht="22" customHeight="1">
      <c r="A151" s="9" t="n"/>
      <c r="B151" s="9" t="n"/>
      <c r="C151" s="9" t="n"/>
      <c r="D151" s="9" t="n"/>
      <c r="E151" s="9" t="n"/>
      <c r="F151" s="10" t="n"/>
      <c r="G151" s="10" t="n"/>
      <c r="H151" s="10">
        <f>IF(F151="","",F151*IF(G151="",1,G151))</f>
        <v/>
      </c>
      <c r="I151" s="9" t="n"/>
      <c r="J151" s="9" t="n"/>
    </row>
    <row r="152" ht="22" customHeight="1">
      <c r="A152" s="9" t="n"/>
      <c r="B152" s="9" t="n"/>
      <c r="C152" s="9" t="n"/>
      <c r="D152" s="9" t="n"/>
      <c r="E152" s="9" t="n"/>
      <c r="F152" s="10" t="n"/>
      <c r="G152" s="10" t="n"/>
      <c r="H152" s="10">
        <f>IF(F152="","",F152*IF(G152="",1,G152))</f>
        <v/>
      </c>
      <c r="I152" s="9" t="n"/>
      <c r="J152" s="9" t="n"/>
    </row>
    <row r="153" ht="22" customHeight="1">
      <c r="A153" s="9" t="n"/>
      <c r="B153" s="9" t="n"/>
      <c r="C153" s="9" t="n"/>
      <c r="D153" s="9" t="n"/>
      <c r="E153" s="9" t="n"/>
      <c r="F153" s="10" t="n"/>
      <c r="G153" s="10" t="n"/>
      <c r="H153" s="10">
        <f>IF(F153="","",F153*IF(G153="",1,G153))</f>
        <v/>
      </c>
      <c r="I153" s="9" t="n"/>
      <c r="J153" s="9" t="n"/>
    </row>
    <row r="154" ht="22" customHeight="1">
      <c r="A154" s="9" t="n"/>
      <c r="B154" s="9" t="n"/>
      <c r="C154" s="9" t="n"/>
      <c r="D154" s="9" t="n"/>
      <c r="E154" s="9" t="n"/>
      <c r="F154" s="10" t="n"/>
      <c r="G154" s="10" t="n"/>
      <c r="H154" s="10">
        <f>IF(F154="","",F154*IF(G154="",1,G154))</f>
        <v/>
      </c>
      <c r="I154" s="9" t="n"/>
      <c r="J154" s="9" t="n"/>
    </row>
    <row r="155" ht="22" customHeight="1">
      <c r="A155" s="9" t="n"/>
      <c r="B155" s="9" t="n"/>
      <c r="C155" s="9" t="n"/>
      <c r="D155" s="9" t="n"/>
      <c r="E155" s="9" t="n"/>
      <c r="F155" s="10" t="n"/>
      <c r="G155" s="10" t="n"/>
      <c r="H155" s="10">
        <f>IF(F155="","",F155*IF(G155="",1,G155))</f>
        <v/>
      </c>
      <c r="I155" s="9" t="n"/>
      <c r="J155" s="9" t="n"/>
    </row>
    <row r="156" ht="22" customHeight="1">
      <c r="A156" s="9" t="n"/>
      <c r="B156" s="9" t="n"/>
      <c r="C156" s="9" t="n"/>
      <c r="D156" s="9" t="n"/>
      <c r="E156" s="9" t="n"/>
      <c r="F156" s="10" t="n"/>
      <c r="G156" s="10" t="n"/>
      <c r="H156" s="10">
        <f>IF(F156="","",F156*IF(G156="",1,G156))</f>
        <v/>
      </c>
      <c r="I156" s="9" t="n"/>
      <c r="J156" s="9" t="n"/>
    </row>
    <row r="157" ht="22" customHeight="1">
      <c r="A157" s="9" t="n"/>
      <c r="B157" s="9" t="n"/>
      <c r="C157" s="9" t="n"/>
      <c r="D157" s="9" t="n"/>
      <c r="E157" s="9" t="n"/>
      <c r="F157" s="10" t="n"/>
      <c r="G157" s="10" t="n"/>
      <c r="H157" s="10">
        <f>IF(F157="","",F157*IF(G157="",1,G157))</f>
        <v/>
      </c>
      <c r="I157" s="9" t="n"/>
      <c r="J157" s="9" t="n"/>
    </row>
    <row r="158" ht="22" customHeight="1">
      <c r="A158" s="9" t="n"/>
      <c r="B158" s="9" t="n"/>
      <c r="C158" s="9" t="n"/>
      <c r="D158" s="9" t="n"/>
      <c r="E158" s="9" t="n"/>
      <c r="F158" s="10" t="n"/>
      <c r="G158" s="10" t="n"/>
      <c r="H158" s="10">
        <f>IF(F158="","",F158*IF(G158="",1,G158))</f>
        <v/>
      </c>
      <c r="I158" s="9" t="n"/>
      <c r="J158" s="9" t="n"/>
    </row>
    <row r="159" ht="22" customHeight="1">
      <c r="A159" s="9" t="n"/>
      <c r="B159" s="9" t="n"/>
      <c r="C159" s="9" t="n"/>
      <c r="D159" s="9" t="n"/>
      <c r="E159" s="9" t="n"/>
      <c r="F159" s="10" t="n"/>
      <c r="G159" s="10" t="n"/>
      <c r="H159" s="10">
        <f>IF(F159="","",F159*IF(G159="",1,G159))</f>
        <v/>
      </c>
      <c r="I159" s="9" t="n"/>
      <c r="J159" s="9" t="n"/>
    </row>
    <row r="160" ht="22" customHeight="1">
      <c r="A160" s="9" t="n"/>
      <c r="B160" s="9" t="n"/>
      <c r="C160" s="9" t="n"/>
      <c r="D160" s="9" t="n"/>
      <c r="E160" s="9" t="n"/>
      <c r="F160" s="10" t="n"/>
      <c r="G160" s="10" t="n"/>
      <c r="H160" s="10">
        <f>IF(F160="","",F160*IF(G160="",1,G160))</f>
        <v/>
      </c>
      <c r="I160" s="9" t="n"/>
      <c r="J160" s="9" t="n"/>
    </row>
    <row r="161" ht="22" customHeight="1">
      <c r="A161" s="9" t="n"/>
      <c r="B161" s="9" t="n"/>
      <c r="C161" s="9" t="n"/>
      <c r="D161" s="9" t="n"/>
      <c r="E161" s="9" t="n"/>
      <c r="F161" s="10" t="n"/>
      <c r="G161" s="10" t="n"/>
      <c r="H161" s="10">
        <f>IF(F161="","",F161*IF(G161="",1,G161))</f>
        <v/>
      </c>
      <c r="I161" s="9" t="n"/>
      <c r="J161" s="9" t="n"/>
    </row>
    <row r="162" ht="22" customHeight="1">
      <c r="A162" s="9" t="n"/>
      <c r="B162" s="9" t="n"/>
      <c r="C162" s="9" t="n"/>
      <c r="D162" s="9" t="n"/>
      <c r="E162" s="9" t="n"/>
      <c r="F162" s="10" t="n"/>
      <c r="G162" s="10" t="n"/>
      <c r="H162" s="10">
        <f>IF(F162="","",F162*IF(G162="",1,G162))</f>
        <v/>
      </c>
      <c r="I162" s="9" t="n"/>
      <c r="J162" s="9" t="n"/>
    </row>
    <row r="163" ht="22" customHeight="1">
      <c r="A163" s="9" t="n"/>
      <c r="B163" s="9" t="n"/>
      <c r="C163" s="9" t="n"/>
      <c r="D163" s="9" t="n"/>
      <c r="E163" s="9" t="n"/>
      <c r="F163" s="10" t="n"/>
      <c r="G163" s="10" t="n"/>
      <c r="H163" s="10">
        <f>IF(F163="","",F163*IF(G163="",1,G163))</f>
        <v/>
      </c>
      <c r="I163" s="9" t="n"/>
      <c r="J163" s="9" t="n"/>
    </row>
    <row r="164" ht="22" customHeight="1">
      <c r="A164" s="9" t="n"/>
      <c r="B164" s="9" t="n"/>
      <c r="C164" s="9" t="n"/>
      <c r="D164" s="9" t="n"/>
      <c r="E164" s="9" t="n"/>
      <c r="F164" s="10" t="n"/>
      <c r="G164" s="10" t="n"/>
      <c r="H164" s="10">
        <f>IF(F164="","",F164*IF(G164="",1,G164))</f>
        <v/>
      </c>
      <c r="I164" s="9" t="n"/>
      <c r="J164" s="9" t="n"/>
    </row>
    <row r="165" ht="22" customHeight="1">
      <c r="A165" s="9" t="n"/>
      <c r="B165" s="9" t="n"/>
      <c r="C165" s="9" t="n"/>
      <c r="D165" s="9" t="n"/>
      <c r="E165" s="9" t="n"/>
      <c r="F165" s="10" t="n"/>
      <c r="G165" s="10" t="n"/>
      <c r="H165" s="10">
        <f>IF(F165="","",F165*IF(G165="",1,G165))</f>
        <v/>
      </c>
      <c r="I165" s="9" t="n"/>
      <c r="J165" s="9" t="n"/>
    </row>
    <row r="166" ht="22" customHeight="1">
      <c r="A166" s="9" t="n"/>
      <c r="B166" s="9" t="n"/>
      <c r="C166" s="9" t="n"/>
      <c r="D166" s="9" t="n"/>
      <c r="E166" s="9" t="n"/>
      <c r="F166" s="10" t="n"/>
      <c r="G166" s="10" t="n"/>
      <c r="H166" s="10">
        <f>IF(F166="","",F166*IF(G166="",1,G166))</f>
        <v/>
      </c>
      <c r="I166" s="9" t="n"/>
      <c r="J166" s="9" t="n"/>
    </row>
    <row r="167" ht="22" customHeight="1">
      <c r="A167" s="9" t="n"/>
      <c r="B167" s="9" t="n"/>
      <c r="C167" s="9" t="n"/>
      <c r="D167" s="9" t="n"/>
      <c r="E167" s="9" t="n"/>
      <c r="F167" s="10" t="n"/>
      <c r="G167" s="10" t="n"/>
      <c r="H167" s="10">
        <f>IF(F167="","",F167*IF(G167="",1,G167))</f>
        <v/>
      </c>
      <c r="I167" s="9" t="n"/>
      <c r="J167" s="9" t="n"/>
    </row>
    <row r="168" ht="22" customHeight="1">
      <c r="A168" s="9" t="n"/>
      <c r="B168" s="9" t="n"/>
      <c r="C168" s="9" t="n"/>
      <c r="D168" s="9" t="n"/>
      <c r="E168" s="9" t="n"/>
      <c r="F168" s="10" t="n"/>
      <c r="G168" s="10" t="n"/>
      <c r="H168" s="10">
        <f>IF(F168="","",F168*IF(G168="",1,G168))</f>
        <v/>
      </c>
      <c r="I168" s="9" t="n"/>
      <c r="J168" s="9" t="n"/>
    </row>
    <row r="169" ht="22" customHeight="1">
      <c r="A169" s="9" t="n"/>
      <c r="B169" s="9" t="n"/>
      <c r="C169" s="9" t="n"/>
      <c r="D169" s="9" t="n"/>
      <c r="E169" s="9" t="n"/>
      <c r="F169" s="10" t="n"/>
      <c r="G169" s="10" t="n"/>
      <c r="H169" s="10">
        <f>IF(F169="","",F169*IF(G169="",1,G169))</f>
        <v/>
      </c>
      <c r="I169" s="9" t="n"/>
      <c r="J169" s="9" t="n"/>
    </row>
    <row r="170" ht="22" customHeight="1">
      <c r="A170" s="9" t="n"/>
      <c r="B170" s="9" t="n"/>
      <c r="C170" s="9" t="n"/>
      <c r="D170" s="9" t="n"/>
      <c r="E170" s="9" t="n"/>
      <c r="F170" s="10" t="n"/>
      <c r="G170" s="10" t="n"/>
      <c r="H170" s="10">
        <f>IF(F170="","",F170*IF(G170="",1,G170))</f>
        <v/>
      </c>
      <c r="I170" s="9" t="n"/>
      <c r="J170" s="9" t="n"/>
    </row>
    <row r="171" ht="22" customHeight="1">
      <c r="A171" s="9" t="n"/>
      <c r="B171" s="9" t="n"/>
      <c r="C171" s="9" t="n"/>
      <c r="D171" s="9" t="n"/>
      <c r="E171" s="9" t="n"/>
      <c r="F171" s="10" t="n"/>
      <c r="G171" s="10" t="n"/>
      <c r="H171" s="10">
        <f>IF(F171="","",F171*IF(G171="",1,G171))</f>
        <v/>
      </c>
      <c r="I171" s="9" t="n"/>
      <c r="J171" s="9" t="n"/>
    </row>
    <row r="172" ht="22" customHeight="1">
      <c r="A172" s="9" t="n"/>
      <c r="B172" s="9" t="n"/>
      <c r="C172" s="9" t="n"/>
      <c r="D172" s="9" t="n"/>
      <c r="E172" s="9" t="n"/>
      <c r="F172" s="10" t="n"/>
      <c r="G172" s="10" t="n"/>
      <c r="H172" s="10">
        <f>IF(F172="","",F172*IF(G172="",1,G172))</f>
        <v/>
      </c>
      <c r="I172" s="9" t="n"/>
      <c r="J172" s="9" t="n"/>
    </row>
    <row r="173" ht="22" customHeight="1">
      <c r="A173" s="9" t="n"/>
      <c r="B173" s="9" t="n"/>
      <c r="C173" s="9" t="n"/>
      <c r="D173" s="9" t="n"/>
      <c r="E173" s="9" t="n"/>
      <c r="F173" s="10" t="n"/>
      <c r="G173" s="10" t="n"/>
      <c r="H173" s="10">
        <f>IF(F173="","",F173*IF(G173="",1,G173))</f>
        <v/>
      </c>
      <c r="I173" s="9" t="n"/>
      <c r="J173" s="9" t="n"/>
    </row>
    <row r="174" ht="22" customHeight="1">
      <c r="A174" s="9" t="n"/>
      <c r="B174" s="9" t="n"/>
      <c r="C174" s="9" t="n"/>
      <c r="D174" s="9" t="n"/>
      <c r="E174" s="9" t="n"/>
      <c r="F174" s="10" t="n"/>
      <c r="G174" s="10" t="n"/>
      <c r="H174" s="10">
        <f>IF(F174="","",F174*IF(G174="",1,G174))</f>
        <v/>
      </c>
      <c r="I174" s="9" t="n"/>
      <c r="J174" s="9" t="n"/>
    </row>
    <row r="175" ht="22" customHeight="1">
      <c r="A175" s="9" t="n"/>
      <c r="B175" s="9" t="n"/>
      <c r="C175" s="9" t="n"/>
      <c r="D175" s="9" t="n"/>
      <c r="E175" s="9" t="n"/>
      <c r="F175" s="10" t="n"/>
      <c r="G175" s="10" t="n"/>
      <c r="H175" s="10">
        <f>IF(F175="","",F175*IF(G175="",1,G175))</f>
        <v/>
      </c>
      <c r="I175" s="9" t="n"/>
      <c r="J175" s="9" t="n"/>
    </row>
    <row r="176" ht="22" customHeight="1">
      <c r="A176" s="9" t="n"/>
      <c r="B176" s="9" t="n"/>
      <c r="C176" s="9" t="n"/>
      <c r="D176" s="9" t="n"/>
      <c r="E176" s="9" t="n"/>
      <c r="F176" s="10" t="n"/>
      <c r="G176" s="10" t="n"/>
      <c r="H176" s="10">
        <f>IF(F176="","",F176*IF(G176="",1,G176))</f>
        <v/>
      </c>
      <c r="I176" s="9" t="n"/>
      <c r="J176" s="9" t="n"/>
    </row>
    <row r="177" ht="22" customHeight="1">
      <c r="A177" s="9" t="n"/>
      <c r="B177" s="9" t="n"/>
      <c r="C177" s="9" t="n"/>
      <c r="D177" s="9" t="n"/>
      <c r="E177" s="9" t="n"/>
      <c r="F177" s="10" t="n"/>
      <c r="G177" s="10" t="n"/>
      <c r="H177" s="10">
        <f>IF(F177="","",F177*IF(G177="",1,G177))</f>
        <v/>
      </c>
      <c r="I177" s="9" t="n"/>
      <c r="J177" s="9" t="n"/>
    </row>
    <row r="178" ht="22" customHeight="1">
      <c r="A178" s="9" t="n"/>
      <c r="B178" s="9" t="n"/>
      <c r="C178" s="9" t="n"/>
      <c r="D178" s="9" t="n"/>
      <c r="E178" s="9" t="n"/>
      <c r="F178" s="10" t="n"/>
      <c r="G178" s="10" t="n"/>
      <c r="H178" s="10">
        <f>IF(F178="","",F178*IF(G178="",1,G178))</f>
        <v/>
      </c>
      <c r="I178" s="9" t="n"/>
      <c r="J178" s="9" t="n"/>
    </row>
    <row r="179" ht="22" customHeight="1">
      <c r="A179" s="9" t="n"/>
      <c r="B179" s="9" t="n"/>
      <c r="C179" s="9" t="n"/>
      <c r="D179" s="9" t="n"/>
      <c r="E179" s="9" t="n"/>
      <c r="F179" s="10" t="n"/>
      <c r="G179" s="10" t="n"/>
      <c r="H179" s="10">
        <f>IF(F179="","",F179*IF(G179="",1,G179))</f>
        <v/>
      </c>
      <c r="I179" s="9" t="n"/>
      <c r="J179" s="9" t="n"/>
    </row>
    <row r="180" ht="22" customHeight="1">
      <c r="A180" s="9" t="n"/>
      <c r="B180" s="9" t="n"/>
      <c r="C180" s="9" t="n"/>
      <c r="D180" s="9" t="n"/>
      <c r="E180" s="9" t="n"/>
      <c r="F180" s="10" t="n"/>
      <c r="G180" s="10" t="n"/>
      <c r="H180" s="10">
        <f>IF(F180="","",F180*IF(G180="",1,G180))</f>
        <v/>
      </c>
      <c r="I180" s="9" t="n"/>
      <c r="J180" s="9" t="n"/>
    </row>
    <row r="181" ht="22" customHeight="1">
      <c r="A181" s="9" t="n"/>
      <c r="B181" s="9" t="n"/>
      <c r="C181" s="9" t="n"/>
      <c r="D181" s="9" t="n"/>
      <c r="E181" s="9" t="n"/>
      <c r="F181" s="10" t="n"/>
      <c r="G181" s="10" t="n"/>
      <c r="H181" s="10">
        <f>IF(F181="","",F181*IF(G181="",1,G181))</f>
        <v/>
      </c>
      <c r="I181" s="9" t="n"/>
      <c r="J181" s="9" t="n"/>
    </row>
    <row r="182" ht="22" customHeight="1">
      <c r="A182" s="9" t="n"/>
      <c r="B182" s="9" t="n"/>
      <c r="C182" s="9" t="n"/>
      <c r="D182" s="9" t="n"/>
      <c r="E182" s="9" t="n"/>
      <c r="F182" s="10" t="n"/>
      <c r="G182" s="10" t="n"/>
      <c r="H182" s="10">
        <f>IF(F182="","",F182*IF(G182="",1,G182))</f>
        <v/>
      </c>
      <c r="I182" s="9" t="n"/>
      <c r="J182" s="9" t="n"/>
    </row>
    <row r="183" ht="22" customHeight="1">
      <c r="A183" s="9" t="n"/>
      <c r="B183" s="9" t="n"/>
      <c r="C183" s="9" t="n"/>
      <c r="D183" s="9" t="n"/>
      <c r="E183" s="9" t="n"/>
      <c r="F183" s="10" t="n"/>
      <c r="G183" s="10" t="n"/>
      <c r="H183" s="10">
        <f>IF(F183="","",F183*IF(G183="",1,G183))</f>
        <v/>
      </c>
      <c r="I183" s="9" t="n"/>
      <c r="J183" s="9" t="n"/>
    </row>
    <row r="184" ht="22" customHeight="1">
      <c r="A184" s="9" t="n"/>
      <c r="B184" s="9" t="n"/>
      <c r="C184" s="9" t="n"/>
      <c r="D184" s="9" t="n"/>
      <c r="E184" s="9" t="n"/>
      <c r="F184" s="10" t="n"/>
      <c r="G184" s="10" t="n"/>
      <c r="H184" s="10">
        <f>IF(F184="","",F184*IF(G184="",1,G184))</f>
        <v/>
      </c>
      <c r="I184" s="9" t="n"/>
      <c r="J184" s="9" t="n"/>
    </row>
    <row r="185" ht="22" customHeight="1">
      <c r="A185" s="9" t="n"/>
      <c r="B185" s="9" t="n"/>
      <c r="C185" s="9" t="n"/>
      <c r="D185" s="9" t="n"/>
      <c r="E185" s="9" t="n"/>
      <c r="F185" s="10" t="n"/>
      <c r="G185" s="10" t="n"/>
      <c r="H185" s="10">
        <f>IF(F185="","",F185*IF(G185="",1,G185))</f>
        <v/>
      </c>
      <c r="I185" s="9" t="n"/>
      <c r="J185" s="9" t="n"/>
    </row>
    <row r="186" ht="22" customHeight="1">
      <c r="A186" s="9" t="n"/>
      <c r="B186" s="9" t="n"/>
      <c r="C186" s="9" t="n"/>
      <c r="D186" s="9" t="n"/>
      <c r="E186" s="9" t="n"/>
      <c r="F186" s="10" t="n"/>
      <c r="G186" s="10" t="n"/>
      <c r="H186" s="10">
        <f>IF(F186="","",F186*IF(G186="",1,G186))</f>
        <v/>
      </c>
      <c r="I186" s="9" t="n"/>
      <c r="J186" s="9" t="n"/>
    </row>
    <row r="187" ht="22" customHeight="1">
      <c r="A187" s="9" t="n"/>
      <c r="B187" s="9" t="n"/>
      <c r="C187" s="9" t="n"/>
      <c r="D187" s="9" t="n"/>
      <c r="E187" s="9" t="n"/>
      <c r="F187" s="10" t="n"/>
      <c r="G187" s="10" t="n"/>
      <c r="H187" s="10">
        <f>IF(F187="","",F187*IF(G187="",1,G187))</f>
        <v/>
      </c>
      <c r="I187" s="9" t="n"/>
      <c r="J187" s="9" t="n"/>
    </row>
    <row r="188" ht="22" customHeight="1">
      <c r="A188" s="9" t="n"/>
      <c r="B188" s="9" t="n"/>
      <c r="C188" s="9" t="n"/>
      <c r="D188" s="9" t="n"/>
      <c r="E188" s="9" t="n"/>
      <c r="F188" s="10" t="n"/>
      <c r="G188" s="10" t="n"/>
      <c r="H188" s="10">
        <f>IF(F188="","",F188*IF(G188="",1,G188))</f>
        <v/>
      </c>
      <c r="I188" s="9" t="n"/>
      <c r="J188" s="9" t="n"/>
    </row>
    <row r="189" ht="22" customHeight="1">
      <c r="A189" s="9" t="n"/>
      <c r="B189" s="9" t="n"/>
      <c r="C189" s="9" t="n"/>
      <c r="D189" s="9" t="n"/>
      <c r="E189" s="9" t="n"/>
      <c r="F189" s="10" t="n"/>
      <c r="G189" s="10" t="n"/>
      <c r="H189" s="10">
        <f>IF(F189="","",F189*IF(G189="",1,G189))</f>
        <v/>
      </c>
      <c r="I189" s="9" t="n"/>
      <c r="J189" s="9" t="n"/>
    </row>
    <row r="190" ht="22" customHeight="1">
      <c r="A190" s="9" t="n"/>
      <c r="B190" s="9" t="n"/>
      <c r="C190" s="9" t="n"/>
      <c r="D190" s="9" t="n"/>
      <c r="E190" s="9" t="n"/>
      <c r="F190" s="10" t="n"/>
      <c r="G190" s="10" t="n"/>
      <c r="H190" s="10">
        <f>IF(F190="","",F190*IF(G190="",1,G190))</f>
        <v/>
      </c>
      <c r="I190" s="9" t="n"/>
      <c r="J190" s="9" t="n"/>
    </row>
    <row r="191" ht="22" customHeight="1">
      <c r="A191" s="9" t="n"/>
      <c r="B191" s="9" t="n"/>
      <c r="C191" s="9" t="n"/>
      <c r="D191" s="9" t="n"/>
      <c r="E191" s="9" t="n"/>
      <c r="F191" s="10" t="n"/>
      <c r="G191" s="10" t="n"/>
      <c r="H191" s="10">
        <f>IF(F191="","",F191*IF(G191="",1,G191))</f>
        <v/>
      </c>
      <c r="I191" s="9" t="n"/>
      <c r="J191" s="9" t="n"/>
    </row>
    <row r="192" ht="22" customHeight="1">
      <c r="A192" s="9" t="n"/>
      <c r="B192" s="9" t="n"/>
      <c r="C192" s="9" t="n"/>
      <c r="D192" s="9" t="n"/>
      <c r="E192" s="9" t="n"/>
      <c r="F192" s="10" t="n"/>
      <c r="G192" s="10" t="n"/>
      <c r="H192" s="10">
        <f>IF(F192="","",F192*IF(G192="",1,G192))</f>
        <v/>
      </c>
      <c r="I192" s="9" t="n"/>
      <c r="J192" s="9" t="n"/>
    </row>
    <row r="193" ht="22" customHeight="1">
      <c r="A193" s="9" t="n"/>
      <c r="B193" s="9" t="n"/>
      <c r="C193" s="9" t="n"/>
      <c r="D193" s="9" t="n"/>
      <c r="E193" s="9" t="n"/>
      <c r="F193" s="10" t="n"/>
      <c r="G193" s="10" t="n"/>
      <c r="H193" s="10">
        <f>IF(F193="","",F193*IF(G193="",1,G193))</f>
        <v/>
      </c>
      <c r="I193" s="9" t="n"/>
      <c r="J193" s="9" t="n"/>
    </row>
    <row r="194" ht="22" customHeight="1">
      <c r="A194" s="9" t="n"/>
      <c r="B194" s="9" t="n"/>
      <c r="C194" s="9" t="n"/>
      <c r="D194" s="9" t="n"/>
      <c r="E194" s="9" t="n"/>
      <c r="F194" s="10" t="n"/>
      <c r="G194" s="10" t="n"/>
      <c r="H194" s="10">
        <f>IF(F194="","",F194*IF(G194="",1,G194))</f>
        <v/>
      </c>
      <c r="I194" s="9" t="n"/>
      <c r="J194" s="9" t="n"/>
    </row>
    <row r="195" ht="22" customHeight="1">
      <c r="A195" s="9" t="n"/>
      <c r="B195" s="9" t="n"/>
      <c r="C195" s="9" t="n"/>
      <c r="D195" s="9" t="n"/>
      <c r="E195" s="9" t="n"/>
      <c r="F195" s="10" t="n"/>
      <c r="G195" s="10" t="n"/>
      <c r="H195" s="10">
        <f>IF(F195="","",F195*IF(G195="",1,G195))</f>
        <v/>
      </c>
      <c r="I195" s="9" t="n"/>
      <c r="J195" s="9" t="n"/>
    </row>
    <row r="196" ht="22" customHeight="1">
      <c r="A196" s="9" t="n"/>
      <c r="B196" s="9" t="n"/>
      <c r="C196" s="9" t="n"/>
      <c r="D196" s="9" t="n"/>
      <c r="E196" s="9" t="n"/>
      <c r="F196" s="10" t="n"/>
      <c r="G196" s="10" t="n"/>
      <c r="H196" s="10">
        <f>IF(F196="","",F196*IF(G196="",1,G196))</f>
        <v/>
      </c>
      <c r="I196" s="9" t="n"/>
      <c r="J196" s="9" t="n"/>
    </row>
    <row r="197" ht="22" customHeight="1">
      <c r="A197" s="9" t="n"/>
      <c r="B197" s="9" t="n"/>
      <c r="C197" s="9" t="n"/>
      <c r="D197" s="9" t="n"/>
      <c r="E197" s="9" t="n"/>
      <c r="F197" s="10" t="n"/>
      <c r="G197" s="10" t="n"/>
      <c r="H197" s="10">
        <f>IF(F197="","",F197*IF(G197="",1,G197))</f>
        <v/>
      </c>
      <c r="I197" s="9" t="n"/>
      <c r="J197" s="9" t="n"/>
    </row>
    <row r="198" ht="22" customHeight="1">
      <c r="A198" s="9" t="n"/>
      <c r="B198" s="9" t="n"/>
      <c r="C198" s="9" t="n"/>
      <c r="D198" s="9" t="n"/>
      <c r="E198" s="9" t="n"/>
      <c r="F198" s="10" t="n"/>
      <c r="G198" s="10" t="n"/>
      <c r="H198" s="10">
        <f>IF(F198="","",F198*IF(G198="",1,G198))</f>
        <v/>
      </c>
      <c r="I198" s="9" t="n"/>
      <c r="J198" s="9" t="n"/>
    </row>
    <row r="199" ht="22" customHeight="1">
      <c r="A199" s="9" t="n"/>
      <c r="B199" s="9" t="n"/>
      <c r="C199" s="9" t="n"/>
      <c r="D199" s="9" t="n"/>
      <c r="E199" s="9" t="n"/>
      <c r="F199" s="10" t="n"/>
      <c r="G199" s="10" t="n"/>
      <c r="H199" s="10">
        <f>IF(F199="","",F199*IF(G199="",1,G199))</f>
        <v/>
      </c>
      <c r="I199" s="9" t="n"/>
      <c r="J199" s="9" t="n"/>
    </row>
    <row r="200" ht="22" customHeight="1">
      <c r="A200" s="9" t="n"/>
      <c r="B200" s="9" t="n"/>
      <c r="C200" s="9" t="n"/>
      <c r="D200" s="9" t="n"/>
      <c r="E200" s="9" t="n"/>
      <c r="F200" s="10" t="n"/>
      <c r="G200" s="10" t="n"/>
      <c r="H200" s="10">
        <f>IF(F200="","",F200*IF(G200="",1,G200))</f>
        <v/>
      </c>
      <c r="I200" s="9" t="n"/>
      <c r="J200" s="9" t="n"/>
    </row>
    <row r="201" ht="22" customHeight="1">
      <c r="A201" s="9" t="n"/>
      <c r="B201" s="9" t="n"/>
      <c r="C201" s="9" t="n"/>
      <c r="D201" s="9" t="n"/>
      <c r="E201" s="9" t="n"/>
      <c r="F201" s="10" t="n"/>
      <c r="G201" s="10" t="n"/>
      <c r="H201" s="10">
        <f>IF(F201="","",F201*IF(G201="",1,G201))</f>
        <v/>
      </c>
      <c r="I201" s="9" t="n"/>
      <c r="J201" s="9" t="n"/>
    </row>
    <row r="202" ht="22" customHeight="1">
      <c r="A202" s="9" t="n"/>
      <c r="B202" s="9" t="n"/>
      <c r="C202" s="9" t="n"/>
      <c r="D202" s="9" t="n"/>
      <c r="E202" s="9" t="n"/>
      <c r="F202" s="10" t="n"/>
      <c r="G202" s="10" t="n"/>
      <c r="H202" s="10">
        <f>IF(F202="","",F202*IF(G202="",1,G202))</f>
        <v/>
      </c>
      <c r="I202" s="9" t="n"/>
      <c r="J202" s="9" t="n"/>
    </row>
    <row r="203" ht="22" customHeight="1">
      <c r="A203" s="9" t="n"/>
      <c r="B203" s="9" t="n"/>
      <c r="C203" s="9" t="n"/>
      <c r="D203" s="9" t="n"/>
      <c r="E203" s="9" t="n"/>
      <c r="F203" s="10" t="n"/>
      <c r="G203" s="10" t="n"/>
      <c r="H203" s="10">
        <f>IF(F203="","",F203*IF(G203="",1,G203))</f>
        <v/>
      </c>
      <c r="I203" s="9" t="n"/>
      <c r="J203" s="9" t="n"/>
    </row>
    <row r="204" ht="22" customHeight="1">
      <c r="A204" s="9" t="n"/>
      <c r="B204" s="9" t="n"/>
      <c r="C204" s="9" t="n"/>
      <c r="D204" s="9" t="n"/>
      <c r="E204" s="9" t="n"/>
      <c r="F204" s="10" t="n"/>
      <c r="G204" s="10" t="n"/>
      <c r="H204" s="10">
        <f>IF(F204="","",F204*IF(G204="",1,G204))</f>
        <v/>
      </c>
      <c r="I204" s="9" t="n"/>
      <c r="J204" s="9" t="n"/>
    </row>
    <row r="205" ht="22" customHeight="1">
      <c r="A205" s="9" t="n"/>
      <c r="B205" s="9" t="n"/>
      <c r="C205" s="9" t="n"/>
      <c r="D205" s="9" t="n"/>
      <c r="E205" s="9" t="n"/>
      <c r="F205" s="10" t="n"/>
      <c r="G205" s="10" t="n"/>
      <c r="H205" s="10">
        <f>IF(F205="","",F205*IF(G205="",1,G205))</f>
        <v/>
      </c>
      <c r="I205" s="9" t="n"/>
      <c r="J205" s="9" t="n"/>
    </row>
    <row r="206" ht="22" customHeight="1">
      <c r="A206" s="9" t="n"/>
      <c r="B206" s="9" t="n"/>
      <c r="C206" s="9" t="n"/>
      <c r="D206" s="9" t="n"/>
      <c r="E206" s="9" t="n"/>
      <c r="F206" s="10" t="n"/>
      <c r="G206" s="10" t="n"/>
      <c r="H206" s="10">
        <f>IF(F206="","",F206*IF(G206="",1,G206))</f>
        <v/>
      </c>
      <c r="I206" s="9" t="n"/>
      <c r="J206" s="9" t="n"/>
    </row>
    <row r="207" ht="22" customHeight="1">
      <c r="A207" s="9" t="n"/>
      <c r="B207" s="9" t="n"/>
      <c r="C207" s="9" t="n"/>
      <c r="D207" s="9" t="n"/>
      <c r="E207" s="9" t="n"/>
      <c r="F207" s="10" t="n"/>
      <c r="G207" s="10" t="n"/>
      <c r="H207" s="10">
        <f>IF(F207="","",F207*IF(G207="",1,G207))</f>
        <v/>
      </c>
      <c r="I207" s="9" t="n"/>
      <c r="J207" s="9" t="n"/>
    </row>
    <row r="208" ht="22" customHeight="1">
      <c r="A208" s="9" t="n"/>
      <c r="B208" s="9" t="n"/>
      <c r="C208" s="9" t="n"/>
      <c r="D208" s="9" t="n"/>
      <c r="E208" s="9" t="n"/>
      <c r="F208" s="10" t="n"/>
      <c r="G208" s="10" t="n"/>
      <c r="H208" s="10">
        <f>IF(F208="","",F208*IF(G208="",1,G208))</f>
        <v/>
      </c>
      <c r="I208" s="9" t="n"/>
      <c r="J208" s="9" t="n"/>
    </row>
    <row r="209" ht="22" customHeight="1">
      <c r="A209" s="9" t="n"/>
      <c r="B209" s="9" t="n"/>
      <c r="C209" s="9" t="n"/>
      <c r="D209" s="9" t="n"/>
      <c r="E209" s="9" t="n"/>
      <c r="F209" s="10" t="n"/>
      <c r="G209" s="10" t="n"/>
      <c r="H209" s="10">
        <f>IF(F209="","",F209*IF(G209="",1,G209))</f>
        <v/>
      </c>
      <c r="I209" s="9" t="n"/>
      <c r="J209" s="9" t="n"/>
    </row>
    <row r="210" ht="22" customHeight="1">
      <c r="A210" s="9" t="n"/>
      <c r="B210" s="9" t="n"/>
      <c r="C210" s="9" t="n"/>
      <c r="D210" s="9" t="n"/>
      <c r="E210" s="9" t="n"/>
      <c r="F210" s="10" t="n"/>
      <c r="G210" s="10" t="n"/>
      <c r="H210" s="10">
        <f>IF(F210="","",F210*IF(G210="",1,G210))</f>
        <v/>
      </c>
      <c r="I210" s="9" t="n"/>
      <c r="J210" s="9" t="n"/>
    </row>
    <row r="211" ht="22" customHeight="1">
      <c r="A211" s="9" t="n"/>
      <c r="B211" s="9" t="n"/>
      <c r="C211" s="9" t="n"/>
      <c r="D211" s="9" t="n"/>
      <c r="E211" s="9" t="n"/>
      <c r="F211" s="10" t="n"/>
      <c r="G211" s="10" t="n"/>
      <c r="H211" s="10">
        <f>IF(F211="","",F211*IF(G211="",1,G211))</f>
        <v/>
      </c>
      <c r="I211" s="9" t="n"/>
      <c r="J211" s="9" t="n"/>
    </row>
    <row r="212" ht="22" customHeight="1">
      <c r="A212" s="9" t="n"/>
      <c r="B212" s="9" t="n"/>
      <c r="C212" s="9" t="n"/>
      <c r="D212" s="9" t="n"/>
      <c r="E212" s="9" t="n"/>
      <c r="F212" s="10" t="n"/>
      <c r="G212" s="10" t="n"/>
      <c r="H212" s="10">
        <f>IF(F212="","",F212*IF(G212="",1,G212))</f>
        <v/>
      </c>
      <c r="I212" s="9" t="n"/>
      <c r="J212" s="9" t="n"/>
    </row>
    <row r="213" ht="22" customHeight="1">
      <c r="A213" s="9" t="n"/>
      <c r="B213" s="9" t="n"/>
      <c r="C213" s="9" t="n"/>
      <c r="D213" s="9" t="n"/>
      <c r="E213" s="9" t="n"/>
      <c r="F213" s="10" t="n"/>
      <c r="G213" s="10" t="n"/>
      <c r="H213" s="10">
        <f>IF(F213="","",F213*IF(G213="",1,G213))</f>
        <v/>
      </c>
      <c r="I213" s="9" t="n"/>
      <c r="J213" s="9" t="n"/>
    </row>
    <row r="214" ht="22" customHeight="1">
      <c r="A214" s="9" t="n"/>
      <c r="B214" s="9" t="n"/>
      <c r="C214" s="9" t="n"/>
      <c r="D214" s="9" t="n"/>
      <c r="E214" s="9" t="n"/>
      <c r="F214" s="10" t="n"/>
      <c r="G214" s="10" t="n"/>
      <c r="H214" s="10">
        <f>IF(F214="","",F214*IF(G214="",1,G214))</f>
        <v/>
      </c>
      <c r="I214" s="9" t="n"/>
      <c r="J214" s="9" t="n"/>
    </row>
    <row r="215" ht="22" customHeight="1">
      <c r="A215" s="9" t="n"/>
      <c r="B215" s="9" t="n"/>
      <c r="C215" s="9" t="n"/>
      <c r="D215" s="9" t="n"/>
      <c r="E215" s="9" t="n"/>
      <c r="F215" s="10" t="n"/>
      <c r="G215" s="10" t="n"/>
      <c r="H215" s="10">
        <f>IF(F215="","",F215*IF(G215="",1,G215))</f>
        <v/>
      </c>
      <c r="I215" s="9" t="n"/>
      <c r="J215" s="9" t="n"/>
    </row>
    <row r="216" ht="22" customHeight="1">
      <c r="A216" s="9" t="n"/>
      <c r="B216" s="9" t="n"/>
      <c r="C216" s="9" t="n"/>
      <c r="D216" s="9" t="n"/>
      <c r="E216" s="9" t="n"/>
      <c r="F216" s="10" t="n"/>
      <c r="G216" s="10" t="n"/>
      <c r="H216" s="10">
        <f>IF(F216="","",F216*IF(G216="",1,G216))</f>
        <v/>
      </c>
      <c r="I216" s="9" t="n"/>
      <c r="J216" s="9" t="n"/>
    </row>
    <row r="217" ht="22" customHeight="1">
      <c r="A217" s="9" t="n"/>
      <c r="B217" s="9" t="n"/>
      <c r="C217" s="9" t="n"/>
      <c r="D217" s="9" t="n"/>
      <c r="E217" s="9" t="n"/>
      <c r="F217" s="10" t="n"/>
      <c r="G217" s="10" t="n"/>
      <c r="H217" s="10">
        <f>IF(F217="","",F217*IF(G217="",1,G217))</f>
        <v/>
      </c>
      <c r="I217" s="9" t="n"/>
      <c r="J217" s="9" t="n"/>
    </row>
    <row r="218" ht="22" customHeight="1">
      <c r="A218" s="9" t="n"/>
      <c r="B218" s="9" t="n"/>
      <c r="C218" s="9" t="n"/>
      <c r="D218" s="9" t="n"/>
      <c r="E218" s="9" t="n"/>
      <c r="F218" s="10" t="n"/>
      <c r="G218" s="10" t="n"/>
      <c r="H218" s="10">
        <f>IF(F218="","",F218*IF(G218="",1,G218))</f>
        <v/>
      </c>
      <c r="I218" s="9" t="n"/>
      <c r="J218" s="9" t="n"/>
    </row>
    <row r="219" ht="22" customHeight="1">
      <c r="A219" s="9" t="n"/>
      <c r="B219" s="9" t="n"/>
      <c r="C219" s="9" t="n"/>
      <c r="D219" s="9" t="n"/>
      <c r="E219" s="9" t="n"/>
      <c r="F219" s="10" t="n"/>
      <c r="G219" s="10" t="n"/>
      <c r="H219" s="10">
        <f>IF(F219="","",F219*IF(G219="",1,G219))</f>
        <v/>
      </c>
      <c r="I219" s="9" t="n"/>
      <c r="J219" s="9" t="n"/>
    </row>
    <row r="220" ht="22" customHeight="1">
      <c r="A220" s="9" t="n"/>
      <c r="B220" s="9" t="n"/>
      <c r="C220" s="9" t="n"/>
      <c r="D220" s="9" t="n"/>
      <c r="E220" s="9" t="n"/>
      <c r="F220" s="10" t="n"/>
      <c r="G220" s="10" t="n"/>
      <c r="H220" s="10">
        <f>IF(F220="","",F220*IF(G220="",1,G220))</f>
        <v/>
      </c>
      <c r="I220" s="9" t="n"/>
      <c r="J220" s="9" t="n"/>
    </row>
    <row r="221" ht="22" customHeight="1">
      <c r="A221" s="9" t="n"/>
      <c r="B221" s="9" t="n"/>
      <c r="C221" s="9" t="n"/>
      <c r="D221" s="9" t="n"/>
      <c r="E221" s="9" t="n"/>
      <c r="F221" s="10" t="n"/>
      <c r="G221" s="10" t="n"/>
      <c r="H221" s="10">
        <f>IF(F221="","",F221*IF(G221="",1,G221))</f>
        <v/>
      </c>
      <c r="I221" s="9" t="n"/>
      <c r="J221" s="9" t="n"/>
    </row>
    <row r="222" ht="22" customHeight="1">
      <c r="A222" s="9" t="n"/>
      <c r="B222" s="9" t="n"/>
      <c r="C222" s="9" t="n"/>
      <c r="D222" s="9" t="n"/>
      <c r="E222" s="9" t="n"/>
      <c r="F222" s="10" t="n"/>
      <c r="G222" s="10" t="n"/>
      <c r="H222" s="10">
        <f>IF(F222="","",F222*IF(G222="",1,G222))</f>
        <v/>
      </c>
      <c r="I222" s="9" t="n"/>
      <c r="J222" s="9" t="n"/>
    </row>
    <row r="223" ht="22" customHeight="1">
      <c r="A223" s="9" t="n"/>
      <c r="B223" s="9" t="n"/>
      <c r="C223" s="9" t="n"/>
      <c r="D223" s="9" t="n"/>
      <c r="E223" s="9" t="n"/>
      <c r="F223" s="10" t="n"/>
      <c r="G223" s="10" t="n"/>
      <c r="H223" s="10">
        <f>IF(F223="","",F223*IF(G223="",1,G223))</f>
        <v/>
      </c>
      <c r="I223" s="9" t="n"/>
      <c r="J223" s="9" t="n"/>
    </row>
    <row r="224" ht="22" customHeight="1">
      <c r="A224" s="9" t="n"/>
      <c r="B224" s="9" t="n"/>
      <c r="C224" s="9" t="n"/>
      <c r="D224" s="9" t="n"/>
      <c r="E224" s="9" t="n"/>
      <c r="F224" s="10" t="n"/>
      <c r="G224" s="10" t="n"/>
      <c r="H224" s="10">
        <f>IF(F224="","",F224*IF(G224="",1,G224))</f>
        <v/>
      </c>
      <c r="I224" s="9" t="n"/>
      <c r="J224" s="9" t="n"/>
    </row>
    <row r="225" ht="22" customHeight="1">
      <c r="A225" s="9" t="n"/>
      <c r="B225" s="9" t="n"/>
      <c r="C225" s="9" t="n"/>
      <c r="D225" s="9" t="n"/>
      <c r="E225" s="9" t="n"/>
      <c r="F225" s="10" t="n"/>
      <c r="G225" s="10" t="n"/>
      <c r="H225" s="10">
        <f>IF(F225="","",F225*IF(G225="",1,G225))</f>
        <v/>
      </c>
      <c r="I225" s="9" t="n"/>
      <c r="J225" s="9" t="n"/>
    </row>
    <row r="226" ht="22" customHeight="1">
      <c r="A226" s="9" t="n"/>
      <c r="B226" s="9" t="n"/>
      <c r="C226" s="9" t="n"/>
      <c r="D226" s="9" t="n"/>
      <c r="E226" s="9" t="n"/>
      <c r="F226" s="10" t="n"/>
      <c r="G226" s="10" t="n"/>
      <c r="H226" s="10">
        <f>IF(F226="","",F226*IF(G226="",1,G226))</f>
        <v/>
      </c>
      <c r="I226" s="9" t="n"/>
      <c r="J226" s="9" t="n"/>
    </row>
    <row r="227" ht="22" customHeight="1">
      <c r="A227" s="9" t="n"/>
      <c r="B227" s="9" t="n"/>
      <c r="C227" s="9" t="n"/>
      <c r="D227" s="9" t="n"/>
      <c r="E227" s="9" t="n"/>
      <c r="F227" s="10" t="n"/>
      <c r="G227" s="10" t="n"/>
      <c r="H227" s="10">
        <f>IF(F227="","",F227*IF(G227="",1,G227))</f>
        <v/>
      </c>
      <c r="I227" s="9" t="n"/>
      <c r="J227" s="9" t="n"/>
    </row>
    <row r="228" ht="22" customHeight="1">
      <c r="A228" s="9" t="n"/>
      <c r="B228" s="9" t="n"/>
      <c r="C228" s="9" t="n"/>
      <c r="D228" s="9" t="n"/>
      <c r="E228" s="9" t="n"/>
      <c r="F228" s="10" t="n"/>
      <c r="G228" s="10" t="n"/>
      <c r="H228" s="10">
        <f>IF(F228="","",F228*IF(G228="",1,G228))</f>
        <v/>
      </c>
      <c r="I228" s="9" t="n"/>
      <c r="J228" s="9" t="n"/>
    </row>
    <row r="229" ht="22" customHeight="1">
      <c r="A229" s="9" t="n"/>
      <c r="B229" s="9" t="n"/>
      <c r="C229" s="9" t="n"/>
      <c r="D229" s="9" t="n"/>
      <c r="E229" s="9" t="n"/>
      <c r="F229" s="10" t="n"/>
      <c r="G229" s="10" t="n"/>
      <c r="H229" s="10">
        <f>IF(F229="","",F229*IF(G229="",1,G229))</f>
        <v/>
      </c>
      <c r="I229" s="9" t="n"/>
      <c r="J229" s="9" t="n"/>
    </row>
    <row r="230" ht="22" customHeight="1">
      <c r="A230" s="9" t="n"/>
      <c r="B230" s="9" t="n"/>
      <c r="C230" s="9" t="n"/>
      <c r="D230" s="9" t="n"/>
      <c r="E230" s="9" t="n"/>
      <c r="F230" s="10" t="n"/>
      <c r="G230" s="10" t="n"/>
      <c r="H230" s="10">
        <f>IF(F230="","",F230*IF(G230="",1,G230))</f>
        <v/>
      </c>
      <c r="I230" s="9" t="n"/>
      <c r="J230" s="9" t="n"/>
    </row>
    <row r="231" ht="22" customHeight="1">
      <c r="A231" s="9" t="n"/>
      <c r="B231" s="9" t="n"/>
      <c r="C231" s="9" t="n"/>
      <c r="D231" s="9" t="n"/>
      <c r="E231" s="9" t="n"/>
      <c r="F231" s="10" t="n"/>
      <c r="G231" s="10" t="n"/>
      <c r="H231" s="10">
        <f>IF(F231="","",F231*IF(G231="",1,G231))</f>
        <v/>
      </c>
      <c r="I231" s="9" t="n"/>
      <c r="J231" s="9" t="n"/>
    </row>
    <row r="232" ht="22" customHeight="1">
      <c r="A232" s="9" t="n"/>
      <c r="B232" s="9" t="n"/>
      <c r="C232" s="9" t="n"/>
      <c r="D232" s="9" t="n"/>
      <c r="E232" s="9" t="n"/>
      <c r="F232" s="10" t="n"/>
      <c r="G232" s="10" t="n"/>
      <c r="H232" s="10">
        <f>IF(F232="","",F232*IF(G232="",1,G232))</f>
        <v/>
      </c>
      <c r="I232" s="9" t="n"/>
      <c r="J232" s="9" t="n"/>
    </row>
    <row r="233" ht="22" customHeight="1">
      <c r="A233" s="9" t="n"/>
      <c r="B233" s="9" t="n"/>
      <c r="C233" s="9" t="n"/>
      <c r="D233" s="9" t="n"/>
      <c r="E233" s="9" t="n"/>
      <c r="F233" s="10" t="n"/>
      <c r="G233" s="10" t="n"/>
      <c r="H233" s="10">
        <f>IF(F233="","",F233*IF(G233="",1,G233))</f>
        <v/>
      </c>
      <c r="I233" s="9" t="n"/>
      <c r="J233" s="9" t="n"/>
    </row>
    <row r="234" ht="22" customHeight="1">
      <c r="A234" s="9" t="n"/>
      <c r="B234" s="9" t="n"/>
      <c r="C234" s="9" t="n"/>
      <c r="D234" s="9" t="n"/>
      <c r="E234" s="9" t="n"/>
      <c r="F234" s="10" t="n"/>
      <c r="G234" s="10" t="n"/>
      <c r="H234" s="10">
        <f>IF(F234="","",F234*IF(G234="",1,G234))</f>
        <v/>
      </c>
      <c r="I234" s="9" t="n"/>
      <c r="J234" s="9" t="n"/>
    </row>
    <row r="235" ht="22" customHeight="1">
      <c r="A235" s="9" t="n"/>
      <c r="B235" s="9" t="n"/>
      <c r="C235" s="9" t="n"/>
      <c r="D235" s="9" t="n"/>
      <c r="E235" s="9" t="n"/>
      <c r="F235" s="10" t="n"/>
      <c r="G235" s="10" t="n"/>
      <c r="H235" s="10">
        <f>IF(F235="","",F235*IF(G235="",1,G235))</f>
        <v/>
      </c>
      <c r="I235" s="9" t="n"/>
      <c r="J235" s="9" t="n"/>
    </row>
    <row r="236" ht="22" customHeight="1">
      <c r="A236" s="9" t="n"/>
      <c r="B236" s="9" t="n"/>
      <c r="C236" s="9" t="n"/>
      <c r="D236" s="9" t="n"/>
      <c r="E236" s="9" t="n"/>
      <c r="F236" s="10" t="n"/>
      <c r="G236" s="10" t="n"/>
      <c r="H236" s="10">
        <f>IF(F236="","",F236*IF(G236="",1,G236))</f>
        <v/>
      </c>
      <c r="I236" s="9" t="n"/>
      <c r="J236" s="9" t="n"/>
    </row>
    <row r="237" ht="22" customHeight="1">
      <c r="A237" s="9" t="n"/>
      <c r="B237" s="9" t="n"/>
      <c r="C237" s="9" t="n"/>
      <c r="D237" s="9" t="n"/>
      <c r="E237" s="9" t="n"/>
      <c r="F237" s="10" t="n"/>
      <c r="G237" s="10" t="n"/>
      <c r="H237" s="10">
        <f>IF(F237="","",F237*IF(G237="",1,G237))</f>
        <v/>
      </c>
      <c r="I237" s="9" t="n"/>
      <c r="J237" s="9" t="n"/>
    </row>
    <row r="238" ht="22" customHeight="1">
      <c r="A238" s="9" t="n"/>
      <c r="B238" s="9" t="n"/>
      <c r="C238" s="9" t="n"/>
      <c r="D238" s="9" t="n"/>
      <c r="E238" s="9" t="n"/>
      <c r="F238" s="10" t="n"/>
      <c r="G238" s="10" t="n"/>
      <c r="H238" s="10">
        <f>IF(F238="","",F238*IF(G238="",1,G238))</f>
        <v/>
      </c>
      <c r="I238" s="9" t="n"/>
      <c r="J238" s="9" t="n"/>
    </row>
    <row r="239" ht="22" customHeight="1">
      <c r="A239" s="9" t="n"/>
      <c r="B239" s="9" t="n"/>
      <c r="C239" s="9" t="n"/>
      <c r="D239" s="9" t="n"/>
      <c r="E239" s="9" t="n"/>
      <c r="F239" s="10" t="n"/>
      <c r="G239" s="10" t="n"/>
      <c r="H239" s="10">
        <f>IF(F239="","",F239*IF(G239="",1,G239))</f>
        <v/>
      </c>
      <c r="I239" s="9" t="n"/>
      <c r="J239" s="9" t="n"/>
    </row>
    <row r="240" ht="22" customHeight="1">
      <c r="A240" s="9" t="n"/>
      <c r="B240" s="9" t="n"/>
      <c r="C240" s="9" t="n"/>
      <c r="D240" s="9" t="n"/>
      <c r="E240" s="9" t="n"/>
      <c r="F240" s="10" t="n"/>
      <c r="G240" s="10" t="n"/>
      <c r="H240" s="10">
        <f>IF(F240="","",F240*IF(G240="",1,G240))</f>
        <v/>
      </c>
      <c r="I240" s="9" t="n"/>
      <c r="J240" s="9" t="n"/>
    </row>
    <row r="241" ht="22" customHeight="1">
      <c r="A241" s="9" t="n"/>
      <c r="B241" s="9" t="n"/>
      <c r="C241" s="9" t="n"/>
      <c r="D241" s="9" t="n"/>
      <c r="E241" s="9" t="n"/>
      <c r="F241" s="10" t="n"/>
      <c r="G241" s="10" t="n"/>
      <c r="H241" s="10">
        <f>IF(F241="","",F241*IF(G241="",1,G241))</f>
        <v/>
      </c>
      <c r="I241" s="9" t="n"/>
      <c r="J241" s="9" t="n"/>
    </row>
    <row r="242" ht="22" customHeight="1">
      <c r="A242" s="9" t="n"/>
      <c r="B242" s="9" t="n"/>
      <c r="C242" s="9" t="n"/>
      <c r="D242" s="9" t="n"/>
      <c r="E242" s="9" t="n"/>
      <c r="F242" s="10" t="n"/>
      <c r="G242" s="10" t="n"/>
      <c r="H242" s="10">
        <f>IF(F242="","",F242*IF(G242="",1,G242))</f>
        <v/>
      </c>
      <c r="I242" s="9" t="n"/>
      <c r="J242" s="9" t="n"/>
    </row>
    <row r="243" ht="22" customHeight="1">
      <c r="A243" s="9" t="n"/>
      <c r="B243" s="9" t="n"/>
      <c r="C243" s="9" t="n"/>
      <c r="D243" s="9" t="n"/>
      <c r="E243" s="9" t="n"/>
      <c r="F243" s="10" t="n"/>
      <c r="G243" s="10" t="n"/>
      <c r="H243" s="10">
        <f>IF(F243="","",F243*IF(G243="",1,G243))</f>
        <v/>
      </c>
      <c r="I243" s="9" t="n"/>
      <c r="J243" s="9" t="n"/>
    </row>
    <row r="244" ht="22" customHeight="1">
      <c r="A244" s="9" t="n"/>
      <c r="B244" s="9" t="n"/>
      <c r="C244" s="9" t="n"/>
      <c r="D244" s="9" t="n"/>
      <c r="E244" s="9" t="n"/>
      <c r="F244" s="10" t="n"/>
      <c r="G244" s="10" t="n"/>
      <c r="H244" s="10">
        <f>IF(F244="","",F244*IF(G244="",1,G244))</f>
        <v/>
      </c>
      <c r="I244" s="9" t="n"/>
      <c r="J244" s="9" t="n"/>
    </row>
    <row r="245" ht="22" customHeight="1">
      <c r="A245" s="9" t="n"/>
      <c r="B245" s="9" t="n"/>
      <c r="C245" s="9" t="n"/>
      <c r="D245" s="9" t="n"/>
      <c r="E245" s="9" t="n"/>
      <c r="F245" s="10" t="n"/>
      <c r="G245" s="10" t="n"/>
      <c r="H245" s="10">
        <f>IF(F245="","",F245*IF(G245="",1,G245))</f>
        <v/>
      </c>
      <c r="I245" s="9" t="n"/>
      <c r="J245" s="9" t="n"/>
    </row>
    <row r="246" ht="22" customHeight="1">
      <c r="A246" s="9" t="n"/>
      <c r="B246" s="9" t="n"/>
      <c r="C246" s="9" t="n"/>
      <c r="D246" s="9" t="n"/>
      <c r="E246" s="9" t="n"/>
      <c r="F246" s="10" t="n"/>
      <c r="G246" s="10" t="n"/>
      <c r="H246" s="10">
        <f>IF(F246="","",F246*IF(G246="",1,G246))</f>
        <v/>
      </c>
      <c r="I246" s="9" t="n"/>
      <c r="J246" s="9" t="n"/>
    </row>
    <row r="247" ht="22" customHeight="1">
      <c r="A247" s="9" t="n"/>
      <c r="B247" s="9" t="n"/>
      <c r="C247" s="9" t="n"/>
      <c r="D247" s="9" t="n"/>
      <c r="E247" s="9" t="n"/>
      <c r="F247" s="10" t="n"/>
      <c r="G247" s="10" t="n"/>
      <c r="H247" s="10">
        <f>IF(F247="","",F247*IF(G247="",1,G247))</f>
        <v/>
      </c>
      <c r="I247" s="9" t="n"/>
      <c r="J247" s="9" t="n"/>
    </row>
    <row r="248" ht="22" customHeight="1">
      <c r="A248" s="9" t="n"/>
      <c r="B248" s="9" t="n"/>
      <c r="C248" s="9" t="n"/>
      <c r="D248" s="9" t="n"/>
      <c r="E248" s="9" t="n"/>
      <c r="F248" s="10" t="n"/>
      <c r="G248" s="10" t="n"/>
      <c r="H248" s="10">
        <f>IF(F248="","",F248*IF(G248="",1,G248))</f>
        <v/>
      </c>
      <c r="I248" s="9" t="n"/>
      <c r="J248" s="9" t="n"/>
    </row>
    <row r="249" ht="22" customHeight="1">
      <c r="A249" s="9" t="n"/>
      <c r="B249" s="9" t="n"/>
      <c r="C249" s="9" t="n"/>
      <c r="D249" s="9" t="n"/>
      <c r="E249" s="9" t="n"/>
      <c r="F249" s="10" t="n"/>
      <c r="G249" s="10" t="n"/>
      <c r="H249" s="10">
        <f>IF(F249="","",F249*IF(G249="",1,G249))</f>
        <v/>
      </c>
      <c r="I249" s="9" t="n"/>
      <c r="J249" s="9" t="n"/>
    </row>
    <row r="250" ht="22" customHeight="1">
      <c r="A250" s="9" t="n"/>
      <c r="B250" s="9" t="n"/>
      <c r="C250" s="9" t="n"/>
      <c r="D250" s="9" t="n"/>
      <c r="E250" s="9" t="n"/>
      <c r="F250" s="10" t="n"/>
      <c r="G250" s="10" t="n"/>
      <c r="H250" s="10">
        <f>IF(F250="","",F250*IF(G250="",1,G250))</f>
        <v/>
      </c>
      <c r="I250" s="9" t="n"/>
      <c r="J250" s="9" t="n"/>
    </row>
    <row r="251" ht="22" customHeight="1">
      <c r="A251" s="9" t="n"/>
      <c r="B251" s="9" t="n"/>
      <c r="C251" s="9" t="n"/>
      <c r="D251" s="9" t="n"/>
      <c r="E251" s="9" t="n"/>
      <c r="F251" s="10" t="n"/>
      <c r="G251" s="10" t="n"/>
      <c r="H251" s="10">
        <f>IF(F251="","",F251*IF(G251="",1,G251))</f>
        <v/>
      </c>
      <c r="I251" s="9" t="n"/>
      <c r="J251" s="9" t="n"/>
    </row>
    <row r="252" ht="22" customHeight="1">
      <c r="A252" s="9" t="n"/>
      <c r="B252" s="9" t="n"/>
      <c r="C252" s="9" t="n"/>
      <c r="D252" s="9" t="n"/>
      <c r="E252" s="9" t="n"/>
      <c r="F252" s="10" t="n"/>
      <c r="G252" s="10" t="n"/>
      <c r="H252" s="10">
        <f>IF(F252="","",F252*IF(G252="",1,G252))</f>
        <v/>
      </c>
      <c r="I252" s="9" t="n"/>
      <c r="J252" s="9" t="n"/>
    </row>
    <row r="253" ht="22" customHeight="1">
      <c r="A253" s="9" t="n"/>
      <c r="B253" s="9" t="n"/>
      <c r="C253" s="9" t="n"/>
      <c r="D253" s="9" t="n"/>
      <c r="E253" s="9" t="n"/>
      <c r="F253" s="10" t="n"/>
      <c r="G253" s="10" t="n"/>
      <c r="H253" s="10">
        <f>IF(F253="","",F253*IF(G253="",1,G253))</f>
        <v/>
      </c>
      <c r="I253" s="9" t="n"/>
      <c r="J253" s="9" t="n"/>
    </row>
    <row r="254" ht="22" customHeight="1">
      <c r="A254" s="9" t="n"/>
      <c r="B254" s="9" t="n"/>
      <c r="C254" s="9" t="n"/>
      <c r="D254" s="9" t="n"/>
      <c r="E254" s="9" t="n"/>
      <c r="F254" s="10" t="n"/>
      <c r="G254" s="10" t="n"/>
      <c r="H254" s="10">
        <f>IF(F254="","",F254*IF(G254="",1,G254))</f>
        <v/>
      </c>
      <c r="I254" s="9" t="n"/>
      <c r="J254" s="9" t="n"/>
    </row>
    <row r="255" ht="22" customHeight="1">
      <c r="A255" s="9" t="n"/>
      <c r="B255" s="9" t="n"/>
      <c r="C255" s="9" t="n"/>
      <c r="D255" s="9" t="n"/>
      <c r="E255" s="9" t="n"/>
      <c r="F255" s="10" t="n"/>
      <c r="G255" s="10" t="n"/>
      <c r="H255" s="10">
        <f>IF(F255="","",F255*IF(G255="",1,G255))</f>
        <v/>
      </c>
      <c r="I255" s="9" t="n"/>
      <c r="J255" s="9" t="n"/>
    </row>
    <row r="256" ht="22" customHeight="1">
      <c r="A256" s="9" t="n"/>
      <c r="B256" s="9" t="n"/>
      <c r="C256" s="9" t="n"/>
      <c r="D256" s="9" t="n"/>
      <c r="E256" s="9" t="n"/>
      <c r="F256" s="10" t="n"/>
      <c r="G256" s="10" t="n"/>
      <c r="H256" s="10">
        <f>IF(F256="","",F256*IF(G256="",1,G256))</f>
        <v/>
      </c>
      <c r="I256" s="9" t="n"/>
      <c r="J256" s="9" t="n"/>
    </row>
    <row r="257" ht="22" customHeight="1">
      <c r="A257" s="9" t="n"/>
      <c r="B257" s="9" t="n"/>
      <c r="C257" s="9" t="n"/>
      <c r="D257" s="9" t="n"/>
      <c r="E257" s="9" t="n"/>
      <c r="F257" s="10" t="n"/>
      <c r="G257" s="10" t="n"/>
      <c r="H257" s="10">
        <f>IF(F257="","",F257*IF(G257="",1,G257))</f>
        <v/>
      </c>
      <c r="I257" s="9" t="n"/>
      <c r="J257" s="9" t="n"/>
    </row>
    <row r="258" ht="22" customHeight="1">
      <c r="A258" s="9" t="n"/>
      <c r="B258" s="9" t="n"/>
      <c r="C258" s="9" t="n"/>
      <c r="D258" s="9" t="n"/>
      <c r="E258" s="9" t="n"/>
      <c r="F258" s="10" t="n"/>
      <c r="G258" s="10" t="n"/>
      <c r="H258" s="10">
        <f>IF(F258="","",F258*IF(G258="",1,G258))</f>
        <v/>
      </c>
      <c r="I258" s="9" t="n"/>
      <c r="J258" s="9" t="n"/>
    </row>
    <row r="259" ht="22" customHeight="1">
      <c r="A259" s="9" t="n"/>
      <c r="B259" s="9" t="n"/>
      <c r="C259" s="9" t="n"/>
      <c r="D259" s="9" t="n"/>
      <c r="E259" s="9" t="n"/>
      <c r="F259" s="10" t="n"/>
      <c r="G259" s="10" t="n"/>
      <c r="H259" s="10">
        <f>IF(F259="","",F259*IF(G259="",1,G259))</f>
        <v/>
      </c>
      <c r="I259" s="9" t="n"/>
      <c r="J259" s="9" t="n"/>
    </row>
    <row r="260" ht="22" customHeight="1">
      <c r="A260" s="9" t="n"/>
      <c r="B260" s="9" t="n"/>
      <c r="C260" s="9" t="n"/>
      <c r="D260" s="9" t="n"/>
      <c r="E260" s="9" t="n"/>
      <c r="F260" s="10" t="n"/>
      <c r="G260" s="10" t="n"/>
      <c r="H260" s="10">
        <f>IF(F260="","",F260*IF(G260="",1,G260))</f>
        <v/>
      </c>
      <c r="I260" s="9" t="n"/>
      <c r="J260" s="9" t="n"/>
    </row>
    <row r="261" ht="22" customHeight="1">
      <c r="A261" s="9" t="n"/>
      <c r="B261" s="9" t="n"/>
      <c r="C261" s="9" t="n"/>
      <c r="D261" s="9" t="n"/>
      <c r="E261" s="9" t="n"/>
      <c r="F261" s="10" t="n"/>
      <c r="G261" s="10" t="n"/>
      <c r="H261" s="10">
        <f>IF(F261="","",F261*IF(G261="",1,G261))</f>
        <v/>
      </c>
      <c r="I261" s="9" t="n"/>
      <c r="J261" s="9" t="n"/>
    </row>
    <row r="262" ht="22" customHeight="1">
      <c r="A262" s="9" t="n"/>
      <c r="B262" s="9" t="n"/>
      <c r="C262" s="9" t="n"/>
      <c r="D262" s="9" t="n"/>
      <c r="E262" s="9" t="n"/>
      <c r="F262" s="10" t="n"/>
      <c r="G262" s="10" t="n"/>
      <c r="H262" s="10">
        <f>IF(F262="","",F262*IF(G262="",1,G262))</f>
        <v/>
      </c>
      <c r="I262" s="9" t="n"/>
      <c r="J262" s="9" t="n"/>
    </row>
    <row r="263" ht="22" customHeight="1">
      <c r="A263" s="9" t="n"/>
      <c r="B263" s="9" t="n"/>
      <c r="C263" s="9" t="n"/>
      <c r="D263" s="9" t="n"/>
      <c r="E263" s="9" t="n"/>
      <c r="F263" s="10" t="n"/>
      <c r="G263" s="10" t="n"/>
      <c r="H263" s="10">
        <f>IF(F263="","",F263*IF(G263="",1,G263))</f>
        <v/>
      </c>
      <c r="I263" s="9" t="n"/>
      <c r="J263" s="9" t="n"/>
    </row>
    <row r="264" ht="22" customHeight="1">
      <c r="A264" s="9" t="n"/>
      <c r="B264" s="9" t="n"/>
      <c r="C264" s="9" t="n"/>
      <c r="D264" s="9" t="n"/>
      <c r="E264" s="9" t="n"/>
      <c r="F264" s="10" t="n"/>
      <c r="G264" s="10" t="n"/>
      <c r="H264" s="10">
        <f>IF(F264="","",F264*IF(G264="",1,G264))</f>
        <v/>
      </c>
      <c r="I264" s="9" t="n"/>
      <c r="J264" s="9" t="n"/>
    </row>
    <row r="265" ht="22" customHeight="1">
      <c r="A265" s="9" t="n"/>
      <c r="B265" s="9" t="n"/>
      <c r="C265" s="9" t="n"/>
      <c r="D265" s="9" t="n"/>
      <c r="E265" s="9" t="n"/>
      <c r="F265" s="10" t="n"/>
      <c r="G265" s="10" t="n"/>
      <c r="H265" s="10">
        <f>IF(F265="","",F265*IF(G265="",1,G265))</f>
        <v/>
      </c>
      <c r="I265" s="9" t="n"/>
      <c r="J265" s="9" t="n"/>
    </row>
    <row r="266" ht="22" customHeight="1">
      <c r="A266" s="9" t="n"/>
      <c r="B266" s="9" t="n"/>
      <c r="C266" s="9" t="n"/>
      <c r="D266" s="9" t="n"/>
      <c r="E266" s="9" t="n"/>
      <c r="F266" s="10" t="n"/>
      <c r="G266" s="10" t="n"/>
      <c r="H266" s="10">
        <f>IF(F266="","",F266*IF(G266="",1,G266))</f>
        <v/>
      </c>
      <c r="I266" s="9" t="n"/>
      <c r="J266" s="9" t="n"/>
    </row>
    <row r="267" ht="22" customHeight="1">
      <c r="A267" s="9" t="n"/>
      <c r="B267" s="9" t="n"/>
      <c r="C267" s="9" t="n"/>
      <c r="D267" s="9" t="n"/>
      <c r="E267" s="9" t="n"/>
      <c r="F267" s="10" t="n"/>
      <c r="G267" s="10" t="n"/>
      <c r="H267" s="10">
        <f>IF(F267="","",F267*IF(G267="",1,G267))</f>
        <v/>
      </c>
      <c r="I267" s="9" t="n"/>
      <c r="J267" s="9" t="n"/>
    </row>
    <row r="268" ht="22" customHeight="1">
      <c r="A268" s="9" t="n"/>
      <c r="B268" s="9" t="n"/>
      <c r="C268" s="9" t="n"/>
      <c r="D268" s="9" t="n"/>
      <c r="E268" s="9" t="n"/>
      <c r="F268" s="10" t="n"/>
      <c r="G268" s="10" t="n"/>
      <c r="H268" s="10">
        <f>IF(F268="","",F268*IF(G268="",1,G268))</f>
        <v/>
      </c>
      <c r="I268" s="9" t="n"/>
      <c r="J268" s="9" t="n"/>
    </row>
    <row r="269" ht="22" customHeight="1">
      <c r="A269" s="9" t="n"/>
      <c r="B269" s="9" t="n"/>
      <c r="C269" s="9" t="n"/>
      <c r="D269" s="9" t="n"/>
      <c r="E269" s="9" t="n"/>
      <c r="F269" s="10" t="n"/>
      <c r="G269" s="10" t="n"/>
      <c r="H269" s="10">
        <f>IF(F269="","",F269*IF(G269="",1,G269))</f>
        <v/>
      </c>
      <c r="I269" s="9" t="n"/>
      <c r="J269" s="9" t="n"/>
    </row>
    <row r="270" ht="22" customHeight="1">
      <c r="A270" s="9" t="n"/>
      <c r="B270" s="9" t="n"/>
      <c r="C270" s="9" t="n"/>
      <c r="D270" s="9" t="n"/>
      <c r="E270" s="9" t="n"/>
      <c r="F270" s="10" t="n"/>
      <c r="G270" s="10" t="n"/>
      <c r="H270" s="10">
        <f>IF(F270="","",F270*IF(G270="",1,G270))</f>
        <v/>
      </c>
      <c r="I270" s="9" t="n"/>
      <c r="J270" s="9" t="n"/>
    </row>
    <row r="271" ht="22" customHeight="1">
      <c r="A271" s="9" t="n"/>
      <c r="B271" s="9" t="n"/>
      <c r="C271" s="9" t="n"/>
      <c r="D271" s="9" t="n"/>
      <c r="E271" s="9" t="n"/>
      <c r="F271" s="10" t="n"/>
      <c r="G271" s="10" t="n"/>
      <c r="H271" s="10">
        <f>IF(F271="","",F271*IF(G271="",1,G271))</f>
        <v/>
      </c>
      <c r="I271" s="9" t="n"/>
      <c r="J271" s="9" t="n"/>
    </row>
    <row r="272" ht="22" customHeight="1">
      <c r="A272" s="9" t="n"/>
      <c r="B272" s="9" t="n"/>
      <c r="C272" s="9" t="n"/>
      <c r="D272" s="9" t="n"/>
      <c r="E272" s="9" t="n"/>
      <c r="F272" s="10" t="n"/>
      <c r="G272" s="10" t="n"/>
      <c r="H272" s="10">
        <f>IF(F272="","",F272*IF(G272="",1,G272))</f>
        <v/>
      </c>
      <c r="I272" s="9" t="n"/>
      <c r="J272" s="9" t="n"/>
    </row>
    <row r="273" ht="22" customHeight="1">
      <c r="A273" s="9" t="n"/>
      <c r="B273" s="9" t="n"/>
      <c r="C273" s="9" t="n"/>
      <c r="D273" s="9" t="n"/>
      <c r="E273" s="9" t="n"/>
      <c r="F273" s="10" t="n"/>
      <c r="G273" s="10" t="n"/>
      <c r="H273" s="10">
        <f>IF(F273="","",F273*IF(G273="",1,G273))</f>
        <v/>
      </c>
      <c r="I273" s="9" t="n"/>
      <c r="J273" s="9" t="n"/>
    </row>
    <row r="274" ht="22" customHeight="1">
      <c r="A274" s="9" t="n"/>
      <c r="B274" s="9" t="n"/>
      <c r="C274" s="9" t="n"/>
      <c r="D274" s="9" t="n"/>
      <c r="E274" s="9" t="n"/>
      <c r="F274" s="10" t="n"/>
      <c r="G274" s="10" t="n"/>
      <c r="H274" s="10">
        <f>IF(F274="","",F274*IF(G274="",1,G274))</f>
        <v/>
      </c>
      <c r="I274" s="9" t="n"/>
      <c r="J274" s="9" t="n"/>
    </row>
    <row r="275" ht="22" customHeight="1">
      <c r="A275" s="9" t="n"/>
      <c r="B275" s="9" t="n"/>
      <c r="C275" s="9" t="n"/>
      <c r="D275" s="9" t="n"/>
      <c r="E275" s="9" t="n"/>
      <c r="F275" s="10" t="n"/>
      <c r="G275" s="10" t="n"/>
      <c r="H275" s="10">
        <f>IF(F275="","",F275*IF(G275="",1,G275))</f>
        <v/>
      </c>
      <c r="I275" s="9" t="n"/>
      <c r="J275" s="9" t="n"/>
    </row>
    <row r="276" ht="22" customHeight="1">
      <c r="A276" s="9" t="n"/>
      <c r="B276" s="9" t="n"/>
      <c r="C276" s="9" t="n"/>
      <c r="D276" s="9" t="n"/>
      <c r="E276" s="9" t="n"/>
      <c r="F276" s="10" t="n"/>
      <c r="G276" s="10" t="n"/>
      <c r="H276" s="10">
        <f>IF(F276="","",F276*IF(G276="",1,G276))</f>
        <v/>
      </c>
      <c r="I276" s="9" t="n"/>
      <c r="J276" s="9" t="n"/>
    </row>
    <row r="277" ht="22" customHeight="1">
      <c r="A277" s="9" t="n"/>
      <c r="B277" s="9" t="n"/>
      <c r="C277" s="9" t="n"/>
      <c r="D277" s="9" t="n"/>
      <c r="E277" s="9" t="n"/>
      <c r="F277" s="10" t="n"/>
      <c r="G277" s="10" t="n"/>
      <c r="H277" s="10">
        <f>IF(F277="","",F277*IF(G277="",1,G277))</f>
        <v/>
      </c>
      <c r="I277" s="9" t="n"/>
      <c r="J277" s="9" t="n"/>
    </row>
    <row r="278" ht="22" customHeight="1">
      <c r="A278" s="9" t="n"/>
      <c r="B278" s="9" t="n"/>
      <c r="C278" s="9" t="n"/>
      <c r="D278" s="9" t="n"/>
      <c r="E278" s="9" t="n"/>
      <c r="F278" s="10" t="n"/>
      <c r="G278" s="10" t="n"/>
      <c r="H278" s="10">
        <f>IF(F278="","",F278*IF(G278="",1,G278))</f>
        <v/>
      </c>
      <c r="I278" s="9" t="n"/>
      <c r="J278" s="9" t="n"/>
    </row>
    <row r="279" ht="22" customHeight="1">
      <c r="A279" s="9" t="n"/>
      <c r="B279" s="9" t="n"/>
      <c r="C279" s="9" t="n"/>
      <c r="D279" s="9" t="n"/>
      <c r="E279" s="9" t="n"/>
      <c r="F279" s="10" t="n"/>
      <c r="G279" s="10" t="n"/>
      <c r="H279" s="10">
        <f>IF(F279="","",F279*IF(G279="",1,G279))</f>
        <v/>
      </c>
      <c r="I279" s="9" t="n"/>
      <c r="J279" s="9" t="n"/>
    </row>
    <row r="280" ht="22" customHeight="1">
      <c r="A280" s="9" t="n"/>
      <c r="B280" s="9" t="n"/>
      <c r="C280" s="9" t="n"/>
      <c r="D280" s="9" t="n"/>
      <c r="E280" s="9" t="n"/>
      <c r="F280" s="10" t="n"/>
      <c r="G280" s="10" t="n"/>
      <c r="H280" s="10">
        <f>IF(F280="","",F280*IF(G280="",1,G280))</f>
        <v/>
      </c>
      <c r="I280" s="9" t="n"/>
      <c r="J280" s="9" t="n"/>
    </row>
    <row r="281" ht="22" customHeight="1">
      <c r="A281" s="9" t="n"/>
      <c r="B281" s="9" t="n"/>
      <c r="C281" s="9" t="n"/>
      <c r="D281" s="9" t="n"/>
      <c r="E281" s="9" t="n"/>
      <c r="F281" s="10" t="n"/>
      <c r="G281" s="10" t="n"/>
      <c r="H281" s="10">
        <f>IF(F281="","",F281*IF(G281="",1,G281))</f>
        <v/>
      </c>
      <c r="I281" s="9" t="n"/>
      <c r="J281" s="9" t="n"/>
    </row>
    <row r="282" ht="22" customHeight="1">
      <c r="A282" s="9" t="n"/>
      <c r="B282" s="9" t="n"/>
      <c r="C282" s="9" t="n"/>
      <c r="D282" s="9" t="n"/>
      <c r="E282" s="9" t="n"/>
      <c r="F282" s="10" t="n"/>
      <c r="G282" s="10" t="n"/>
      <c r="H282" s="10">
        <f>IF(F282="","",F282*IF(G282="",1,G282))</f>
        <v/>
      </c>
      <c r="I282" s="9" t="n"/>
      <c r="J282" s="9" t="n"/>
    </row>
    <row r="283" ht="22" customHeight="1">
      <c r="A283" s="9" t="n"/>
      <c r="B283" s="9" t="n"/>
      <c r="C283" s="9" t="n"/>
      <c r="D283" s="9" t="n"/>
      <c r="E283" s="9" t="n"/>
      <c r="F283" s="10" t="n"/>
      <c r="G283" s="10" t="n"/>
      <c r="H283" s="10">
        <f>IF(F283="","",F283*IF(G283="",1,G283))</f>
        <v/>
      </c>
      <c r="I283" s="9" t="n"/>
      <c r="J283" s="9" t="n"/>
    </row>
    <row r="284" ht="22" customHeight="1">
      <c r="A284" s="9" t="n"/>
      <c r="B284" s="9" t="n"/>
      <c r="C284" s="9" t="n"/>
      <c r="D284" s="9" t="n"/>
      <c r="E284" s="9" t="n"/>
      <c r="F284" s="10" t="n"/>
      <c r="G284" s="10" t="n"/>
      <c r="H284" s="10">
        <f>IF(F284="","",F284*IF(G284="",1,G284))</f>
        <v/>
      </c>
      <c r="I284" s="9" t="n"/>
      <c r="J284" s="9" t="n"/>
    </row>
    <row r="285" ht="22" customHeight="1">
      <c r="A285" s="9" t="n"/>
      <c r="B285" s="9" t="n"/>
      <c r="C285" s="9" t="n"/>
      <c r="D285" s="9" t="n"/>
      <c r="E285" s="9" t="n"/>
      <c r="F285" s="10" t="n"/>
      <c r="G285" s="10" t="n"/>
      <c r="H285" s="10">
        <f>IF(F285="","",F285*IF(G285="",1,G285))</f>
        <v/>
      </c>
      <c r="I285" s="9" t="n"/>
      <c r="J285" s="9" t="n"/>
    </row>
    <row r="286" ht="22" customHeight="1">
      <c r="A286" s="9" t="n"/>
      <c r="B286" s="9" t="n"/>
      <c r="C286" s="9" t="n"/>
      <c r="D286" s="9" t="n"/>
      <c r="E286" s="9" t="n"/>
      <c r="F286" s="10" t="n"/>
      <c r="G286" s="10" t="n"/>
      <c r="H286" s="10">
        <f>IF(F286="","",F286*IF(G286="",1,G286))</f>
        <v/>
      </c>
      <c r="I286" s="9" t="n"/>
      <c r="J286" s="9" t="n"/>
    </row>
    <row r="287" ht="22" customHeight="1">
      <c r="A287" s="9" t="n"/>
      <c r="B287" s="9" t="n"/>
      <c r="C287" s="9" t="n"/>
      <c r="D287" s="9" t="n"/>
      <c r="E287" s="9" t="n"/>
      <c r="F287" s="10" t="n"/>
      <c r="G287" s="10" t="n"/>
      <c r="H287" s="10">
        <f>IF(F287="","",F287*IF(G287="",1,G287))</f>
        <v/>
      </c>
      <c r="I287" s="9" t="n"/>
      <c r="J287" s="9" t="n"/>
    </row>
    <row r="288" ht="22" customHeight="1">
      <c r="A288" s="9" t="n"/>
      <c r="B288" s="9" t="n"/>
      <c r="C288" s="9" t="n"/>
      <c r="D288" s="9" t="n"/>
      <c r="E288" s="9" t="n"/>
      <c r="F288" s="10" t="n"/>
      <c r="G288" s="10" t="n"/>
      <c r="H288" s="10">
        <f>IF(F288="","",F288*IF(G288="",1,G288))</f>
        <v/>
      </c>
      <c r="I288" s="9" t="n"/>
      <c r="J288" s="9" t="n"/>
    </row>
    <row r="289" ht="22" customHeight="1">
      <c r="A289" s="9" t="n"/>
      <c r="B289" s="9" t="n"/>
      <c r="C289" s="9" t="n"/>
      <c r="D289" s="9" t="n"/>
      <c r="E289" s="9" t="n"/>
      <c r="F289" s="10" t="n"/>
      <c r="G289" s="10" t="n"/>
      <c r="H289" s="10">
        <f>IF(F289="","",F289*IF(G289="",1,G289))</f>
        <v/>
      </c>
      <c r="I289" s="9" t="n"/>
      <c r="J289" s="9" t="n"/>
    </row>
    <row r="290" ht="22" customHeight="1">
      <c r="A290" s="9" t="n"/>
      <c r="B290" s="9" t="n"/>
      <c r="C290" s="9" t="n"/>
      <c r="D290" s="9" t="n"/>
      <c r="E290" s="9" t="n"/>
      <c r="F290" s="10" t="n"/>
      <c r="G290" s="10" t="n"/>
      <c r="H290" s="10">
        <f>IF(F290="","",F290*IF(G290="",1,G290))</f>
        <v/>
      </c>
      <c r="I290" s="9" t="n"/>
      <c r="J290" s="9" t="n"/>
    </row>
    <row r="291" ht="22" customHeight="1">
      <c r="A291" s="9" t="n"/>
      <c r="B291" s="9" t="n"/>
      <c r="C291" s="9" t="n"/>
      <c r="D291" s="9" t="n"/>
      <c r="E291" s="9" t="n"/>
      <c r="F291" s="10" t="n"/>
      <c r="G291" s="10" t="n"/>
      <c r="H291" s="10">
        <f>IF(F291="","",F291*IF(G291="",1,G291))</f>
        <v/>
      </c>
      <c r="I291" s="9" t="n"/>
      <c r="J291" s="9" t="n"/>
    </row>
    <row r="292" ht="22" customHeight="1">
      <c r="A292" s="9" t="n"/>
      <c r="B292" s="9" t="n"/>
      <c r="C292" s="9" t="n"/>
      <c r="D292" s="9" t="n"/>
      <c r="E292" s="9" t="n"/>
      <c r="F292" s="10" t="n"/>
      <c r="G292" s="10" t="n"/>
      <c r="H292" s="10">
        <f>IF(F292="","",F292*IF(G292="",1,G292))</f>
        <v/>
      </c>
      <c r="I292" s="9" t="n"/>
      <c r="J292" s="9" t="n"/>
    </row>
    <row r="293" ht="22" customHeight="1">
      <c r="A293" s="9" t="n"/>
      <c r="B293" s="9" t="n"/>
      <c r="C293" s="9" t="n"/>
      <c r="D293" s="9" t="n"/>
      <c r="E293" s="9" t="n"/>
      <c r="F293" s="10" t="n"/>
      <c r="G293" s="10" t="n"/>
      <c r="H293" s="10">
        <f>IF(F293="","",F293*IF(G293="",1,G293))</f>
        <v/>
      </c>
      <c r="I293" s="9" t="n"/>
      <c r="J293" s="9" t="n"/>
    </row>
    <row r="294" ht="22" customHeight="1">
      <c r="A294" s="9" t="n"/>
      <c r="B294" s="9" t="n"/>
      <c r="C294" s="9" t="n"/>
      <c r="D294" s="9" t="n"/>
      <c r="E294" s="9" t="n"/>
      <c r="F294" s="10" t="n"/>
      <c r="G294" s="10" t="n"/>
      <c r="H294" s="10">
        <f>IF(F294="","",F294*IF(G294="",1,G294))</f>
        <v/>
      </c>
      <c r="I294" s="9" t="n"/>
      <c r="J294" s="9" t="n"/>
    </row>
    <row r="295" ht="22" customHeight="1">
      <c r="A295" s="9" t="n"/>
      <c r="B295" s="9" t="n"/>
      <c r="C295" s="9" t="n"/>
      <c r="D295" s="9" t="n"/>
      <c r="E295" s="9" t="n"/>
      <c r="F295" s="10" t="n"/>
      <c r="G295" s="10" t="n"/>
      <c r="H295" s="10">
        <f>IF(F295="","",F295*IF(G295="",1,G295))</f>
        <v/>
      </c>
      <c r="I295" s="9" t="n"/>
      <c r="J295" s="9" t="n"/>
    </row>
    <row r="296" ht="22" customHeight="1">
      <c r="A296" s="9" t="n"/>
      <c r="B296" s="9" t="n"/>
      <c r="C296" s="9" t="n"/>
      <c r="D296" s="9" t="n"/>
      <c r="E296" s="9" t="n"/>
      <c r="F296" s="10" t="n"/>
      <c r="G296" s="10" t="n"/>
      <c r="H296" s="10">
        <f>IF(F296="","",F296*IF(G296="",1,G296))</f>
        <v/>
      </c>
      <c r="I296" s="9" t="n"/>
      <c r="J296" s="9" t="n"/>
    </row>
    <row r="297" ht="22" customHeight="1">
      <c r="A297" s="9" t="n"/>
      <c r="B297" s="9" t="n"/>
      <c r="C297" s="9" t="n"/>
      <c r="D297" s="9" t="n"/>
      <c r="E297" s="9" t="n"/>
      <c r="F297" s="10" t="n"/>
      <c r="G297" s="10" t="n"/>
      <c r="H297" s="10">
        <f>IF(F297="","",F297*IF(G297="",1,G297))</f>
        <v/>
      </c>
      <c r="I297" s="9" t="n"/>
      <c r="J297" s="9" t="n"/>
    </row>
    <row r="298" ht="22" customHeight="1">
      <c r="A298" s="9" t="n"/>
      <c r="B298" s="9" t="n"/>
      <c r="C298" s="9" t="n"/>
      <c r="D298" s="9" t="n"/>
      <c r="E298" s="9" t="n"/>
      <c r="F298" s="10" t="n"/>
      <c r="G298" s="10" t="n"/>
      <c r="H298" s="10">
        <f>IF(F298="","",F298*IF(G298="",1,G298))</f>
        <v/>
      </c>
      <c r="I298" s="9" t="n"/>
      <c r="J298" s="9" t="n"/>
    </row>
    <row r="299" ht="22" customHeight="1">
      <c r="A299" s="9" t="n"/>
      <c r="B299" s="9" t="n"/>
      <c r="C299" s="9" t="n"/>
      <c r="D299" s="9" t="n"/>
      <c r="E299" s="9" t="n"/>
      <c r="F299" s="10" t="n"/>
      <c r="G299" s="10" t="n"/>
      <c r="H299" s="10">
        <f>IF(F299="","",F299*IF(G299="",1,G299))</f>
        <v/>
      </c>
      <c r="I299" s="9" t="n"/>
      <c r="J299" s="9" t="n"/>
    </row>
    <row r="300" ht="22" customHeight="1">
      <c r="A300" s="9" t="n"/>
      <c r="B300" s="9" t="n"/>
      <c r="C300" s="9" t="n"/>
      <c r="D300" s="9" t="n"/>
      <c r="E300" s="9" t="n"/>
      <c r="F300" s="10" t="n"/>
      <c r="G300" s="10" t="n"/>
      <c r="H300" s="10">
        <f>IF(F300="","",F300*IF(G300="",1,G300))</f>
        <v/>
      </c>
      <c r="I300" s="9" t="n"/>
      <c r="J300" s="9" t="n"/>
    </row>
    <row r="301" ht="22" customHeight="1">
      <c r="A301" s="9" t="n"/>
      <c r="B301" s="9" t="n"/>
      <c r="C301" s="9" t="n"/>
      <c r="D301" s="9" t="n"/>
      <c r="E301" s="9" t="n"/>
      <c r="F301" s="10" t="n"/>
      <c r="G301" s="10" t="n"/>
      <c r="H301" s="10">
        <f>IF(F301="","",F301*IF(G301="",1,G301))</f>
        <v/>
      </c>
      <c r="I301" s="9" t="n"/>
      <c r="J301" s="9" t="n"/>
    </row>
    <row r="302" ht="22" customHeight="1">
      <c r="A302" s="9" t="n"/>
      <c r="B302" s="9" t="n"/>
      <c r="C302" s="9" t="n"/>
      <c r="D302" s="9" t="n"/>
      <c r="E302" s="9" t="n"/>
      <c r="F302" s="10" t="n"/>
      <c r="G302" s="10" t="n"/>
      <c r="H302" s="10">
        <f>IF(F302="","",F302*IF(G302="",1,G302))</f>
        <v/>
      </c>
      <c r="I302" s="9" t="n"/>
      <c r="J302" s="9" t="n"/>
    </row>
    <row r="303" ht="22" customHeight="1">
      <c r="A303" s="9" t="n"/>
      <c r="B303" s="9" t="n"/>
      <c r="C303" s="9" t="n"/>
      <c r="D303" s="9" t="n"/>
      <c r="E303" s="9" t="n"/>
      <c r="F303" s="10" t="n"/>
      <c r="G303" s="10" t="n"/>
      <c r="H303" s="10">
        <f>IF(F303="","",F303*IF(G303="",1,G303))</f>
        <v/>
      </c>
      <c r="I303" s="9" t="n"/>
      <c r="J303" s="9" t="n"/>
    </row>
    <row r="304" ht="22" customHeight="1">
      <c r="A304" s="9" t="n"/>
      <c r="B304" s="9" t="n"/>
      <c r="C304" s="9" t="n"/>
      <c r="D304" s="9" t="n"/>
      <c r="E304" s="9" t="n"/>
      <c r="F304" s="10" t="n"/>
      <c r="G304" s="10" t="n"/>
      <c r="H304" s="10">
        <f>IF(F304="","",F304*IF(G304="",1,G304))</f>
        <v/>
      </c>
      <c r="I304" s="9" t="n"/>
      <c r="J304" s="9" t="n"/>
    </row>
    <row r="305" ht="22" customHeight="1">
      <c r="A305" s="9" t="n"/>
      <c r="B305" s="9" t="n"/>
      <c r="C305" s="9" t="n"/>
      <c r="D305" s="9" t="n"/>
      <c r="E305" s="9" t="n"/>
      <c r="F305" s="10" t="n"/>
      <c r="G305" s="10" t="n"/>
      <c r="H305" s="10">
        <f>IF(F305="","",F305*IF(G305="",1,G305))</f>
        <v/>
      </c>
      <c r="I305" s="9" t="n"/>
      <c r="J305" s="9" t="n"/>
    </row>
    <row r="306" ht="22" customHeight="1">
      <c r="A306" s="9" t="n"/>
      <c r="B306" s="9" t="n"/>
      <c r="C306" s="9" t="n"/>
      <c r="D306" s="9" t="n"/>
      <c r="E306" s="9" t="n"/>
      <c r="F306" s="10" t="n"/>
      <c r="G306" s="10" t="n"/>
      <c r="H306" s="10">
        <f>IF(F306="","",F306*IF(G306="",1,G306))</f>
        <v/>
      </c>
      <c r="I306" s="9" t="n"/>
      <c r="J306" s="9" t="n"/>
    </row>
    <row r="307" ht="22" customHeight="1">
      <c r="A307" s="9" t="n"/>
      <c r="B307" s="9" t="n"/>
      <c r="C307" s="9" t="n"/>
      <c r="D307" s="9" t="n"/>
      <c r="E307" s="9" t="n"/>
      <c r="F307" s="10" t="n"/>
      <c r="G307" s="10" t="n"/>
      <c r="H307" s="10">
        <f>IF(F307="","",F307*IF(G307="",1,G307))</f>
        <v/>
      </c>
      <c r="I307" s="9" t="n"/>
      <c r="J307" s="9" t="n"/>
    </row>
    <row r="308" ht="22" customHeight="1">
      <c r="A308" s="9" t="n"/>
      <c r="B308" s="9" t="n"/>
      <c r="C308" s="9" t="n"/>
      <c r="D308" s="9" t="n"/>
      <c r="E308" s="9" t="n"/>
      <c r="F308" s="10" t="n"/>
      <c r="G308" s="10" t="n"/>
      <c r="H308" s="10">
        <f>IF(F308="","",F308*IF(G308="",1,G308))</f>
        <v/>
      </c>
      <c r="I308" s="9" t="n"/>
      <c r="J308" s="9" t="n"/>
    </row>
    <row r="309" ht="22" customHeight="1">
      <c r="A309" s="9" t="n"/>
      <c r="B309" s="9" t="n"/>
      <c r="C309" s="9" t="n"/>
      <c r="D309" s="9" t="n"/>
      <c r="E309" s="9" t="n"/>
      <c r="F309" s="10" t="n"/>
      <c r="G309" s="10" t="n"/>
      <c r="H309" s="10">
        <f>IF(F309="","",F309*IF(G309="",1,G309))</f>
        <v/>
      </c>
      <c r="I309" s="9" t="n"/>
      <c r="J309" s="9" t="n"/>
    </row>
    <row r="310" ht="22" customHeight="1">
      <c r="A310" s="9" t="n"/>
      <c r="B310" s="9" t="n"/>
      <c r="C310" s="9" t="n"/>
      <c r="D310" s="9" t="n"/>
      <c r="E310" s="9" t="n"/>
      <c r="F310" s="10" t="n"/>
      <c r="G310" s="10" t="n"/>
      <c r="H310" s="10">
        <f>IF(F310="","",F310*IF(G310="",1,G310))</f>
        <v/>
      </c>
      <c r="I310" s="9" t="n"/>
      <c r="J310" s="9" t="n"/>
    </row>
    <row r="311" ht="22" customHeight="1">
      <c r="A311" s="9" t="n"/>
      <c r="B311" s="9" t="n"/>
      <c r="C311" s="9" t="n"/>
      <c r="D311" s="9" t="n"/>
      <c r="E311" s="9" t="n"/>
      <c r="F311" s="10" t="n"/>
      <c r="G311" s="10" t="n"/>
      <c r="H311" s="10">
        <f>IF(F311="","",F311*IF(G311="",1,G311))</f>
        <v/>
      </c>
      <c r="I311" s="9" t="n"/>
      <c r="J311" s="9" t="n"/>
    </row>
    <row r="312" ht="22" customHeight="1">
      <c r="A312" s="9" t="n"/>
      <c r="B312" s="9" t="n"/>
      <c r="C312" s="9" t="n"/>
      <c r="D312" s="9" t="n"/>
      <c r="E312" s="9" t="n"/>
      <c r="F312" s="10" t="n"/>
      <c r="G312" s="10" t="n"/>
      <c r="H312" s="10">
        <f>IF(F312="","",F312*IF(G312="",1,G312))</f>
        <v/>
      </c>
      <c r="I312" s="9" t="n"/>
      <c r="J312" s="9" t="n"/>
    </row>
    <row r="313" ht="22" customHeight="1">
      <c r="A313" s="9" t="n"/>
      <c r="B313" s="9" t="n"/>
      <c r="C313" s="9" t="n"/>
      <c r="D313" s="9" t="n"/>
      <c r="E313" s="9" t="n"/>
      <c r="F313" s="10" t="n"/>
      <c r="G313" s="10" t="n"/>
      <c r="H313" s="10">
        <f>IF(F313="","",F313*IF(G313="",1,G313))</f>
        <v/>
      </c>
      <c r="I313" s="9" t="n"/>
      <c r="J313" s="9" t="n"/>
    </row>
    <row r="314" ht="22" customHeight="1">
      <c r="A314" s="9" t="n"/>
      <c r="B314" s="9" t="n"/>
      <c r="C314" s="9" t="n"/>
      <c r="D314" s="9" t="n"/>
      <c r="E314" s="9" t="n"/>
      <c r="F314" s="10" t="n"/>
      <c r="G314" s="10" t="n"/>
      <c r="H314" s="10">
        <f>IF(F314="","",F314*IF(G314="",1,G314))</f>
        <v/>
      </c>
      <c r="I314" s="9" t="n"/>
      <c r="J314" s="9" t="n"/>
    </row>
    <row r="315" ht="22" customHeight="1">
      <c r="A315" s="9" t="n"/>
      <c r="B315" s="9" t="n"/>
      <c r="C315" s="9" t="n"/>
      <c r="D315" s="9" t="n"/>
      <c r="E315" s="9" t="n"/>
      <c r="F315" s="10" t="n"/>
      <c r="G315" s="10" t="n"/>
      <c r="H315" s="10">
        <f>IF(F315="","",F315*IF(G315="",1,G315))</f>
        <v/>
      </c>
      <c r="I315" s="9" t="n"/>
      <c r="J315" s="9" t="n"/>
    </row>
    <row r="316" ht="22" customHeight="1">
      <c r="A316" s="9" t="n"/>
      <c r="B316" s="9" t="n"/>
      <c r="C316" s="9" t="n"/>
      <c r="D316" s="9" t="n"/>
      <c r="E316" s="9" t="n"/>
      <c r="F316" s="10" t="n"/>
      <c r="G316" s="10" t="n"/>
      <c r="H316" s="10">
        <f>IF(F316="","",F316*IF(G316="",1,G316))</f>
        <v/>
      </c>
      <c r="I316" s="9" t="n"/>
      <c r="J316" s="9" t="n"/>
    </row>
    <row r="317" ht="22" customHeight="1">
      <c r="A317" s="9" t="n"/>
      <c r="B317" s="9" t="n"/>
      <c r="C317" s="9" t="n"/>
      <c r="D317" s="9" t="n"/>
      <c r="E317" s="9" t="n"/>
      <c r="F317" s="10" t="n"/>
      <c r="G317" s="10" t="n"/>
      <c r="H317" s="10">
        <f>IF(F317="","",F317*IF(G317="",1,G317))</f>
        <v/>
      </c>
      <c r="I317" s="9" t="n"/>
      <c r="J317" s="9" t="n"/>
    </row>
    <row r="318" ht="22" customHeight="1">
      <c r="A318" s="9" t="n"/>
      <c r="B318" s="9" t="n"/>
      <c r="C318" s="9" t="n"/>
      <c r="D318" s="9" t="n"/>
      <c r="E318" s="9" t="n"/>
      <c r="F318" s="10" t="n"/>
      <c r="G318" s="10" t="n"/>
      <c r="H318" s="10">
        <f>IF(F318="","",F318*IF(G318="",1,G318))</f>
        <v/>
      </c>
      <c r="I318" s="9" t="n"/>
      <c r="J318" s="9" t="n"/>
    </row>
    <row r="319" ht="22" customHeight="1">
      <c r="A319" s="9" t="n"/>
      <c r="B319" s="9" t="n"/>
      <c r="C319" s="9" t="n"/>
      <c r="D319" s="9" t="n"/>
      <c r="E319" s="9" t="n"/>
      <c r="F319" s="10" t="n"/>
      <c r="G319" s="10" t="n"/>
      <c r="H319" s="10">
        <f>IF(F319="","",F319*IF(G319="",1,G319))</f>
        <v/>
      </c>
      <c r="I319" s="9" t="n"/>
      <c r="J319" s="9" t="n"/>
    </row>
    <row r="320" ht="22" customHeight="1">
      <c r="A320" s="9" t="n"/>
      <c r="B320" s="9" t="n"/>
      <c r="C320" s="9" t="n"/>
      <c r="D320" s="9" t="n"/>
      <c r="E320" s="9" t="n"/>
      <c r="F320" s="10" t="n"/>
      <c r="G320" s="10" t="n"/>
      <c r="H320" s="10">
        <f>IF(F320="","",F320*IF(G320="",1,G320))</f>
        <v/>
      </c>
      <c r="I320" s="9" t="n"/>
      <c r="J320" s="9" t="n"/>
    </row>
    <row r="321" ht="22" customHeight="1">
      <c r="A321" s="9" t="n"/>
      <c r="B321" s="9" t="n"/>
      <c r="C321" s="9" t="n"/>
      <c r="D321" s="9" t="n"/>
      <c r="E321" s="9" t="n"/>
      <c r="F321" s="10" t="n"/>
      <c r="G321" s="10" t="n"/>
      <c r="H321" s="10">
        <f>IF(F321="","",F321*IF(G321="",1,G321))</f>
        <v/>
      </c>
      <c r="I321" s="9" t="n"/>
      <c r="J321" s="9" t="n"/>
    </row>
    <row r="322" ht="22" customHeight="1">
      <c r="A322" s="9" t="n"/>
      <c r="B322" s="9" t="n"/>
      <c r="C322" s="9" t="n"/>
      <c r="D322" s="9" t="n"/>
      <c r="E322" s="9" t="n"/>
      <c r="F322" s="10" t="n"/>
      <c r="G322" s="10" t="n"/>
      <c r="H322" s="10">
        <f>IF(F322="","",F322*IF(G322="",1,G322))</f>
        <v/>
      </c>
      <c r="I322" s="9" t="n"/>
      <c r="J322" s="9" t="n"/>
    </row>
    <row r="323" ht="22" customHeight="1">
      <c r="A323" s="9" t="n"/>
      <c r="B323" s="9" t="n"/>
      <c r="C323" s="9" t="n"/>
      <c r="D323" s="9" t="n"/>
      <c r="E323" s="9" t="n"/>
      <c r="F323" s="10" t="n"/>
      <c r="G323" s="10" t="n"/>
      <c r="H323" s="10">
        <f>IF(F323="","",F323*IF(G323="",1,G323))</f>
        <v/>
      </c>
      <c r="I323" s="9" t="n"/>
      <c r="J323" s="9" t="n"/>
    </row>
    <row r="324" ht="22" customHeight="1">
      <c r="A324" s="9" t="n"/>
      <c r="B324" s="9" t="n"/>
      <c r="C324" s="9" t="n"/>
      <c r="D324" s="9" t="n"/>
      <c r="E324" s="9" t="n"/>
      <c r="F324" s="10" t="n"/>
      <c r="G324" s="10" t="n"/>
      <c r="H324" s="10">
        <f>IF(F324="","",F324*IF(G324="",1,G324))</f>
        <v/>
      </c>
      <c r="I324" s="9" t="n"/>
      <c r="J324" s="9" t="n"/>
    </row>
    <row r="325" ht="22" customHeight="1">
      <c r="A325" s="9" t="n"/>
      <c r="B325" s="9" t="n"/>
      <c r="C325" s="9" t="n"/>
      <c r="D325" s="9" t="n"/>
      <c r="E325" s="9" t="n"/>
      <c r="F325" s="10" t="n"/>
      <c r="G325" s="10" t="n"/>
      <c r="H325" s="10">
        <f>IF(F325="","",F325*IF(G325="",1,G325))</f>
        <v/>
      </c>
      <c r="I325" s="9" t="n"/>
      <c r="J325" s="9" t="n"/>
    </row>
    <row r="326" ht="22" customHeight="1">
      <c r="A326" s="9" t="n"/>
      <c r="B326" s="9" t="n"/>
      <c r="C326" s="9" t="n"/>
      <c r="D326" s="9" t="n"/>
      <c r="E326" s="9" t="n"/>
      <c r="F326" s="10" t="n"/>
      <c r="G326" s="10" t="n"/>
      <c r="H326" s="10">
        <f>IF(F326="","",F326*IF(G326="",1,G326))</f>
        <v/>
      </c>
      <c r="I326" s="9" t="n"/>
      <c r="J326" s="9" t="n"/>
    </row>
    <row r="327" ht="22" customHeight="1">
      <c r="A327" s="9" t="n"/>
      <c r="B327" s="9" t="n"/>
      <c r="C327" s="9" t="n"/>
      <c r="D327" s="9" t="n"/>
      <c r="E327" s="9" t="n"/>
      <c r="F327" s="10" t="n"/>
      <c r="G327" s="10" t="n"/>
      <c r="H327" s="10">
        <f>IF(F327="","",F327*IF(G327="",1,G327))</f>
        <v/>
      </c>
      <c r="I327" s="9" t="n"/>
      <c r="J327" s="9" t="n"/>
    </row>
    <row r="328" ht="22" customHeight="1">
      <c r="A328" s="9" t="n"/>
      <c r="B328" s="9" t="n"/>
      <c r="C328" s="9" t="n"/>
      <c r="D328" s="9" t="n"/>
      <c r="E328" s="9" t="n"/>
      <c r="F328" s="10" t="n"/>
      <c r="G328" s="10" t="n"/>
      <c r="H328" s="10">
        <f>IF(F328="","",F328*IF(G328="",1,G328))</f>
        <v/>
      </c>
      <c r="I328" s="9" t="n"/>
      <c r="J328" s="9" t="n"/>
    </row>
    <row r="329" ht="22" customHeight="1">
      <c r="A329" s="9" t="n"/>
      <c r="B329" s="9" t="n"/>
      <c r="C329" s="9" t="n"/>
      <c r="D329" s="9" t="n"/>
      <c r="E329" s="9" t="n"/>
      <c r="F329" s="10" t="n"/>
      <c r="G329" s="10" t="n"/>
      <c r="H329" s="10">
        <f>IF(F329="","",F329*IF(G329="",1,G329))</f>
        <v/>
      </c>
      <c r="I329" s="9" t="n"/>
      <c r="J329" s="9" t="n"/>
    </row>
    <row r="330" ht="22" customHeight="1">
      <c r="A330" s="9" t="n"/>
      <c r="B330" s="9" t="n"/>
      <c r="C330" s="9" t="n"/>
      <c r="D330" s="9" t="n"/>
      <c r="E330" s="9" t="n"/>
      <c r="F330" s="10" t="n"/>
      <c r="G330" s="10" t="n"/>
      <c r="H330" s="10">
        <f>IF(F330="","",F330*IF(G330="",1,G330))</f>
        <v/>
      </c>
      <c r="I330" s="9" t="n"/>
      <c r="J330" s="9" t="n"/>
    </row>
    <row r="331" ht="22" customHeight="1">
      <c r="A331" s="9" t="n"/>
      <c r="B331" s="9" t="n"/>
      <c r="C331" s="9" t="n"/>
      <c r="D331" s="9" t="n"/>
      <c r="E331" s="9" t="n"/>
      <c r="F331" s="10" t="n"/>
      <c r="G331" s="10" t="n"/>
      <c r="H331" s="10">
        <f>IF(F331="","",F331*IF(G331="",1,G331))</f>
        <v/>
      </c>
      <c r="I331" s="9" t="n"/>
      <c r="J331" s="9" t="n"/>
    </row>
    <row r="332" ht="22" customHeight="1">
      <c r="A332" s="9" t="n"/>
      <c r="B332" s="9" t="n"/>
      <c r="C332" s="9" t="n"/>
      <c r="D332" s="9" t="n"/>
      <c r="E332" s="9" t="n"/>
      <c r="F332" s="10" t="n"/>
      <c r="G332" s="10" t="n"/>
      <c r="H332" s="10">
        <f>IF(F332="","",F332*IF(G332="",1,G332))</f>
        <v/>
      </c>
      <c r="I332" s="9" t="n"/>
      <c r="J332" s="9" t="n"/>
    </row>
    <row r="333" ht="22" customHeight="1">
      <c r="A333" s="9" t="n"/>
      <c r="B333" s="9" t="n"/>
      <c r="C333" s="9" t="n"/>
      <c r="D333" s="9" t="n"/>
      <c r="E333" s="9" t="n"/>
      <c r="F333" s="10" t="n"/>
      <c r="G333" s="10" t="n"/>
      <c r="H333" s="10">
        <f>IF(F333="","",F333*IF(G333="",1,G333))</f>
        <v/>
      </c>
      <c r="I333" s="9" t="n"/>
      <c r="J333" s="9" t="n"/>
    </row>
    <row r="334" ht="22" customHeight="1">
      <c r="A334" s="9" t="n"/>
      <c r="B334" s="9" t="n"/>
      <c r="C334" s="9" t="n"/>
      <c r="D334" s="9" t="n"/>
      <c r="E334" s="9" t="n"/>
      <c r="F334" s="10" t="n"/>
      <c r="G334" s="10" t="n"/>
      <c r="H334" s="10">
        <f>IF(F334="","",F334*IF(G334="",1,G334))</f>
        <v/>
      </c>
      <c r="I334" s="9" t="n"/>
      <c r="J334" s="9" t="n"/>
    </row>
    <row r="335" ht="22" customHeight="1">
      <c r="A335" s="9" t="n"/>
      <c r="B335" s="9" t="n"/>
      <c r="C335" s="9" t="n"/>
      <c r="D335" s="9" t="n"/>
      <c r="E335" s="9" t="n"/>
      <c r="F335" s="10" t="n"/>
      <c r="G335" s="10" t="n"/>
      <c r="H335" s="10">
        <f>IF(F335="","",F335*IF(G335="",1,G335))</f>
        <v/>
      </c>
      <c r="I335" s="9" t="n"/>
      <c r="J335" s="9" t="n"/>
    </row>
    <row r="336" ht="22" customHeight="1">
      <c r="A336" s="9" t="n"/>
      <c r="B336" s="9" t="n"/>
      <c r="C336" s="9" t="n"/>
      <c r="D336" s="9" t="n"/>
      <c r="E336" s="9" t="n"/>
      <c r="F336" s="10" t="n"/>
      <c r="G336" s="10" t="n"/>
      <c r="H336" s="10">
        <f>IF(F336="","",F336*IF(G336="",1,G336))</f>
        <v/>
      </c>
      <c r="I336" s="9" t="n"/>
      <c r="J336" s="9" t="n"/>
    </row>
    <row r="337" ht="22" customHeight="1">
      <c r="A337" s="9" t="n"/>
      <c r="B337" s="9" t="n"/>
      <c r="C337" s="9" t="n"/>
      <c r="D337" s="9" t="n"/>
      <c r="E337" s="9" t="n"/>
      <c r="F337" s="10" t="n"/>
      <c r="G337" s="10" t="n"/>
      <c r="H337" s="10">
        <f>IF(F337="","",F337*IF(G337="",1,G337))</f>
        <v/>
      </c>
      <c r="I337" s="9" t="n"/>
      <c r="J337" s="9" t="n"/>
    </row>
    <row r="338" ht="22" customHeight="1">
      <c r="A338" s="9" t="n"/>
      <c r="B338" s="9" t="n"/>
      <c r="C338" s="9" t="n"/>
      <c r="D338" s="9" t="n"/>
      <c r="E338" s="9" t="n"/>
      <c r="F338" s="10" t="n"/>
      <c r="G338" s="10" t="n"/>
      <c r="H338" s="10">
        <f>IF(F338="","",F338*IF(G338="",1,G338))</f>
        <v/>
      </c>
      <c r="I338" s="9" t="n"/>
      <c r="J338" s="9" t="n"/>
    </row>
    <row r="339" ht="22" customHeight="1">
      <c r="A339" s="9" t="n"/>
      <c r="B339" s="9" t="n"/>
      <c r="C339" s="9" t="n"/>
      <c r="D339" s="9" t="n"/>
      <c r="E339" s="9" t="n"/>
      <c r="F339" s="10" t="n"/>
      <c r="G339" s="10" t="n"/>
      <c r="H339" s="10">
        <f>IF(F339="","",F339*IF(G339="",1,G339))</f>
        <v/>
      </c>
      <c r="I339" s="9" t="n"/>
      <c r="J339" s="9" t="n"/>
    </row>
    <row r="340" ht="22" customHeight="1">
      <c r="A340" s="9" t="n"/>
      <c r="B340" s="9" t="n"/>
      <c r="C340" s="9" t="n"/>
      <c r="D340" s="9" t="n"/>
      <c r="E340" s="9" t="n"/>
      <c r="F340" s="10" t="n"/>
      <c r="G340" s="10" t="n"/>
      <c r="H340" s="10">
        <f>IF(F340="","",F340*IF(G340="",1,G340))</f>
        <v/>
      </c>
      <c r="I340" s="9" t="n"/>
      <c r="J340" s="9" t="n"/>
    </row>
    <row r="341" ht="22" customHeight="1">
      <c r="A341" s="9" t="n"/>
      <c r="B341" s="9" t="n"/>
      <c r="C341" s="9" t="n"/>
      <c r="D341" s="9" t="n"/>
      <c r="E341" s="9" t="n"/>
      <c r="F341" s="10" t="n"/>
      <c r="G341" s="10" t="n"/>
      <c r="H341" s="10">
        <f>IF(F341="","",F341*IF(G341="",1,G341))</f>
        <v/>
      </c>
      <c r="I341" s="9" t="n"/>
      <c r="J341" s="9" t="n"/>
    </row>
    <row r="342" ht="22" customHeight="1">
      <c r="A342" s="9" t="n"/>
      <c r="B342" s="9" t="n"/>
      <c r="C342" s="9" t="n"/>
      <c r="D342" s="9" t="n"/>
      <c r="E342" s="9" t="n"/>
      <c r="F342" s="10" t="n"/>
      <c r="G342" s="10" t="n"/>
      <c r="H342" s="10">
        <f>IF(F342="","",F342*IF(G342="",1,G342))</f>
        <v/>
      </c>
      <c r="I342" s="9" t="n"/>
      <c r="J342" s="9" t="n"/>
    </row>
    <row r="343" ht="22" customHeight="1">
      <c r="A343" s="9" t="n"/>
      <c r="B343" s="9" t="n"/>
      <c r="C343" s="9" t="n"/>
      <c r="D343" s="9" t="n"/>
      <c r="E343" s="9" t="n"/>
      <c r="F343" s="10" t="n"/>
      <c r="G343" s="10" t="n"/>
      <c r="H343" s="10">
        <f>IF(F343="","",F343*IF(G343="",1,G343))</f>
        <v/>
      </c>
      <c r="I343" s="9" t="n"/>
      <c r="J343" s="9" t="n"/>
    </row>
    <row r="344" ht="22" customHeight="1">
      <c r="A344" s="9" t="n"/>
      <c r="B344" s="9" t="n"/>
      <c r="C344" s="9" t="n"/>
      <c r="D344" s="9" t="n"/>
      <c r="E344" s="9" t="n"/>
      <c r="F344" s="10" t="n"/>
      <c r="G344" s="10" t="n"/>
      <c r="H344" s="10">
        <f>IF(F344="","",F344*IF(G344="",1,G344))</f>
        <v/>
      </c>
      <c r="I344" s="9" t="n"/>
      <c r="J344" s="9" t="n"/>
    </row>
    <row r="345" ht="22" customHeight="1">
      <c r="A345" s="9" t="n"/>
      <c r="B345" s="9" t="n"/>
      <c r="C345" s="9" t="n"/>
      <c r="D345" s="9" t="n"/>
      <c r="E345" s="9" t="n"/>
      <c r="F345" s="10" t="n"/>
      <c r="G345" s="10" t="n"/>
      <c r="H345" s="10">
        <f>IF(F345="","",F345*IF(G345="",1,G345))</f>
        <v/>
      </c>
      <c r="I345" s="9" t="n"/>
      <c r="J345" s="9" t="n"/>
    </row>
    <row r="346" ht="22" customHeight="1">
      <c r="A346" s="9" t="n"/>
      <c r="B346" s="9" t="n"/>
      <c r="C346" s="9" t="n"/>
      <c r="D346" s="9" t="n"/>
      <c r="E346" s="9" t="n"/>
      <c r="F346" s="10" t="n"/>
      <c r="G346" s="10" t="n"/>
      <c r="H346" s="10">
        <f>IF(F346="","",F346*IF(G346="",1,G346))</f>
        <v/>
      </c>
      <c r="I346" s="9" t="n"/>
      <c r="J346" s="9" t="n"/>
    </row>
    <row r="347" ht="22" customHeight="1">
      <c r="A347" s="9" t="n"/>
      <c r="B347" s="9" t="n"/>
      <c r="C347" s="9" t="n"/>
      <c r="D347" s="9" t="n"/>
      <c r="E347" s="9" t="n"/>
      <c r="F347" s="10" t="n"/>
      <c r="G347" s="10" t="n"/>
      <c r="H347" s="10">
        <f>IF(F347="","",F347*IF(G347="",1,G347))</f>
        <v/>
      </c>
      <c r="I347" s="9" t="n"/>
      <c r="J347" s="9" t="n"/>
    </row>
    <row r="348" ht="22" customHeight="1">
      <c r="A348" s="9" t="n"/>
      <c r="B348" s="9" t="n"/>
      <c r="C348" s="9" t="n"/>
      <c r="D348" s="9" t="n"/>
      <c r="E348" s="9" t="n"/>
      <c r="F348" s="10" t="n"/>
      <c r="G348" s="10" t="n"/>
      <c r="H348" s="10">
        <f>IF(F348="","",F348*IF(G348="",1,G348))</f>
        <v/>
      </c>
      <c r="I348" s="9" t="n"/>
      <c r="J348" s="9" t="n"/>
    </row>
    <row r="349" ht="22" customHeight="1">
      <c r="A349" s="9" t="n"/>
      <c r="B349" s="9" t="n"/>
      <c r="C349" s="9" t="n"/>
      <c r="D349" s="9" t="n"/>
      <c r="E349" s="9" t="n"/>
      <c r="F349" s="10" t="n"/>
      <c r="G349" s="10" t="n"/>
      <c r="H349" s="10">
        <f>IF(F349="","",F349*IF(G349="",1,G349))</f>
        <v/>
      </c>
      <c r="I349" s="9" t="n"/>
      <c r="J349" s="9" t="n"/>
    </row>
    <row r="350" ht="22" customHeight="1">
      <c r="A350" s="9" t="n"/>
      <c r="B350" s="9" t="n"/>
      <c r="C350" s="9" t="n"/>
      <c r="D350" s="9" t="n"/>
      <c r="E350" s="9" t="n"/>
      <c r="F350" s="10" t="n"/>
      <c r="G350" s="10" t="n"/>
      <c r="H350" s="10">
        <f>IF(F350="","",F350*IF(G350="",1,G350))</f>
        <v/>
      </c>
      <c r="I350" s="9" t="n"/>
      <c r="J350" s="9" t="n"/>
    </row>
    <row r="351" ht="22" customHeight="1">
      <c r="A351" s="9" t="n"/>
      <c r="B351" s="9" t="n"/>
      <c r="C351" s="9" t="n"/>
      <c r="D351" s="9" t="n"/>
      <c r="E351" s="9" t="n"/>
      <c r="F351" s="10" t="n"/>
      <c r="G351" s="10" t="n"/>
      <c r="H351" s="10">
        <f>IF(F351="","",F351*IF(G351="",1,G351))</f>
        <v/>
      </c>
      <c r="I351" s="9" t="n"/>
      <c r="J351" s="9" t="n"/>
    </row>
    <row r="352" ht="22" customHeight="1">
      <c r="A352" s="9" t="n"/>
      <c r="B352" s="9" t="n"/>
      <c r="C352" s="9" t="n"/>
      <c r="D352" s="9" t="n"/>
      <c r="E352" s="9" t="n"/>
      <c r="F352" s="10" t="n"/>
      <c r="G352" s="10" t="n"/>
      <c r="H352" s="10">
        <f>IF(F352="","",F352*IF(G352="",1,G352))</f>
        <v/>
      </c>
      <c r="I352" s="9" t="n"/>
      <c r="J352" s="9" t="n"/>
    </row>
    <row r="353" ht="22" customHeight="1">
      <c r="A353" s="9" t="n"/>
      <c r="B353" s="9" t="n"/>
      <c r="C353" s="9" t="n"/>
      <c r="D353" s="9" t="n"/>
      <c r="E353" s="9" t="n"/>
      <c r="F353" s="10" t="n"/>
      <c r="G353" s="10" t="n"/>
      <c r="H353" s="10">
        <f>IF(F353="","",F353*IF(G353="",1,G353))</f>
        <v/>
      </c>
      <c r="I353" s="9" t="n"/>
      <c r="J353" s="9" t="n"/>
    </row>
    <row r="354" ht="22" customHeight="1">
      <c r="A354" s="9" t="n"/>
      <c r="B354" s="9" t="n"/>
      <c r="C354" s="9" t="n"/>
      <c r="D354" s="9" t="n"/>
      <c r="E354" s="9" t="n"/>
      <c r="F354" s="10" t="n"/>
      <c r="G354" s="10" t="n"/>
      <c r="H354" s="10">
        <f>IF(F354="","",F354*IF(G354="",1,G354))</f>
        <v/>
      </c>
      <c r="I354" s="9" t="n"/>
      <c r="J354" s="9" t="n"/>
    </row>
    <row r="355" ht="22" customHeight="1">
      <c r="A355" s="9" t="n"/>
      <c r="B355" s="9" t="n"/>
      <c r="C355" s="9" t="n"/>
      <c r="D355" s="9" t="n"/>
      <c r="E355" s="9" t="n"/>
      <c r="F355" s="10" t="n"/>
      <c r="G355" s="10" t="n"/>
      <c r="H355" s="10">
        <f>IF(F355="","",F355*IF(G355="",1,G355))</f>
        <v/>
      </c>
      <c r="I355" s="9" t="n"/>
      <c r="J355" s="9" t="n"/>
    </row>
    <row r="356" ht="22" customHeight="1">
      <c r="A356" s="9" t="n"/>
      <c r="B356" s="9" t="n"/>
      <c r="C356" s="9" t="n"/>
      <c r="D356" s="9" t="n"/>
      <c r="E356" s="9" t="n"/>
      <c r="F356" s="10" t="n"/>
      <c r="G356" s="10" t="n"/>
      <c r="H356" s="10">
        <f>IF(F356="","",F356*IF(G356="",1,G356))</f>
        <v/>
      </c>
      <c r="I356" s="9" t="n"/>
      <c r="J356" s="9" t="n"/>
    </row>
    <row r="357" ht="22" customHeight="1">
      <c r="A357" s="9" t="n"/>
      <c r="B357" s="9" t="n"/>
      <c r="C357" s="9" t="n"/>
      <c r="D357" s="9" t="n"/>
      <c r="E357" s="9" t="n"/>
      <c r="F357" s="10" t="n"/>
      <c r="G357" s="10" t="n"/>
      <c r="H357" s="10">
        <f>IF(F357="","",F357*IF(G357="",1,G357))</f>
        <v/>
      </c>
      <c r="I357" s="9" t="n"/>
      <c r="J357" s="9" t="n"/>
    </row>
    <row r="358" ht="22" customHeight="1">
      <c r="A358" s="9" t="n"/>
      <c r="B358" s="9" t="n"/>
      <c r="C358" s="9" t="n"/>
      <c r="D358" s="9" t="n"/>
      <c r="E358" s="9" t="n"/>
      <c r="F358" s="10" t="n"/>
      <c r="G358" s="10" t="n"/>
      <c r="H358" s="10">
        <f>IF(F358="","",F358*IF(G358="",1,G358))</f>
        <v/>
      </c>
      <c r="I358" s="9" t="n"/>
      <c r="J358" s="9" t="n"/>
    </row>
    <row r="359" ht="22" customHeight="1">
      <c r="A359" s="9" t="n"/>
      <c r="B359" s="9" t="n"/>
      <c r="C359" s="9" t="n"/>
      <c r="D359" s="9" t="n"/>
      <c r="E359" s="9" t="n"/>
      <c r="F359" s="10" t="n"/>
      <c r="G359" s="10" t="n"/>
      <c r="H359" s="10">
        <f>IF(F359="","",F359*IF(G359="",1,G359))</f>
        <v/>
      </c>
      <c r="I359" s="9" t="n"/>
      <c r="J359" s="9" t="n"/>
    </row>
    <row r="360" ht="22" customHeight="1">
      <c r="A360" s="9" t="n"/>
      <c r="B360" s="9" t="n"/>
      <c r="C360" s="9" t="n"/>
      <c r="D360" s="9" t="n"/>
      <c r="E360" s="9" t="n"/>
      <c r="F360" s="10" t="n"/>
      <c r="G360" s="10" t="n"/>
      <c r="H360" s="10">
        <f>IF(F360="","",F360*IF(G360="",1,G360))</f>
        <v/>
      </c>
      <c r="I360" s="9" t="n"/>
      <c r="J360" s="9" t="n"/>
    </row>
    <row r="361" ht="22" customHeight="1">
      <c r="A361" s="9" t="n"/>
      <c r="B361" s="9" t="n"/>
      <c r="C361" s="9" t="n"/>
      <c r="D361" s="9" t="n"/>
      <c r="E361" s="9" t="n"/>
      <c r="F361" s="10" t="n"/>
      <c r="G361" s="10" t="n"/>
      <c r="H361" s="10">
        <f>IF(F361="","",F361*IF(G361="",1,G361))</f>
        <v/>
      </c>
      <c r="I361" s="9" t="n"/>
      <c r="J361" s="9" t="n"/>
    </row>
    <row r="362" ht="22" customHeight="1">
      <c r="A362" s="9" t="n"/>
      <c r="B362" s="9" t="n"/>
      <c r="C362" s="9" t="n"/>
      <c r="D362" s="9" t="n"/>
      <c r="E362" s="9" t="n"/>
      <c r="F362" s="10" t="n"/>
      <c r="G362" s="10" t="n"/>
      <c r="H362" s="10">
        <f>IF(F362="","",F362*IF(G362="",1,G362))</f>
        <v/>
      </c>
      <c r="I362" s="9" t="n"/>
      <c r="J362" s="9" t="n"/>
    </row>
    <row r="363" ht="22" customHeight="1">
      <c r="A363" s="9" t="n"/>
      <c r="B363" s="9" t="n"/>
      <c r="C363" s="9" t="n"/>
      <c r="D363" s="9" t="n"/>
      <c r="E363" s="9" t="n"/>
      <c r="F363" s="10" t="n"/>
      <c r="G363" s="10" t="n"/>
      <c r="H363" s="10">
        <f>IF(F363="","",F363*IF(G363="",1,G363))</f>
        <v/>
      </c>
      <c r="I363" s="9" t="n"/>
      <c r="J363" s="9" t="n"/>
    </row>
    <row r="364" ht="22" customHeight="1">
      <c r="A364" s="9" t="n"/>
      <c r="B364" s="9" t="n"/>
      <c r="C364" s="9" t="n"/>
      <c r="D364" s="9" t="n"/>
      <c r="E364" s="9" t="n"/>
      <c r="F364" s="10" t="n"/>
      <c r="G364" s="10" t="n"/>
      <c r="H364" s="10">
        <f>IF(F364="","",F364*IF(G364="",1,G364))</f>
        <v/>
      </c>
      <c r="I364" s="9" t="n"/>
      <c r="J364" s="9" t="n"/>
    </row>
    <row r="365" ht="22" customHeight="1">
      <c r="A365" s="9" t="n"/>
      <c r="B365" s="9" t="n"/>
      <c r="C365" s="9" t="n"/>
      <c r="D365" s="9" t="n"/>
      <c r="E365" s="9" t="n"/>
      <c r="F365" s="10" t="n"/>
      <c r="G365" s="10" t="n"/>
      <c r="H365" s="10">
        <f>IF(F365="","",F365*IF(G365="",1,G365))</f>
        <v/>
      </c>
      <c r="I365" s="9" t="n"/>
      <c r="J365" s="9" t="n"/>
    </row>
    <row r="366" ht="22" customHeight="1">
      <c r="A366" s="9" t="n"/>
      <c r="B366" s="9" t="n"/>
      <c r="C366" s="9" t="n"/>
      <c r="D366" s="9" t="n"/>
      <c r="E366" s="9" t="n"/>
      <c r="F366" s="10" t="n"/>
      <c r="G366" s="10" t="n"/>
      <c r="H366" s="10">
        <f>IF(F366="","",F366*IF(G366="",1,G366))</f>
        <v/>
      </c>
      <c r="I366" s="9" t="n"/>
      <c r="J366" s="9" t="n"/>
    </row>
    <row r="367" ht="22" customHeight="1">
      <c r="A367" s="9" t="n"/>
      <c r="B367" s="9" t="n"/>
      <c r="C367" s="9" t="n"/>
      <c r="D367" s="9" t="n"/>
      <c r="E367" s="9" t="n"/>
      <c r="F367" s="10" t="n"/>
      <c r="G367" s="10" t="n"/>
      <c r="H367" s="10">
        <f>IF(F367="","",F367*IF(G367="",1,G367))</f>
        <v/>
      </c>
      <c r="I367" s="9" t="n"/>
      <c r="J367" s="9" t="n"/>
    </row>
    <row r="368" ht="22" customHeight="1">
      <c r="A368" s="9" t="n"/>
      <c r="B368" s="9" t="n"/>
      <c r="C368" s="9" t="n"/>
      <c r="D368" s="9" t="n"/>
      <c r="E368" s="9" t="n"/>
      <c r="F368" s="10" t="n"/>
      <c r="G368" s="10" t="n"/>
      <c r="H368" s="10">
        <f>IF(F368="","",F368*IF(G368="",1,G368))</f>
        <v/>
      </c>
      <c r="I368" s="9" t="n"/>
      <c r="J368" s="9" t="n"/>
    </row>
    <row r="369" ht="22" customHeight="1">
      <c r="A369" s="9" t="n"/>
      <c r="B369" s="9" t="n"/>
      <c r="C369" s="9" t="n"/>
      <c r="D369" s="9" t="n"/>
      <c r="E369" s="9" t="n"/>
      <c r="F369" s="10" t="n"/>
      <c r="G369" s="10" t="n"/>
      <c r="H369" s="10">
        <f>IF(F369="","",F369*IF(G369="",1,G369))</f>
        <v/>
      </c>
      <c r="I369" s="9" t="n"/>
      <c r="J369" s="9" t="n"/>
    </row>
    <row r="370" ht="22" customHeight="1">
      <c r="A370" s="9" t="n"/>
      <c r="B370" s="9" t="n"/>
      <c r="C370" s="9" t="n"/>
      <c r="D370" s="9" t="n"/>
      <c r="E370" s="9" t="n"/>
      <c r="F370" s="10" t="n"/>
      <c r="G370" s="10" t="n"/>
      <c r="H370" s="10">
        <f>IF(F370="","",F370*IF(G370="",1,G370))</f>
        <v/>
      </c>
      <c r="I370" s="9" t="n"/>
      <c r="J370" s="9" t="n"/>
    </row>
    <row r="371" ht="22" customHeight="1">
      <c r="A371" s="9" t="n"/>
      <c r="B371" s="9" t="n"/>
      <c r="C371" s="9" t="n"/>
      <c r="D371" s="9" t="n"/>
      <c r="E371" s="9" t="n"/>
      <c r="F371" s="10" t="n"/>
      <c r="G371" s="10" t="n"/>
      <c r="H371" s="10">
        <f>IF(F371="","",F371*IF(G371="",1,G371))</f>
        <v/>
      </c>
      <c r="I371" s="9" t="n"/>
      <c r="J371" s="9" t="n"/>
    </row>
    <row r="372" ht="22" customHeight="1">
      <c r="A372" s="9" t="n"/>
      <c r="B372" s="9" t="n"/>
      <c r="C372" s="9" t="n"/>
      <c r="D372" s="9" t="n"/>
      <c r="E372" s="9" t="n"/>
      <c r="F372" s="10" t="n"/>
      <c r="G372" s="10" t="n"/>
      <c r="H372" s="10">
        <f>IF(F372="","",F372*IF(G372="",1,G372))</f>
        <v/>
      </c>
      <c r="I372" s="9" t="n"/>
      <c r="J372" s="9" t="n"/>
    </row>
    <row r="373" ht="22" customHeight="1">
      <c r="A373" s="9" t="n"/>
      <c r="B373" s="9" t="n"/>
      <c r="C373" s="9" t="n"/>
      <c r="D373" s="9" t="n"/>
      <c r="E373" s="9" t="n"/>
      <c r="F373" s="10" t="n"/>
      <c r="G373" s="10" t="n"/>
      <c r="H373" s="10">
        <f>IF(F373="","",F373*IF(G373="",1,G373))</f>
        <v/>
      </c>
      <c r="I373" s="9" t="n"/>
      <c r="J373" s="9" t="n"/>
    </row>
    <row r="374" ht="22" customHeight="1">
      <c r="A374" s="9" t="n"/>
      <c r="B374" s="9" t="n"/>
      <c r="C374" s="9" t="n"/>
      <c r="D374" s="9" t="n"/>
      <c r="E374" s="9" t="n"/>
      <c r="F374" s="10" t="n"/>
      <c r="G374" s="10" t="n"/>
      <c r="H374" s="10">
        <f>IF(F374="","",F374*IF(G374="",1,G374))</f>
        <v/>
      </c>
      <c r="I374" s="9" t="n"/>
      <c r="J374" s="9" t="n"/>
    </row>
    <row r="375" ht="22" customHeight="1">
      <c r="A375" s="9" t="n"/>
      <c r="B375" s="9" t="n"/>
      <c r="C375" s="9" t="n"/>
      <c r="D375" s="9" t="n"/>
      <c r="E375" s="9" t="n"/>
      <c r="F375" s="10" t="n"/>
      <c r="G375" s="10" t="n"/>
      <c r="H375" s="10">
        <f>IF(F375="","",F375*IF(G375="",1,G375))</f>
        <v/>
      </c>
      <c r="I375" s="9" t="n"/>
      <c r="J375" s="9" t="n"/>
    </row>
    <row r="376" ht="22" customHeight="1">
      <c r="A376" s="9" t="n"/>
      <c r="B376" s="9" t="n"/>
      <c r="C376" s="9" t="n"/>
      <c r="D376" s="9" t="n"/>
      <c r="E376" s="9" t="n"/>
      <c r="F376" s="10" t="n"/>
      <c r="G376" s="10" t="n"/>
      <c r="H376" s="10">
        <f>IF(F376="","",F376*IF(G376="",1,G376))</f>
        <v/>
      </c>
      <c r="I376" s="9" t="n"/>
      <c r="J376" s="9" t="n"/>
    </row>
    <row r="377" ht="22" customHeight="1">
      <c r="A377" s="9" t="n"/>
      <c r="B377" s="9" t="n"/>
      <c r="C377" s="9" t="n"/>
      <c r="D377" s="9" t="n"/>
      <c r="E377" s="9" t="n"/>
      <c r="F377" s="10" t="n"/>
      <c r="G377" s="10" t="n"/>
      <c r="H377" s="10">
        <f>IF(F377="","",F377*IF(G377="",1,G377))</f>
        <v/>
      </c>
      <c r="I377" s="9" t="n"/>
      <c r="J377" s="9" t="n"/>
    </row>
    <row r="378" ht="22" customHeight="1">
      <c r="A378" s="9" t="n"/>
      <c r="B378" s="9" t="n"/>
      <c r="C378" s="9" t="n"/>
      <c r="D378" s="9" t="n"/>
      <c r="E378" s="9" t="n"/>
      <c r="F378" s="10" t="n"/>
      <c r="G378" s="10" t="n"/>
      <c r="H378" s="10">
        <f>IF(F378="","",F378*IF(G378="",1,G378))</f>
        <v/>
      </c>
      <c r="I378" s="9" t="n"/>
      <c r="J378" s="9" t="n"/>
    </row>
    <row r="379" ht="22" customHeight="1">
      <c r="A379" s="9" t="n"/>
      <c r="B379" s="9" t="n"/>
      <c r="C379" s="9" t="n"/>
      <c r="D379" s="9" t="n"/>
      <c r="E379" s="9" t="n"/>
      <c r="F379" s="10" t="n"/>
      <c r="G379" s="10" t="n"/>
      <c r="H379" s="10">
        <f>IF(F379="","",F379*IF(G379="",1,G379))</f>
        <v/>
      </c>
      <c r="I379" s="9" t="n"/>
      <c r="J379" s="9" t="n"/>
    </row>
    <row r="380" ht="22" customHeight="1">
      <c r="A380" s="9" t="n"/>
      <c r="B380" s="9" t="n"/>
      <c r="C380" s="9" t="n"/>
      <c r="D380" s="9" t="n"/>
      <c r="E380" s="9" t="n"/>
      <c r="F380" s="10" t="n"/>
      <c r="G380" s="10" t="n"/>
      <c r="H380" s="10">
        <f>IF(F380="","",F380*IF(G380="",1,G380))</f>
        <v/>
      </c>
      <c r="I380" s="9" t="n"/>
      <c r="J380" s="9" t="n"/>
    </row>
    <row r="381" ht="22" customHeight="1">
      <c r="A381" s="9" t="n"/>
      <c r="B381" s="9" t="n"/>
      <c r="C381" s="9" t="n"/>
      <c r="D381" s="9" t="n"/>
      <c r="E381" s="9" t="n"/>
      <c r="F381" s="10" t="n"/>
      <c r="G381" s="10" t="n"/>
      <c r="H381" s="10">
        <f>IF(F381="","",F381*IF(G381="",1,G381))</f>
        <v/>
      </c>
      <c r="I381" s="9" t="n"/>
      <c r="J381" s="9" t="n"/>
    </row>
    <row r="382" ht="22" customHeight="1">
      <c r="A382" s="9" t="n"/>
      <c r="B382" s="9" t="n"/>
      <c r="C382" s="9" t="n"/>
      <c r="D382" s="9" t="n"/>
      <c r="E382" s="9" t="n"/>
      <c r="F382" s="10" t="n"/>
      <c r="G382" s="10" t="n"/>
      <c r="H382" s="10">
        <f>IF(F382="","",F382*IF(G382="",1,G382))</f>
        <v/>
      </c>
      <c r="I382" s="9" t="n"/>
      <c r="J382" s="9" t="n"/>
    </row>
    <row r="383" ht="22" customHeight="1">
      <c r="A383" s="9" t="n"/>
      <c r="B383" s="9" t="n"/>
      <c r="C383" s="9" t="n"/>
      <c r="D383" s="9" t="n"/>
      <c r="E383" s="9" t="n"/>
      <c r="F383" s="10" t="n"/>
      <c r="G383" s="10" t="n"/>
      <c r="H383" s="10">
        <f>IF(F383="","",F383*IF(G383="",1,G383))</f>
        <v/>
      </c>
      <c r="I383" s="9" t="n"/>
      <c r="J383" s="9" t="n"/>
    </row>
    <row r="384" ht="22" customHeight="1">
      <c r="A384" s="9" t="n"/>
      <c r="B384" s="9" t="n"/>
      <c r="C384" s="9" t="n"/>
      <c r="D384" s="9" t="n"/>
      <c r="E384" s="9" t="n"/>
      <c r="F384" s="10" t="n"/>
      <c r="G384" s="10" t="n"/>
      <c r="H384" s="10">
        <f>IF(F384="","",F384*IF(G384="",1,G384))</f>
        <v/>
      </c>
      <c r="I384" s="9" t="n"/>
      <c r="J384" s="9" t="n"/>
    </row>
    <row r="385" ht="22" customHeight="1">
      <c r="A385" s="9" t="n"/>
      <c r="B385" s="9" t="n"/>
      <c r="C385" s="9" t="n"/>
      <c r="D385" s="9" t="n"/>
      <c r="E385" s="9" t="n"/>
      <c r="F385" s="10" t="n"/>
      <c r="G385" s="10" t="n"/>
      <c r="H385" s="10">
        <f>IF(F385="","",F385*IF(G385="",1,G385))</f>
        <v/>
      </c>
      <c r="I385" s="9" t="n"/>
      <c r="J385" s="9" t="n"/>
    </row>
    <row r="386" ht="22" customHeight="1">
      <c r="A386" s="9" t="n"/>
      <c r="B386" s="9" t="n"/>
      <c r="C386" s="9" t="n"/>
      <c r="D386" s="9" t="n"/>
      <c r="E386" s="9" t="n"/>
      <c r="F386" s="10" t="n"/>
      <c r="G386" s="10" t="n"/>
      <c r="H386" s="10">
        <f>IF(F386="","",F386*IF(G386="",1,G386))</f>
        <v/>
      </c>
      <c r="I386" s="9" t="n"/>
      <c r="J386" s="9" t="n"/>
    </row>
    <row r="387" ht="22" customHeight="1">
      <c r="A387" s="9" t="n"/>
      <c r="B387" s="9" t="n"/>
      <c r="C387" s="9" t="n"/>
      <c r="D387" s="9" t="n"/>
      <c r="E387" s="9" t="n"/>
      <c r="F387" s="10" t="n"/>
      <c r="G387" s="10" t="n"/>
      <c r="H387" s="10">
        <f>IF(F387="","",F387*IF(G387="",1,G387))</f>
        <v/>
      </c>
      <c r="I387" s="9" t="n"/>
      <c r="J387" s="9" t="n"/>
    </row>
    <row r="388" ht="22" customHeight="1">
      <c r="A388" s="9" t="n"/>
      <c r="B388" s="9" t="n"/>
      <c r="C388" s="9" t="n"/>
      <c r="D388" s="9" t="n"/>
      <c r="E388" s="9" t="n"/>
      <c r="F388" s="10" t="n"/>
      <c r="G388" s="10" t="n"/>
      <c r="H388" s="10">
        <f>IF(F388="","",F388*IF(G388="",1,G388))</f>
        <v/>
      </c>
      <c r="I388" s="9" t="n"/>
      <c r="J388" s="9" t="n"/>
    </row>
    <row r="389" ht="22" customHeight="1">
      <c r="A389" s="9" t="n"/>
      <c r="B389" s="9" t="n"/>
      <c r="C389" s="9" t="n"/>
      <c r="D389" s="9" t="n"/>
      <c r="E389" s="9" t="n"/>
      <c r="F389" s="10" t="n"/>
      <c r="G389" s="10" t="n"/>
      <c r="H389" s="10">
        <f>IF(F389="","",F389*IF(G389="",1,G389))</f>
        <v/>
      </c>
      <c r="I389" s="9" t="n"/>
      <c r="J389" s="9" t="n"/>
    </row>
    <row r="390" ht="22" customHeight="1">
      <c r="A390" s="9" t="n"/>
      <c r="B390" s="9" t="n"/>
      <c r="C390" s="9" t="n"/>
      <c r="D390" s="9" t="n"/>
      <c r="E390" s="9" t="n"/>
      <c r="F390" s="10" t="n"/>
      <c r="G390" s="10" t="n"/>
      <c r="H390" s="10">
        <f>IF(F390="","",F390*IF(G390="",1,G390))</f>
        <v/>
      </c>
      <c r="I390" s="9" t="n"/>
      <c r="J390" s="9" t="n"/>
    </row>
    <row r="391" ht="22" customHeight="1">
      <c r="A391" s="9" t="n"/>
      <c r="B391" s="9" t="n"/>
      <c r="C391" s="9" t="n"/>
      <c r="D391" s="9" t="n"/>
      <c r="E391" s="9" t="n"/>
      <c r="F391" s="10" t="n"/>
      <c r="G391" s="10" t="n"/>
      <c r="H391" s="10">
        <f>IF(F391="","",F391*IF(G391="",1,G391))</f>
        <v/>
      </c>
      <c r="I391" s="9" t="n"/>
      <c r="J391" s="9" t="n"/>
    </row>
    <row r="392" ht="22" customHeight="1">
      <c r="A392" s="9" t="n"/>
      <c r="B392" s="9" t="n"/>
      <c r="C392" s="9" t="n"/>
      <c r="D392" s="9" t="n"/>
      <c r="E392" s="9" t="n"/>
      <c r="F392" s="10" t="n"/>
      <c r="G392" s="10" t="n"/>
      <c r="H392" s="10">
        <f>IF(F392="","",F392*IF(G392="",1,G392))</f>
        <v/>
      </c>
      <c r="I392" s="9" t="n"/>
      <c r="J392" s="9" t="n"/>
    </row>
    <row r="393" ht="22" customHeight="1">
      <c r="A393" s="9" t="n"/>
      <c r="B393" s="9" t="n"/>
      <c r="C393" s="9" t="n"/>
      <c r="D393" s="9" t="n"/>
      <c r="E393" s="9" t="n"/>
      <c r="F393" s="10" t="n"/>
      <c r="G393" s="10" t="n"/>
      <c r="H393" s="10">
        <f>IF(F393="","",F393*IF(G393="",1,G393))</f>
        <v/>
      </c>
      <c r="I393" s="9" t="n"/>
      <c r="J393" s="9" t="n"/>
    </row>
    <row r="394" ht="22" customHeight="1">
      <c r="A394" s="9" t="n"/>
      <c r="B394" s="9" t="n"/>
      <c r="C394" s="9" t="n"/>
      <c r="D394" s="9" t="n"/>
      <c r="E394" s="9" t="n"/>
      <c r="F394" s="10" t="n"/>
      <c r="G394" s="10" t="n"/>
      <c r="H394" s="10">
        <f>IF(F394="","",F394*IF(G394="",1,G394))</f>
        <v/>
      </c>
      <c r="I394" s="9" t="n"/>
      <c r="J394" s="9" t="n"/>
    </row>
    <row r="395" ht="22" customHeight="1">
      <c r="A395" s="9" t="n"/>
      <c r="B395" s="9" t="n"/>
      <c r="C395" s="9" t="n"/>
      <c r="D395" s="9" t="n"/>
      <c r="E395" s="9" t="n"/>
      <c r="F395" s="10" t="n"/>
      <c r="G395" s="10" t="n"/>
      <c r="H395" s="10">
        <f>IF(F395="","",F395*IF(G395="",1,G395))</f>
        <v/>
      </c>
      <c r="I395" s="9" t="n"/>
      <c r="J395" s="9" t="n"/>
    </row>
    <row r="396" ht="22" customHeight="1">
      <c r="A396" s="9" t="n"/>
      <c r="B396" s="9" t="n"/>
      <c r="C396" s="9" t="n"/>
      <c r="D396" s="9" t="n"/>
      <c r="E396" s="9" t="n"/>
      <c r="F396" s="10" t="n"/>
      <c r="G396" s="10" t="n"/>
      <c r="H396" s="10">
        <f>IF(F396="","",F396*IF(G396="",1,G396))</f>
        <v/>
      </c>
      <c r="I396" s="9" t="n"/>
      <c r="J396" s="9" t="n"/>
    </row>
    <row r="397" ht="22" customHeight="1">
      <c r="A397" s="9" t="n"/>
      <c r="B397" s="9" t="n"/>
      <c r="C397" s="9" t="n"/>
      <c r="D397" s="9" t="n"/>
      <c r="E397" s="9" t="n"/>
      <c r="F397" s="10" t="n"/>
      <c r="G397" s="10" t="n"/>
      <c r="H397" s="10">
        <f>IF(F397="","",F397*IF(G397="",1,G397))</f>
        <v/>
      </c>
      <c r="I397" s="9" t="n"/>
      <c r="J397" s="9" t="n"/>
    </row>
    <row r="398" ht="22" customHeight="1">
      <c r="A398" s="9" t="n"/>
      <c r="B398" s="9" t="n"/>
      <c r="C398" s="9" t="n"/>
      <c r="D398" s="9" t="n"/>
      <c r="E398" s="9" t="n"/>
      <c r="F398" s="10" t="n"/>
      <c r="G398" s="10" t="n"/>
      <c r="H398" s="10">
        <f>IF(F398="","",F398*IF(G398="",1,G398))</f>
        <v/>
      </c>
      <c r="I398" s="9" t="n"/>
      <c r="J398" s="9" t="n"/>
    </row>
    <row r="399" ht="22" customHeight="1">
      <c r="A399" s="9" t="n"/>
      <c r="B399" s="9" t="n"/>
      <c r="C399" s="9" t="n"/>
      <c r="D399" s="9" t="n"/>
      <c r="E399" s="9" t="n"/>
      <c r="F399" s="10" t="n"/>
      <c r="G399" s="10" t="n"/>
      <c r="H399" s="10">
        <f>IF(F399="","",F399*IF(G399="",1,G399))</f>
        <v/>
      </c>
      <c r="I399" s="9" t="n"/>
      <c r="J399" s="9" t="n"/>
    </row>
    <row r="400" ht="22" customHeight="1">
      <c r="A400" s="9" t="n"/>
      <c r="B400" s="9" t="n"/>
      <c r="C400" s="9" t="n"/>
      <c r="D400" s="9" t="n"/>
      <c r="E400" s="9" t="n"/>
      <c r="F400" s="10" t="n"/>
      <c r="G400" s="10" t="n"/>
      <c r="H400" s="10">
        <f>IF(F400="","",F400*IF(G400="",1,G400))</f>
        <v/>
      </c>
      <c r="I400" s="9" t="n"/>
      <c r="J400" s="9" t="n"/>
    </row>
    <row r="401" ht="22" customHeight="1">
      <c r="A401" s="9" t="n"/>
      <c r="B401" s="9" t="n"/>
      <c r="C401" s="9" t="n"/>
      <c r="D401" s="9" t="n"/>
      <c r="E401" s="9" t="n"/>
      <c r="F401" s="10" t="n"/>
      <c r="G401" s="10" t="n"/>
      <c r="H401" s="10">
        <f>IF(F401="","",F401*IF(G401="",1,G401))</f>
        <v/>
      </c>
      <c r="I401" s="9" t="n"/>
      <c r="J401" s="9" t="n"/>
    </row>
    <row r="402" ht="22" customHeight="1">
      <c r="A402" s="9" t="n"/>
      <c r="B402" s="9" t="n"/>
      <c r="C402" s="9" t="n"/>
      <c r="D402" s="9" t="n"/>
      <c r="E402" s="9" t="n"/>
      <c r="F402" s="10" t="n"/>
      <c r="G402" s="10" t="n"/>
      <c r="H402" s="10">
        <f>IF(F402="","",F402*IF(G402="",1,G402))</f>
        <v/>
      </c>
      <c r="I402" s="9" t="n"/>
      <c r="J402" s="9" t="n"/>
    </row>
    <row r="403" ht="22" customHeight="1">
      <c r="A403" s="9" t="n"/>
      <c r="B403" s="9" t="n"/>
      <c r="C403" s="9" t="n"/>
      <c r="D403" s="9" t="n"/>
      <c r="E403" s="9" t="n"/>
      <c r="F403" s="10" t="n"/>
      <c r="G403" s="10" t="n"/>
      <c r="H403" s="10">
        <f>IF(F403="","",F403*IF(G403="",1,G403))</f>
        <v/>
      </c>
      <c r="I403" s="9" t="n"/>
      <c r="J403" s="9" t="n"/>
    </row>
    <row r="404" ht="22" customHeight="1">
      <c r="A404" s="9" t="n"/>
      <c r="B404" s="9" t="n"/>
      <c r="C404" s="9" t="n"/>
      <c r="D404" s="9" t="n"/>
      <c r="E404" s="9" t="n"/>
      <c r="F404" s="10" t="n"/>
      <c r="G404" s="10" t="n"/>
      <c r="H404" s="10">
        <f>IF(F404="","",F404*IF(G404="",1,G404))</f>
        <v/>
      </c>
      <c r="I404" s="9" t="n"/>
      <c r="J404" s="9" t="n"/>
    </row>
    <row r="405" ht="22" customHeight="1">
      <c r="A405" s="9" t="n"/>
      <c r="B405" s="9" t="n"/>
      <c r="C405" s="9" t="n"/>
      <c r="D405" s="9" t="n"/>
      <c r="E405" s="9" t="n"/>
      <c r="F405" s="10" t="n"/>
      <c r="G405" s="10" t="n"/>
      <c r="H405" s="10">
        <f>IF(F405="","",F405*IF(G405="",1,G405))</f>
        <v/>
      </c>
      <c r="I405" s="9" t="n"/>
      <c r="J405" s="9" t="n"/>
    </row>
    <row r="406" ht="22" customHeight="1">
      <c r="A406" s="9" t="n"/>
      <c r="B406" s="9" t="n"/>
      <c r="C406" s="9" t="n"/>
      <c r="D406" s="9" t="n"/>
      <c r="E406" s="9" t="n"/>
      <c r="F406" s="10" t="n"/>
      <c r="G406" s="10" t="n"/>
      <c r="H406" s="10">
        <f>IF(F406="","",F406*IF(G406="",1,G406))</f>
        <v/>
      </c>
      <c r="I406" s="9" t="n"/>
      <c r="J406" s="9" t="n"/>
    </row>
    <row r="407" ht="22" customHeight="1">
      <c r="A407" s="9" t="n"/>
      <c r="B407" s="9" t="n"/>
      <c r="C407" s="9" t="n"/>
      <c r="D407" s="9" t="n"/>
      <c r="E407" s="9" t="n"/>
      <c r="F407" s="10" t="n"/>
      <c r="G407" s="10" t="n"/>
      <c r="H407" s="10">
        <f>IF(F407="","",F407*IF(G407="",1,G407))</f>
        <v/>
      </c>
      <c r="I407" s="9" t="n"/>
      <c r="J407" s="9" t="n"/>
    </row>
    <row r="408" ht="22" customHeight="1">
      <c r="A408" s="9" t="n"/>
      <c r="B408" s="9" t="n"/>
      <c r="C408" s="9" t="n"/>
      <c r="D408" s="9" t="n"/>
      <c r="E408" s="9" t="n"/>
      <c r="F408" s="10" t="n"/>
      <c r="G408" s="10" t="n"/>
      <c r="H408" s="10">
        <f>IF(F408="","",F408*IF(G408="",1,G408))</f>
        <v/>
      </c>
      <c r="I408" s="9" t="n"/>
      <c r="J408" s="9" t="n"/>
    </row>
    <row r="409" ht="22" customHeight="1">
      <c r="A409" s="9" t="n"/>
      <c r="B409" s="9" t="n"/>
      <c r="C409" s="9" t="n"/>
      <c r="D409" s="9" t="n"/>
      <c r="E409" s="9" t="n"/>
      <c r="F409" s="10" t="n"/>
      <c r="G409" s="10" t="n"/>
      <c r="H409" s="10">
        <f>IF(F409="","",F409*IF(G409="",1,G409))</f>
        <v/>
      </c>
      <c r="I409" s="9" t="n"/>
      <c r="J409" s="9" t="n"/>
    </row>
    <row r="410" ht="22" customHeight="1">
      <c r="A410" s="9" t="n"/>
      <c r="B410" s="9" t="n"/>
      <c r="C410" s="9" t="n"/>
      <c r="D410" s="9" t="n"/>
      <c r="E410" s="9" t="n"/>
      <c r="F410" s="10" t="n"/>
      <c r="G410" s="10" t="n"/>
      <c r="H410" s="10">
        <f>IF(F410="","",F410*IF(G410="",1,G410))</f>
        <v/>
      </c>
      <c r="I410" s="9" t="n"/>
      <c r="J410" s="9" t="n"/>
    </row>
    <row r="411" ht="22" customHeight="1">
      <c r="A411" s="9" t="n"/>
      <c r="B411" s="9" t="n"/>
      <c r="C411" s="9" t="n"/>
      <c r="D411" s="9" t="n"/>
      <c r="E411" s="9" t="n"/>
      <c r="F411" s="10" t="n"/>
      <c r="G411" s="10" t="n"/>
      <c r="H411" s="10">
        <f>IF(F411="","",F411*IF(G411="",1,G411))</f>
        <v/>
      </c>
      <c r="I411" s="9" t="n"/>
      <c r="J411" s="9" t="n"/>
    </row>
    <row r="412" ht="22" customHeight="1">
      <c r="A412" s="9" t="n"/>
      <c r="B412" s="9" t="n"/>
      <c r="C412" s="9" t="n"/>
      <c r="D412" s="9" t="n"/>
      <c r="E412" s="9" t="n"/>
      <c r="F412" s="10" t="n"/>
      <c r="G412" s="10" t="n"/>
      <c r="H412" s="10">
        <f>IF(F412="","",F412*IF(G412="",1,G412))</f>
        <v/>
      </c>
      <c r="I412" s="9" t="n"/>
      <c r="J412" s="9" t="n"/>
    </row>
    <row r="413" ht="22" customHeight="1">
      <c r="A413" s="9" t="n"/>
      <c r="B413" s="9" t="n"/>
      <c r="C413" s="9" t="n"/>
      <c r="D413" s="9" t="n"/>
      <c r="E413" s="9" t="n"/>
      <c r="F413" s="10" t="n"/>
      <c r="G413" s="10" t="n"/>
      <c r="H413" s="10">
        <f>IF(F413="","",F413*IF(G413="",1,G413))</f>
        <v/>
      </c>
      <c r="I413" s="9" t="n"/>
      <c r="J413" s="9" t="n"/>
    </row>
    <row r="414" ht="22" customHeight="1">
      <c r="A414" s="9" t="n"/>
      <c r="B414" s="9" t="n"/>
      <c r="C414" s="9" t="n"/>
      <c r="D414" s="9" t="n"/>
      <c r="E414" s="9" t="n"/>
      <c r="F414" s="10" t="n"/>
      <c r="G414" s="10" t="n"/>
      <c r="H414" s="10">
        <f>IF(F414="","",F414*IF(G414="",1,G414))</f>
        <v/>
      </c>
      <c r="I414" s="9" t="n"/>
      <c r="J414" s="9" t="n"/>
    </row>
    <row r="415" ht="22" customHeight="1">
      <c r="A415" s="9" t="n"/>
      <c r="B415" s="9" t="n"/>
      <c r="C415" s="9" t="n"/>
      <c r="D415" s="9" t="n"/>
      <c r="E415" s="9" t="n"/>
      <c r="F415" s="10" t="n"/>
      <c r="G415" s="10" t="n"/>
      <c r="H415" s="10">
        <f>IF(F415="","",F415*IF(G415="",1,G415))</f>
        <v/>
      </c>
      <c r="I415" s="9" t="n"/>
      <c r="J415" s="9" t="n"/>
    </row>
    <row r="416" ht="22" customHeight="1">
      <c r="A416" s="9" t="n"/>
      <c r="B416" s="9" t="n"/>
      <c r="C416" s="9" t="n"/>
      <c r="D416" s="9" t="n"/>
      <c r="E416" s="9" t="n"/>
      <c r="F416" s="10" t="n"/>
      <c r="G416" s="10" t="n"/>
      <c r="H416" s="10">
        <f>IF(F416="","",F416*IF(G416="",1,G416))</f>
        <v/>
      </c>
      <c r="I416" s="9" t="n"/>
      <c r="J416" s="9" t="n"/>
    </row>
    <row r="417" ht="22" customHeight="1">
      <c r="A417" s="9" t="n"/>
      <c r="B417" s="9" t="n"/>
      <c r="C417" s="9" t="n"/>
      <c r="D417" s="9" t="n"/>
      <c r="E417" s="9" t="n"/>
      <c r="F417" s="10" t="n"/>
      <c r="G417" s="10" t="n"/>
      <c r="H417" s="10">
        <f>IF(F417="","",F417*IF(G417="",1,G417))</f>
        <v/>
      </c>
      <c r="I417" s="9" t="n"/>
      <c r="J417" s="9" t="n"/>
    </row>
    <row r="418" ht="22" customHeight="1">
      <c r="A418" s="9" t="n"/>
      <c r="B418" s="9" t="n"/>
      <c r="C418" s="9" t="n"/>
      <c r="D418" s="9" t="n"/>
      <c r="E418" s="9" t="n"/>
      <c r="F418" s="10" t="n"/>
      <c r="G418" s="10" t="n"/>
      <c r="H418" s="10">
        <f>IF(F418="","",F418*IF(G418="",1,G418))</f>
        <v/>
      </c>
      <c r="I418" s="9" t="n"/>
      <c r="J418" s="9" t="n"/>
    </row>
    <row r="419" ht="22" customHeight="1">
      <c r="A419" s="9" t="n"/>
      <c r="B419" s="9" t="n"/>
      <c r="C419" s="9" t="n"/>
      <c r="D419" s="9" t="n"/>
      <c r="E419" s="9" t="n"/>
      <c r="F419" s="10" t="n"/>
      <c r="G419" s="10" t="n"/>
      <c r="H419" s="10">
        <f>IF(F419="","",F419*IF(G419="",1,G419))</f>
        <v/>
      </c>
      <c r="I419" s="9" t="n"/>
      <c r="J419" s="9" t="n"/>
    </row>
    <row r="420" ht="22" customHeight="1">
      <c r="A420" s="9" t="n"/>
      <c r="B420" s="9" t="n"/>
      <c r="C420" s="9" t="n"/>
      <c r="D420" s="9" t="n"/>
      <c r="E420" s="9" t="n"/>
      <c r="F420" s="10" t="n"/>
      <c r="G420" s="10" t="n"/>
      <c r="H420" s="10">
        <f>IF(F420="","",F420*IF(G420="",1,G420))</f>
        <v/>
      </c>
      <c r="I420" s="9" t="n"/>
      <c r="J420" s="9" t="n"/>
    </row>
    <row r="421" ht="22" customHeight="1">
      <c r="A421" s="9" t="n"/>
      <c r="B421" s="9" t="n"/>
      <c r="C421" s="9" t="n"/>
      <c r="D421" s="9" t="n"/>
      <c r="E421" s="9" t="n"/>
      <c r="F421" s="10" t="n"/>
      <c r="G421" s="10" t="n"/>
      <c r="H421" s="10">
        <f>IF(F421="","",F421*IF(G421="",1,G421))</f>
        <v/>
      </c>
      <c r="I421" s="9" t="n"/>
      <c r="J421" s="9" t="n"/>
    </row>
    <row r="422" ht="22" customHeight="1">
      <c r="A422" s="9" t="n"/>
      <c r="B422" s="9" t="n"/>
      <c r="C422" s="9" t="n"/>
      <c r="D422" s="9" t="n"/>
      <c r="E422" s="9" t="n"/>
      <c r="F422" s="10" t="n"/>
      <c r="G422" s="10" t="n"/>
      <c r="H422" s="10">
        <f>IF(F422="","",F422*IF(G422="",1,G422))</f>
        <v/>
      </c>
      <c r="I422" s="9" t="n"/>
      <c r="J422" s="9" t="n"/>
    </row>
    <row r="423" ht="22" customHeight="1">
      <c r="A423" s="9" t="n"/>
      <c r="B423" s="9" t="n"/>
      <c r="C423" s="9" t="n"/>
      <c r="D423" s="9" t="n"/>
      <c r="E423" s="9" t="n"/>
      <c r="F423" s="10" t="n"/>
      <c r="G423" s="10" t="n"/>
      <c r="H423" s="10">
        <f>IF(F423="","",F423*IF(G423="",1,G423))</f>
        <v/>
      </c>
      <c r="I423" s="9" t="n"/>
      <c r="J423" s="9" t="n"/>
    </row>
    <row r="424" ht="22" customHeight="1">
      <c r="A424" s="9" t="n"/>
      <c r="B424" s="9" t="n"/>
      <c r="C424" s="9" t="n"/>
      <c r="D424" s="9" t="n"/>
      <c r="E424" s="9" t="n"/>
      <c r="F424" s="10" t="n"/>
      <c r="G424" s="10" t="n"/>
      <c r="H424" s="10">
        <f>IF(F424="","",F424*IF(G424="",1,G424))</f>
        <v/>
      </c>
      <c r="I424" s="9" t="n"/>
      <c r="J424" s="9" t="n"/>
    </row>
    <row r="425" ht="22" customHeight="1">
      <c r="A425" s="9" t="n"/>
      <c r="B425" s="9" t="n"/>
      <c r="C425" s="9" t="n"/>
      <c r="D425" s="9" t="n"/>
      <c r="E425" s="9" t="n"/>
      <c r="F425" s="10" t="n"/>
      <c r="G425" s="10" t="n"/>
      <c r="H425" s="10">
        <f>IF(F425="","",F425*IF(G425="",1,G425))</f>
        <v/>
      </c>
      <c r="I425" s="9" t="n"/>
      <c r="J425" s="9" t="n"/>
    </row>
    <row r="426" ht="22" customHeight="1">
      <c r="A426" s="9" t="n"/>
      <c r="B426" s="9" t="n"/>
      <c r="C426" s="9" t="n"/>
      <c r="D426" s="9" t="n"/>
      <c r="E426" s="9" t="n"/>
      <c r="F426" s="10" t="n"/>
      <c r="G426" s="10" t="n"/>
      <c r="H426" s="10">
        <f>IF(F426="","",F426*IF(G426="",1,G426))</f>
        <v/>
      </c>
      <c r="I426" s="9" t="n"/>
      <c r="J426" s="9" t="n"/>
    </row>
    <row r="427" ht="22" customHeight="1">
      <c r="A427" s="9" t="n"/>
      <c r="B427" s="9" t="n"/>
      <c r="C427" s="9" t="n"/>
      <c r="D427" s="9" t="n"/>
      <c r="E427" s="9" t="n"/>
      <c r="F427" s="10" t="n"/>
      <c r="G427" s="10" t="n"/>
      <c r="H427" s="10">
        <f>IF(F427="","",F427*IF(G427="",1,G427))</f>
        <v/>
      </c>
      <c r="I427" s="9" t="n"/>
      <c r="J427" s="9" t="n"/>
    </row>
    <row r="428" ht="22" customHeight="1">
      <c r="A428" s="9" t="n"/>
      <c r="B428" s="9" t="n"/>
      <c r="C428" s="9" t="n"/>
      <c r="D428" s="9" t="n"/>
      <c r="E428" s="9" t="n"/>
      <c r="F428" s="10" t="n"/>
      <c r="G428" s="10" t="n"/>
      <c r="H428" s="10">
        <f>IF(F428="","",F428*IF(G428="",1,G428))</f>
        <v/>
      </c>
      <c r="I428" s="9" t="n"/>
      <c r="J428" s="9" t="n"/>
    </row>
    <row r="429" ht="22" customHeight="1">
      <c r="A429" s="9" t="n"/>
      <c r="B429" s="9" t="n"/>
      <c r="C429" s="9" t="n"/>
      <c r="D429" s="9" t="n"/>
      <c r="E429" s="9" t="n"/>
      <c r="F429" s="10" t="n"/>
      <c r="G429" s="10" t="n"/>
      <c r="H429" s="10">
        <f>IF(F429="","",F429*IF(G429="",1,G429))</f>
        <v/>
      </c>
      <c r="I429" s="9" t="n"/>
      <c r="J429" s="9" t="n"/>
    </row>
    <row r="430" ht="22" customHeight="1">
      <c r="A430" s="9" t="n"/>
      <c r="B430" s="9" t="n"/>
      <c r="C430" s="9" t="n"/>
      <c r="D430" s="9" t="n"/>
      <c r="E430" s="9" t="n"/>
      <c r="F430" s="10" t="n"/>
      <c r="G430" s="10" t="n"/>
      <c r="H430" s="10">
        <f>IF(F430="","",F430*IF(G430="",1,G430))</f>
        <v/>
      </c>
      <c r="I430" s="9" t="n"/>
      <c r="J430" s="9" t="n"/>
    </row>
    <row r="431" ht="22" customHeight="1">
      <c r="A431" s="9" t="n"/>
      <c r="B431" s="9" t="n"/>
      <c r="C431" s="9" t="n"/>
      <c r="D431" s="9" t="n"/>
      <c r="E431" s="9" t="n"/>
      <c r="F431" s="10" t="n"/>
      <c r="G431" s="10" t="n"/>
      <c r="H431" s="10">
        <f>IF(F431="","",F431*IF(G431="",1,G431))</f>
        <v/>
      </c>
      <c r="I431" s="9" t="n"/>
      <c r="J431" s="9" t="n"/>
    </row>
    <row r="432" ht="22" customHeight="1">
      <c r="A432" s="9" t="n"/>
      <c r="B432" s="9" t="n"/>
      <c r="C432" s="9" t="n"/>
      <c r="D432" s="9" t="n"/>
      <c r="E432" s="9" t="n"/>
      <c r="F432" s="10" t="n"/>
      <c r="G432" s="10" t="n"/>
      <c r="H432" s="10">
        <f>IF(F432="","",F432*IF(G432="",1,G432))</f>
        <v/>
      </c>
      <c r="I432" s="9" t="n"/>
      <c r="J432" s="9" t="n"/>
    </row>
    <row r="433" ht="22" customHeight="1">
      <c r="A433" s="9" t="n"/>
      <c r="B433" s="9" t="n"/>
      <c r="C433" s="9" t="n"/>
      <c r="D433" s="9" t="n"/>
      <c r="E433" s="9" t="n"/>
      <c r="F433" s="10" t="n"/>
      <c r="G433" s="10" t="n"/>
      <c r="H433" s="10">
        <f>IF(F433="","",F433*IF(G433="",1,G433))</f>
        <v/>
      </c>
      <c r="I433" s="9" t="n"/>
      <c r="J433" s="9" t="n"/>
    </row>
    <row r="434" ht="22" customHeight="1">
      <c r="A434" s="9" t="n"/>
      <c r="B434" s="9" t="n"/>
      <c r="C434" s="9" t="n"/>
      <c r="D434" s="9" t="n"/>
      <c r="E434" s="9" t="n"/>
      <c r="F434" s="10" t="n"/>
      <c r="G434" s="10" t="n"/>
      <c r="H434" s="10">
        <f>IF(F434="","",F434*IF(G434="",1,G434))</f>
        <v/>
      </c>
      <c r="I434" s="9" t="n"/>
      <c r="J434" s="9" t="n"/>
    </row>
    <row r="435" ht="22" customHeight="1">
      <c r="A435" s="9" t="n"/>
      <c r="B435" s="9" t="n"/>
      <c r="C435" s="9" t="n"/>
      <c r="D435" s="9" t="n"/>
      <c r="E435" s="9" t="n"/>
      <c r="F435" s="10" t="n"/>
      <c r="G435" s="10" t="n"/>
      <c r="H435" s="10">
        <f>IF(F435="","",F435*IF(G435="",1,G435))</f>
        <v/>
      </c>
      <c r="I435" s="9" t="n"/>
      <c r="J435" s="9" t="n"/>
    </row>
    <row r="436" ht="22" customHeight="1">
      <c r="A436" s="9" t="n"/>
      <c r="B436" s="9" t="n"/>
      <c r="C436" s="9" t="n"/>
      <c r="D436" s="9" t="n"/>
      <c r="E436" s="9" t="n"/>
      <c r="F436" s="10" t="n"/>
      <c r="G436" s="10" t="n"/>
      <c r="H436" s="10">
        <f>IF(F436="","",F436*IF(G436="",1,G436))</f>
        <v/>
      </c>
      <c r="I436" s="9" t="n"/>
      <c r="J436" s="9" t="n"/>
    </row>
    <row r="437" ht="22" customHeight="1">
      <c r="A437" s="9" t="n"/>
      <c r="B437" s="9" t="n"/>
      <c r="C437" s="9" t="n"/>
      <c r="D437" s="9" t="n"/>
      <c r="E437" s="9" t="n"/>
      <c r="F437" s="10" t="n"/>
      <c r="G437" s="10" t="n"/>
      <c r="H437" s="10">
        <f>IF(F437="","",F437*IF(G437="",1,G437))</f>
        <v/>
      </c>
      <c r="I437" s="9" t="n"/>
      <c r="J437" s="9" t="n"/>
    </row>
    <row r="438" ht="22" customHeight="1">
      <c r="A438" s="9" t="n"/>
      <c r="B438" s="9" t="n"/>
      <c r="C438" s="9" t="n"/>
      <c r="D438" s="9" t="n"/>
      <c r="E438" s="9" t="n"/>
      <c r="F438" s="10" t="n"/>
      <c r="G438" s="10" t="n"/>
      <c r="H438" s="10">
        <f>IF(F438="","",F438*IF(G438="",1,G438))</f>
        <v/>
      </c>
      <c r="I438" s="9" t="n"/>
      <c r="J438" s="9" t="n"/>
    </row>
    <row r="439" ht="22" customHeight="1">
      <c r="A439" s="9" t="n"/>
      <c r="B439" s="9" t="n"/>
      <c r="C439" s="9" t="n"/>
      <c r="D439" s="9" t="n"/>
      <c r="E439" s="9" t="n"/>
      <c r="F439" s="10" t="n"/>
      <c r="G439" s="10" t="n"/>
      <c r="H439" s="10">
        <f>IF(F439="","",F439*IF(G439="",1,G439))</f>
        <v/>
      </c>
      <c r="I439" s="9" t="n"/>
      <c r="J439" s="9" t="n"/>
    </row>
    <row r="440" ht="22" customHeight="1">
      <c r="A440" s="9" t="n"/>
      <c r="B440" s="9" t="n"/>
      <c r="C440" s="9" t="n"/>
      <c r="D440" s="9" t="n"/>
      <c r="E440" s="9" t="n"/>
      <c r="F440" s="10" t="n"/>
      <c r="G440" s="10" t="n"/>
      <c r="H440" s="10">
        <f>IF(F440="","",F440*IF(G440="",1,G440))</f>
        <v/>
      </c>
      <c r="I440" s="9" t="n"/>
      <c r="J440" s="9" t="n"/>
    </row>
    <row r="441" ht="22" customHeight="1">
      <c r="A441" s="9" t="n"/>
      <c r="B441" s="9" t="n"/>
      <c r="C441" s="9" t="n"/>
      <c r="D441" s="9" t="n"/>
      <c r="E441" s="9" t="n"/>
      <c r="F441" s="10" t="n"/>
      <c r="G441" s="10" t="n"/>
      <c r="H441" s="10">
        <f>IF(F441="","",F441*IF(G441="",1,G441))</f>
        <v/>
      </c>
      <c r="I441" s="9" t="n"/>
      <c r="J441" s="9" t="n"/>
    </row>
    <row r="442" ht="22" customHeight="1">
      <c r="A442" s="9" t="n"/>
      <c r="B442" s="9" t="n"/>
      <c r="C442" s="9" t="n"/>
      <c r="D442" s="9" t="n"/>
      <c r="E442" s="9" t="n"/>
      <c r="F442" s="10" t="n"/>
      <c r="G442" s="10" t="n"/>
      <c r="H442" s="10">
        <f>IF(F442="","",F442*IF(G442="",1,G442))</f>
        <v/>
      </c>
      <c r="I442" s="9" t="n"/>
      <c r="J442" s="9" t="n"/>
    </row>
    <row r="443" ht="22" customHeight="1">
      <c r="A443" s="9" t="n"/>
      <c r="B443" s="9" t="n"/>
      <c r="C443" s="9" t="n"/>
      <c r="D443" s="9" t="n"/>
      <c r="E443" s="9" t="n"/>
      <c r="F443" s="10" t="n"/>
      <c r="G443" s="10" t="n"/>
      <c r="H443" s="10">
        <f>IF(F443="","",F443*IF(G443="",1,G443))</f>
        <v/>
      </c>
      <c r="I443" s="9" t="n"/>
      <c r="J443" s="9" t="n"/>
    </row>
    <row r="444" ht="22" customHeight="1">
      <c r="A444" s="9" t="n"/>
      <c r="B444" s="9" t="n"/>
      <c r="C444" s="9" t="n"/>
      <c r="D444" s="9" t="n"/>
      <c r="E444" s="9" t="n"/>
      <c r="F444" s="10" t="n"/>
      <c r="G444" s="10" t="n"/>
      <c r="H444" s="10">
        <f>IF(F444="","",F444*IF(G444="",1,G444))</f>
        <v/>
      </c>
      <c r="I444" s="9" t="n"/>
      <c r="J444" s="9" t="n"/>
    </row>
    <row r="445" ht="22" customHeight="1">
      <c r="A445" s="9" t="n"/>
      <c r="B445" s="9" t="n"/>
      <c r="C445" s="9" t="n"/>
      <c r="D445" s="9" t="n"/>
      <c r="E445" s="9" t="n"/>
      <c r="F445" s="10" t="n"/>
      <c r="G445" s="10" t="n"/>
      <c r="H445" s="10">
        <f>IF(F445="","",F445*IF(G445="",1,G445))</f>
        <v/>
      </c>
      <c r="I445" s="9" t="n"/>
      <c r="J445" s="9" t="n"/>
    </row>
    <row r="446" ht="22" customHeight="1">
      <c r="A446" s="9" t="n"/>
      <c r="B446" s="9" t="n"/>
      <c r="C446" s="9" t="n"/>
      <c r="D446" s="9" t="n"/>
      <c r="E446" s="9" t="n"/>
      <c r="F446" s="10" t="n"/>
      <c r="G446" s="10" t="n"/>
      <c r="H446" s="10">
        <f>IF(F446="","",F446*IF(G446="",1,G446))</f>
        <v/>
      </c>
      <c r="I446" s="9" t="n"/>
      <c r="J446" s="9" t="n"/>
    </row>
    <row r="447" ht="22" customHeight="1">
      <c r="A447" s="9" t="n"/>
      <c r="B447" s="9" t="n"/>
      <c r="C447" s="9" t="n"/>
      <c r="D447" s="9" t="n"/>
      <c r="E447" s="9" t="n"/>
      <c r="F447" s="10" t="n"/>
      <c r="G447" s="10" t="n"/>
      <c r="H447" s="10">
        <f>IF(F447="","",F447*IF(G447="",1,G447))</f>
        <v/>
      </c>
      <c r="I447" s="9" t="n"/>
      <c r="J447" s="9" t="n"/>
    </row>
    <row r="448" ht="22" customHeight="1">
      <c r="A448" s="9" t="n"/>
      <c r="B448" s="9" t="n"/>
      <c r="C448" s="9" t="n"/>
      <c r="D448" s="9" t="n"/>
      <c r="E448" s="9" t="n"/>
      <c r="F448" s="10" t="n"/>
      <c r="G448" s="10" t="n"/>
      <c r="H448" s="10">
        <f>IF(F448="","",F448*IF(G448="",1,G448))</f>
        <v/>
      </c>
      <c r="I448" s="9" t="n"/>
      <c r="J448" s="9" t="n"/>
    </row>
    <row r="449" ht="22" customHeight="1">
      <c r="A449" s="9" t="n"/>
      <c r="B449" s="9" t="n"/>
      <c r="C449" s="9" t="n"/>
      <c r="D449" s="9" t="n"/>
      <c r="E449" s="9" t="n"/>
      <c r="F449" s="10" t="n"/>
      <c r="G449" s="10" t="n"/>
      <c r="H449" s="10">
        <f>IF(F449="","",F449*IF(G449="",1,G449))</f>
        <v/>
      </c>
      <c r="I449" s="9" t="n"/>
      <c r="J449" s="9" t="n"/>
    </row>
    <row r="450" ht="22" customHeight="1">
      <c r="A450" s="9" t="n"/>
      <c r="B450" s="9" t="n"/>
      <c r="C450" s="9" t="n"/>
      <c r="D450" s="9" t="n"/>
      <c r="E450" s="9" t="n"/>
      <c r="F450" s="10" t="n"/>
      <c r="G450" s="10" t="n"/>
      <c r="H450" s="10">
        <f>IF(F450="","",F450*IF(G450="",1,G450))</f>
        <v/>
      </c>
      <c r="I450" s="9" t="n"/>
      <c r="J450" s="9" t="n"/>
    </row>
    <row r="451" ht="22" customHeight="1">
      <c r="A451" s="9" t="n"/>
      <c r="B451" s="9" t="n"/>
      <c r="C451" s="9" t="n"/>
      <c r="D451" s="9" t="n"/>
      <c r="E451" s="9" t="n"/>
      <c r="F451" s="10" t="n"/>
      <c r="G451" s="10" t="n"/>
      <c r="H451" s="10">
        <f>IF(F451="","",F451*IF(G451="",1,G451))</f>
        <v/>
      </c>
      <c r="I451" s="9" t="n"/>
      <c r="J451" s="9" t="n"/>
    </row>
    <row r="452" ht="22" customHeight="1">
      <c r="A452" s="9" t="n"/>
      <c r="B452" s="9" t="n"/>
      <c r="C452" s="9" t="n"/>
      <c r="D452" s="9" t="n"/>
      <c r="E452" s="9" t="n"/>
      <c r="F452" s="10" t="n"/>
      <c r="G452" s="10" t="n"/>
      <c r="H452" s="10">
        <f>IF(F452="","",F452*IF(G452="",1,G452))</f>
        <v/>
      </c>
      <c r="I452" s="9" t="n"/>
      <c r="J452" s="9" t="n"/>
    </row>
    <row r="453" ht="22" customHeight="1">
      <c r="A453" s="9" t="n"/>
      <c r="B453" s="9" t="n"/>
      <c r="C453" s="9" t="n"/>
      <c r="D453" s="9" t="n"/>
      <c r="E453" s="9" t="n"/>
      <c r="F453" s="10" t="n"/>
      <c r="G453" s="10" t="n"/>
      <c r="H453" s="10">
        <f>IF(F453="","",F453*IF(G453="",1,G453))</f>
        <v/>
      </c>
      <c r="I453" s="9" t="n"/>
      <c r="J453" s="9" t="n"/>
    </row>
    <row r="454" ht="22" customHeight="1">
      <c r="A454" s="9" t="n"/>
      <c r="B454" s="9" t="n"/>
      <c r="C454" s="9" t="n"/>
      <c r="D454" s="9" t="n"/>
      <c r="E454" s="9" t="n"/>
      <c r="F454" s="10" t="n"/>
      <c r="G454" s="10" t="n"/>
      <c r="H454" s="10">
        <f>IF(F454="","",F454*IF(G454="",1,G454))</f>
        <v/>
      </c>
      <c r="I454" s="9" t="n"/>
      <c r="J454" s="9" t="n"/>
    </row>
    <row r="455" ht="22" customHeight="1">
      <c r="A455" s="9" t="n"/>
      <c r="B455" s="9" t="n"/>
      <c r="C455" s="9" t="n"/>
      <c r="D455" s="9" t="n"/>
      <c r="E455" s="9" t="n"/>
      <c r="F455" s="10" t="n"/>
      <c r="G455" s="10" t="n"/>
      <c r="H455" s="10">
        <f>IF(F455="","",F455*IF(G455="",1,G455))</f>
        <v/>
      </c>
      <c r="I455" s="9" t="n"/>
      <c r="J455" s="9" t="n"/>
    </row>
    <row r="456" ht="22" customHeight="1">
      <c r="A456" s="9" t="n"/>
      <c r="B456" s="9" t="n"/>
      <c r="C456" s="9" t="n"/>
      <c r="D456" s="9" t="n"/>
      <c r="E456" s="9" t="n"/>
      <c r="F456" s="10" t="n"/>
      <c r="G456" s="10" t="n"/>
      <c r="H456" s="10">
        <f>IF(F456="","",F456*IF(G456="",1,G456))</f>
        <v/>
      </c>
      <c r="I456" s="9" t="n"/>
      <c r="J456" s="9" t="n"/>
    </row>
    <row r="457" ht="22" customHeight="1">
      <c r="A457" s="9" t="n"/>
      <c r="B457" s="9" t="n"/>
      <c r="C457" s="9" t="n"/>
      <c r="D457" s="9" t="n"/>
      <c r="E457" s="9" t="n"/>
      <c r="F457" s="10" t="n"/>
      <c r="G457" s="10" t="n"/>
      <c r="H457" s="10">
        <f>IF(F457="","",F457*IF(G457="",1,G457))</f>
        <v/>
      </c>
      <c r="I457" s="9" t="n"/>
      <c r="J457" s="9" t="n"/>
    </row>
    <row r="458" ht="22" customHeight="1">
      <c r="A458" s="9" t="n"/>
      <c r="B458" s="9" t="n"/>
      <c r="C458" s="9" t="n"/>
      <c r="D458" s="9" t="n"/>
      <c r="E458" s="9" t="n"/>
      <c r="F458" s="10" t="n"/>
      <c r="G458" s="10" t="n"/>
      <c r="H458" s="10">
        <f>IF(F458="","",F458*IF(G458="",1,G458))</f>
        <v/>
      </c>
      <c r="I458" s="9" t="n"/>
      <c r="J458" s="9" t="n"/>
    </row>
    <row r="459" ht="22" customHeight="1">
      <c r="A459" s="9" t="n"/>
      <c r="B459" s="9" t="n"/>
      <c r="C459" s="9" t="n"/>
      <c r="D459" s="9" t="n"/>
      <c r="E459" s="9" t="n"/>
      <c r="F459" s="10" t="n"/>
      <c r="G459" s="10" t="n"/>
      <c r="H459" s="10">
        <f>IF(F459="","",F459*IF(G459="",1,G459))</f>
        <v/>
      </c>
      <c r="I459" s="9" t="n"/>
      <c r="J459" s="9" t="n"/>
    </row>
    <row r="460" ht="22" customHeight="1">
      <c r="A460" s="9" t="n"/>
      <c r="B460" s="9" t="n"/>
      <c r="C460" s="9" t="n"/>
      <c r="D460" s="9" t="n"/>
      <c r="E460" s="9" t="n"/>
      <c r="F460" s="10" t="n"/>
      <c r="G460" s="10" t="n"/>
      <c r="H460" s="10">
        <f>IF(F460="","",F460*IF(G460="",1,G460))</f>
        <v/>
      </c>
      <c r="I460" s="9" t="n"/>
      <c r="J460" s="9" t="n"/>
    </row>
    <row r="461" ht="22" customHeight="1">
      <c r="A461" s="9" t="n"/>
      <c r="B461" s="9" t="n"/>
      <c r="C461" s="9" t="n"/>
      <c r="D461" s="9" t="n"/>
      <c r="E461" s="9" t="n"/>
      <c r="F461" s="10" t="n"/>
      <c r="G461" s="10" t="n"/>
      <c r="H461" s="10">
        <f>IF(F461="","",F461*IF(G461="",1,G461))</f>
        <v/>
      </c>
      <c r="I461" s="9" t="n"/>
      <c r="J461" s="9" t="n"/>
    </row>
    <row r="462" ht="22" customHeight="1">
      <c r="A462" s="9" t="n"/>
      <c r="B462" s="9" t="n"/>
      <c r="C462" s="9" t="n"/>
      <c r="D462" s="9" t="n"/>
      <c r="E462" s="9" t="n"/>
      <c r="F462" s="10" t="n"/>
      <c r="G462" s="10" t="n"/>
      <c r="H462" s="10">
        <f>IF(F462="","",F462*IF(G462="",1,G462))</f>
        <v/>
      </c>
      <c r="I462" s="9" t="n"/>
      <c r="J462" s="9" t="n"/>
    </row>
    <row r="463" ht="22" customHeight="1">
      <c r="A463" s="9" t="n"/>
      <c r="B463" s="9" t="n"/>
      <c r="C463" s="9" t="n"/>
      <c r="D463" s="9" t="n"/>
      <c r="E463" s="9" t="n"/>
      <c r="F463" s="10" t="n"/>
      <c r="G463" s="10" t="n"/>
      <c r="H463" s="10">
        <f>IF(F463="","",F463*IF(G463="",1,G463))</f>
        <v/>
      </c>
      <c r="I463" s="9" t="n"/>
      <c r="J463" s="9" t="n"/>
    </row>
    <row r="464" ht="22" customHeight="1">
      <c r="A464" s="9" t="n"/>
      <c r="B464" s="9" t="n"/>
      <c r="C464" s="9" t="n"/>
      <c r="D464" s="9" t="n"/>
      <c r="E464" s="9" t="n"/>
      <c r="F464" s="10" t="n"/>
      <c r="G464" s="10" t="n"/>
      <c r="H464" s="10">
        <f>IF(F464="","",F464*IF(G464="",1,G464))</f>
        <v/>
      </c>
      <c r="I464" s="9" t="n"/>
      <c r="J464" s="9" t="n"/>
    </row>
    <row r="465" ht="22" customHeight="1">
      <c r="A465" s="9" t="n"/>
      <c r="B465" s="9" t="n"/>
      <c r="C465" s="9" t="n"/>
      <c r="D465" s="9" t="n"/>
      <c r="E465" s="9" t="n"/>
      <c r="F465" s="10" t="n"/>
      <c r="G465" s="10" t="n"/>
      <c r="H465" s="10">
        <f>IF(F465="","",F465*IF(G465="",1,G465))</f>
        <v/>
      </c>
      <c r="I465" s="9" t="n"/>
      <c r="J465" s="9" t="n"/>
    </row>
    <row r="466" ht="22" customHeight="1">
      <c r="A466" s="9" t="n"/>
      <c r="B466" s="9" t="n"/>
      <c r="C466" s="9" t="n"/>
      <c r="D466" s="9" t="n"/>
      <c r="E466" s="9" t="n"/>
      <c r="F466" s="10" t="n"/>
      <c r="G466" s="10" t="n"/>
      <c r="H466" s="10">
        <f>IF(F466="","",F466*IF(G466="",1,G466))</f>
        <v/>
      </c>
      <c r="I466" s="9" t="n"/>
      <c r="J466" s="9" t="n"/>
    </row>
    <row r="467" ht="22" customHeight="1">
      <c r="A467" s="9" t="n"/>
      <c r="B467" s="9" t="n"/>
      <c r="C467" s="9" t="n"/>
      <c r="D467" s="9" t="n"/>
      <c r="E467" s="9" t="n"/>
      <c r="F467" s="10" t="n"/>
      <c r="G467" s="10" t="n"/>
      <c r="H467" s="10">
        <f>IF(F467="","",F467*IF(G467="",1,G467))</f>
        <v/>
      </c>
      <c r="I467" s="9" t="n"/>
      <c r="J467" s="9" t="n"/>
    </row>
    <row r="468" ht="22" customHeight="1">
      <c r="A468" s="9" t="n"/>
      <c r="B468" s="9" t="n"/>
      <c r="C468" s="9" t="n"/>
      <c r="D468" s="9" t="n"/>
      <c r="E468" s="9" t="n"/>
      <c r="F468" s="10" t="n"/>
      <c r="G468" s="10" t="n"/>
      <c r="H468" s="10">
        <f>IF(F468="","",F468*IF(G468="",1,G468))</f>
        <v/>
      </c>
      <c r="I468" s="9" t="n"/>
      <c r="J468" s="9" t="n"/>
    </row>
    <row r="469" ht="22" customHeight="1">
      <c r="A469" s="9" t="n"/>
      <c r="B469" s="9" t="n"/>
      <c r="C469" s="9" t="n"/>
      <c r="D469" s="9" t="n"/>
      <c r="E469" s="9" t="n"/>
      <c r="F469" s="10" t="n"/>
      <c r="G469" s="10" t="n"/>
      <c r="H469" s="10">
        <f>IF(F469="","",F469*IF(G469="",1,G469))</f>
        <v/>
      </c>
      <c r="I469" s="9" t="n"/>
      <c r="J469" s="9" t="n"/>
    </row>
    <row r="470" ht="22" customHeight="1">
      <c r="A470" s="9" t="n"/>
      <c r="B470" s="9" t="n"/>
      <c r="C470" s="9" t="n"/>
      <c r="D470" s="9" t="n"/>
      <c r="E470" s="9" t="n"/>
      <c r="F470" s="10" t="n"/>
      <c r="G470" s="10" t="n"/>
      <c r="H470" s="10">
        <f>IF(F470="","",F470*IF(G470="",1,G470))</f>
        <v/>
      </c>
      <c r="I470" s="9" t="n"/>
      <c r="J470" s="9" t="n"/>
    </row>
    <row r="471" ht="22" customHeight="1">
      <c r="A471" s="9" t="n"/>
      <c r="B471" s="9" t="n"/>
      <c r="C471" s="9" t="n"/>
      <c r="D471" s="9" t="n"/>
      <c r="E471" s="9" t="n"/>
      <c r="F471" s="10" t="n"/>
      <c r="G471" s="10" t="n"/>
      <c r="H471" s="10">
        <f>IF(F471="","",F471*IF(G471="",1,G471))</f>
        <v/>
      </c>
      <c r="I471" s="9" t="n"/>
      <c r="J471" s="9" t="n"/>
    </row>
    <row r="472" ht="22" customHeight="1">
      <c r="A472" s="9" t="n"/>
      <c r="B472" s="9" t="n"/>
      <c r="C472" s="9" t="n"/>
      <c r="D472" s="9" t="n"/>
      <c r="E472" s="9" t="n"/>
      <c r="F472" s="10" t="n"/>
      <c r="G472" s="10" t="n"/>
      <c r="H472" s="10">
        <f>IF(F472="","",F472*IF(G472="",1,G472))</f>
        <v/>
      </c>
      <c r="I472" s="9" t="n"/>
      <c r="J472" s="9" t="n"/>
    </row>
    <row r="473" ht="22" customHeight="1">
      <c r="A473" s="9" t="n"/>
      <c r="B473" s="9" t="n"/>
      <c r="C473" s="9" t="n"/>
      <c r="D473" s="9" t="n"/>
      <c r="E473" s="9" t="n"/>
      <c r="F473" s="10" t="n"/>
      <c r="G473" s="10" t="n"/>
      <c r="H473" s="10">
        <f>IF(F473="","",F473*IF(G473="",1,G473))</f>
        <v/>
      </c>
      <c r="I473" s="9" t="n"/>
      <c r="J473" s="9" t="n"/>
    </row>
    <row r="474" ht="22" customHeight="1">
      <c r="A474" s="9" t="n"/>
      <c r="B474" s="9" t="n"/>
      <c r="C474" s="9" t="n"/>
      <c r="D474" s="9" t="n"/>
      <c r="E474" s="9" t="n"/>
      <c r="F474" s="10" t="n"/>
      <c r="G474" s="10" t="n"/>
      <c r="H474" s="10">
        <f>IF(F474="","",F474*IF(G474="",1,G474))</f>
        <v/>
      </c>
      <c r="I474" s="9" t="n"/>
      <c r="J474" s="9" t="n"/>
    </row>
    <row r="475" ht="22" customHeight="1">
      <c r="A475" s="9" t="n"/>
      <c r="B475" s="9" t="n"/>
      <c r="C475" s="9" t="n"/>
      <c r="D475" s="9" t="n"/>
      <c r="E475" s="9" t="n"/>
      <c r="F475" s="10" t="n"/>
      <c r="G475" s="10" t="n"/>
      <c r="H475" s="10">
        <f>IF(F475="","",F475*IF(G475="",1,G475))</f>
        <v/>
      </c>
      <c r="I475" s="9" t="n"/>
      <c r="J475" s="9" t="n"/>
    </row>
    <row r="476" ht="22" customHeight="1">
      <c r="A476" s="9" t="n"/>
      <c r="B476" s="9" t="n"/>
      <c r="C476" s="9" t="n"/>
      <c r="D476" s="9" t="n"/>
      <c r="E476" s="9" t="n"/>
      <c r="F476" s="10" t="n"/>
      <c r="G476" s="10" t="n"/>
      <c r="H476" s="10">
        <f>IF(F476="","",F476*IF(G476="",1,G476))</f>
        <v/>
      </c>
      <c r="I476" s="9" t="n"/>
      <c r="J476" s="9" t="n"/>
    </row>
    <row r="477" ht="22" customHeight="1">
      <c r="A477" s="9" t="n"/>
      <c r="B477" s="9" t="n"/>
      <c r="C477" s="9" t="n"/>
      <c r="D477" s="9" t="n"/>
      <c r="E477" s="9" t="n"/>
      <c r="F477" s="10" t="n"/>
      <c r="G477" s="10" t="n"/>
      <c r="H477" s="10">
        <f>IF(F477="","",F477*IF(G477="",1,G477))</f>
        <v/>
      </c>
      <c r="I477" s="9" t="n"/>
      <c r="J477" s="9" t="n"/>
    </row>
    <row r="478" ht="22" customHeight="1">
      <c r="A478" s="9" t="n"/>
      <c r="B478" s="9" t="n"/>
      <c r="C478" s="9" t="n"/>
      <c r="D478" s="9" t="n"/>
      <c r="E478" s="9" t="n"/>
      <c r="F478" s="10" t="n"/>
      <c r="G478" s="10" t="n"/>
      <c r="H478" s="10">
        <f>IF(F478="","",F478*IF(G478="",1,G478))</f>
        <v/>
      </c>
      <c r="I478" s="9" t="n"/>
      <c r="J478" s="9" t="n"/>
    </row>
    <row r="479" ht="22" customHeight="1">
      <c r="A479" s="9" t="n"/>
      <c r="B479" s="9" t="n"/>
      <c r="C479" s="9" t="n"/>
      <c r="D479" s="9" t="n"/>
      <c r="E479" s="9" t="n"/>
      <c r="F479" s="10" t="n"/>
      <c r="G479" s="10" t="n"/>
      <c r="H479" s="10">
        <f>IF(F479="","",F479*IF(G479="",1,G479))</f>
        <v/>
      </c>
      <c r="I479" s="9" t="n"/>
      <c r="J479" s="9" t="n"/>
    </row>
    <row r="480" ht="22" customHeight="1">
      <c r="A480" s="9" t="n"/>
      <c r="B480" s="9" t="n"/>
      <c r="C480" s="9" t="n"/>
      <c r="D480" s="9" t="n"/>
      <c r="E480" s="9" t="n"/>
      <c r="F480" s="10" t="n"/>
      <c r="G480" s="10" t="n"/>
      <c r="H480" s="10">
        <f>IF(F480="","",F480*IF(G480="",1,G480))</f>
        <v/>
      </c>
      <c r="I480" s="9" t="n"/>
      <c r="J480" s="9" t="n"/>
    </row>
    <row r="481" ht="22" customHeight="1">
      <c r="A481" s="9" t="n"/>
      <c r="B481" s="9" t="n"/>
      <c r="C481" s="9" t="n"/>
      <c r="D481" s="9" t="n"/>
      <c r="E481" s="9" t="n"/>
      <c r="F481" s="10" t="n"/>
      <c r="G481" s="10" t="n"/>
      <c r="H481" s="10">
        <f>IF(F481="","",F481*IF(G481="",1,G481))</f>
        <v/>
      </c>
      <c r="I481" s="9" t="n"/>
      <c r="J481" s="9" t="n"/>
    </row>
    <row r="482" ht="22" customHeight="1">
      <c r="A482" s="9" t="n"/>
      <c r="B482" s="9" t="n"/>
      <c r="C482" s="9" t="n"/>
      <c r="D482" s="9" t="n"/>
      <c r="E482" s="9" t="n"/>
      <c r="F482" s="10" t="n"/>
      <c r="G482" s="10" t="n"/>
      <c r="H482" s="10">
        <f>IF(F482="","",F482*IF(G482="",1,G482))</f>
        <v/>
      </c>
      <c r="I482" s="9" t="n"/>
      <c r="J482" s="9" t="n"/>
    </row>
    <row r="483" ht="22" customHeight="1">
      <c r="A483" s="9" t="n"/>
      <c r="B483" s="9" t="n"/>
      <c r="C483" s="9" t="n"/>
      <c r="D483" s="9" t="n"/>
      <c r="E483" s="9" t="n"/>
      <c r="F483" s="10" t="n"/>
      <c r="G483" s="10" t="n"/>
      <c r="H483" s="10">
        <f>IF(F483="","",F483*IF(G483="",1,G483))</f>
        <v/>
      </c>
      <c r="I483" s="9" t="n"/>
      <c r="J483" s="9" t="n"/>
    </row>
    <row r="484" ht="22" customHeight="1">
      <c r="A484" s="9" t="n"/>
      <c r="B484" s="9" t="n"/>
      <c r="C484" s="9" t="n"/>
      <c r="D484" s="9" t="n"/>
      <c r="E484" s="9" t="n"/>
      <c r="F484" s="10" t="n"/>
      <c r="G484" s="10" t="n"/>
      <c r="H484" s="10">
        <f>IF(F484="","",F484*IF(G484="",1,G484))</f>
        <v/>
      </c>
      <c r="I484" s="9" t="n"/>
      <c r="J484" s="9" t="n"/>
    </row>
    <row r="485" ht="22" customHeight="1">
      <c r="A485" s="9" t="n"/>
      <c r="B485" s="9" t="n"/>
      <c r="C485" s="9" t="n"/>
      <c r="D485" s="9" t="n"/>
      <c r="E485" s="9" t="n"/>
      <c r="F485" s="10" t="n"/>
      <c r="G485" s="10" t="n"/>
      <c r="H485" s="10">
        <f>IF(F485="","",F485*IF(G485="",1,G485))</f>
        <v/>
      </c>
      <c r="I485" s="9" t="n"/>
      <c r="J485" s="9" t="n"/>
    </row>
    <row r="486" ht="22" customHeight="1">
      <c r="A486" s="9" t="n"/>
      <c r="B486" s="9" t="n"/>
      <c r="C486" s="9" t="n"/>
      <c r="D486" s="9" t="n"/>
      <c r="E486" s="9" t="n"/>
      <c r="F486" s="10" t="n"/>
      <c r="G486" s="10" t="n"/>
      <c r="H486" s="10">
        <f>IF(F486="","",F486*IF(G486="",1,G486))</f>
        <v/>
      </c>
      <c r="I486" s="9" t="n"/>
      <c r="J486" s="9" t="n"/>
    </row>
    <row r="487" ht="22" customHeight="1">
      <c r="A487" s="9" t="n"/>
      <c r="B487" s="9" t="n"/>
      <c r="C487" s="9" t="n"/>
      <c r="D487" s="9" t="n"/>
      <c r="E487" s="9" t="n"/>
      <c r="F487" s="10" t="n"/>
      <c r="G487" s="10" t="n"/>
      <c r="H487" s="10">
        <f>IF(F487="","",F487*IF(G487="",1,G487))</f>
        <v/>
      </c>
      <c r="I487" s="9" t="n"/>
      <c r="J487" s="9" t="n"/>
    </row>
    <row r="488" ht="22" customHeight="1">
      <c r="A488" s="9" t="n"/>
      <c r="B488" s="9" t="n"/>
      <c r="C488" s="9" t="n"/>
      <c r="D488" s="9" t="n"/>
      <c r="E488" s="9" t="n"/>
      <c r="F488" s="10" t="n"/>
      <c r="G488" s="10" t="n"/>
      <c r="H488" s="10">
        <f>IF(F488="","",F488*IF(G488="",1,G488))</f>
        <v/>
      </c>
      <c r="I488" s="9" t="n"/>
      <c r="J488" s="9" t="n"/>
    </row>
    <row r="489" ht="22" customHeight="1">
      <c r="A489" s="9" t="n"/>
      <c r="B489" s="9" t="n"/>
      <c r="C489" s="9" t="n"/>
      <c r="D489" s="9" t="n"/>
      <c r="E489" s="9" t="n"/>
      <c r="F489" s="10" t="n"/>
      <c r="G489" s="10" t="n"/>
      <c r="H489" s="10">
        <f>IF(F489="","",F489*IF(G489="",1,G489))</f>
        <v/>
      </c>
      <c r="I489" s="9" t="n"/>
      <c r="J489" s="9" t="n"/>
    </row>
    <row r="490" ht="22" customHeight="1">
      <c r="A490" s="9" t="n"/>
      <c r="B490" s="9" t="n"/>
      <c r="C490" s="9" t="n"/>
      <c r="D490" s="9" t="n"/>
      <c r="E490" s="9" t="n"/>
      <c r="F490" s="10" t="n"/>
      <c r="G490" s="10" t="n"/>
      <c r="H490" s="10">
        <f>IF(F490="","",F490*IF(G490="",1,G490))</f>
        <v/>
      </c>
      <c r="I490" s="9" t="n"/>
      <c r="J490" s="9" t="n"/>
    </row>
    <row r="491" ht="22" customHeight="1">
      <c r="A491" s="9" t="n"/>
      <c r="B491" s="9" t="n"/>
      <c r="C491" s="9" t="n"/>
      <c r="D491" s="9" t="n"/>
      <c r="E491" s="9" t="n"/>
      <c r="F491" s="10" t="n"/>
      <c r="G491" s="10" t="n"/>
      <c r="H491" s="10">
        <f>IF(F491="","",F491*IF(G491="",1,G491))</f>
        <v/>
      </c>
      <c r="I491" s="9" t="n"/>
      <c r="J491" s="9" t="n"/>
    </row>
    <row r="492" ht="22" customHeight="1">
      <c r="A492" s="9" t="n"/>
      <c r="B492" s="9" t="n"/>
      <c r="C492" s="9" t="n"/>
      <c r="D492" s="9" t="n"/>
      <c r="E492" s="9" t="n"/>
      <c r="F492" s="10" t="n"/>
      <c r="G492" s="10" t="n"/>
      <c r="H492" s="10">
        <f>IF(F492="","",F492*IF(G492="",1,G492))</f>
        <v/>
      </c>
      <c r="I492" s="9" t="n"/>
      <c r="J492" s="9" t="n"/>
    </row>
    <row r="493" ht="22" customHeight="1">
      <c r="A493" s="9" t="n"/>
      <c r="B493" s="9" t="n"/>
      <c r="C493" s="9" t="n"/>
      <c r="D493" s="9" t="n"/>
      <c r="E493" s="9" t="n"/>
      <c r="F493" s="10" t="n"/>
      <c r="G493" s="10" t="n"/>
      <c r="H493" s="10">
        <f>IF(F493="","",F493*IF(G493="",1,G493))</f>
        <v/>
      </c>
      <c r="I493" s="9" t="n"/>
      <c r="J493" s="9" t="n"/>
    </row>
    <row r="494" ht="22" customHeight="1">
      <c r="A494" s="9" t="n"/>
      <c r="B494" s="9" t="n"/>
      <c r="C494" s="9" t="n"/>
      <c r="D494" s="9" t="n"/>
      <c r="E494" s="9" t="n"/>
      <c r="F494" s="10" t="n"/>
      <c r="G494" s="10" t="n"/>
      <c r="H494" s="10">
        <f>IF(F494="","",F494*IF(G494="",1,G494))</f>
        <v/>
      </c>
      <c r="I494" s="9" t="n"/>
      <c r="J494" s="9" t="n"/>
    </row>
    <row r="495" ht="22" customHeight="1">
      <c r="A495" s="9" t="n"/>
      <c r="B495" s="9" t="n"/>
      <c r="C495" s="9" t="n"/>
      <c r="D495" s="9" t="n"/>
      <c r="E495" s="9" t="n"/>
      <c r="F495" s="10" t="n"/>
      <c r="G495" s="10" t="n"/>
      <c r="H495" s="10">
        <f>IF(F495="","",F495*IF(G495="",1,G495))</f>
        <v/>
      </c>
      <c r="I495" s="9" t="n"/>
      <c r="J495" s="9" t="n"/>
    </row>
    <row r="496" ht="22" customHeight="1">
      <c r="A496" s="9" t="n"/>
      <c r="B496" s="9" t="n"/>
      <c r="C496" s="9" t="n"/>
      <c r="D496" s="9" t="n"/>
      <c r="E496" s="9" t="n"/>
      <c r="F496" s="10" t="n"/>
      <c r="G496" s="10" t="n"/>
      <c r="H496" s="10">
        <f>IF(F496="","",F496*IF(G496="",1,G496))</f>
        <v/>
      </c>
      <c r="I496" s="9" t="n"/>
      <c r="J496" s="9" t="n"/>
    </row>
    <row r="497" ht="22" customHeight="1">
      <c r="A497" s="9" t="n"/>
      <c r="B497" s="9" t="n"/>
      <c r="C497" s="9" t="n"/>
      <c r="D497" s="9" t="n"/>
      <c r="E497" s="9" t="n"/>
      <c r="F497" s="10" t="n"/>
      <c r="G497" s="10" t="n"/>
      <c r="H497" s="10">
        <f>IF(F497="","",F497*IF(G497="",1,G497))</f>
        <v/>
      </c>
      <c r="I497" s="9" t="n"/>
      <c r="J497" s="9" t="n"/>
    </row>
    <row r="498" ht="22" customHeight="1">
      <c r="A498" s="9" t="n"/>
      <c r="B498" s="9" t="n"/>
      <c r="C498" s="9" t="n"/>
      <c r="D498" s="9" t="n"/>
      <c r="E498" s="9" t="n"/>
      <c r="F498" s="10" t="n"/>
      <c r="G498" s="10" t="n"/>
      <c r="H498" s="10">
        <f>IF(F498="","",F498*IF(G498="",1,G498))</f>
        <v/>
      </c>
      <c r="I498" s="9" t="n"/>
      <c r="J498" s="9" t="n"/>
    </row>
    <row r="499" ht="22" customHeight="1">
      <c r="A499" s="9" t="n"/>
      <c r="B499" s="9" t="n"/>
      <c r="C499" s="9" t="n"/>
      <c r="D499" s="9" t="n"/>
      <c r="E499" s="9" t="n"/>
      <c r="F499" s="10" t="n"/>
      <c r="G499" s="10" t="n"/>
      <c r="H499" s="10">
        <f>IF(F499="","",F499*IF(G499="",1,G499))</f>
        <v/>
      </c>
      <c r="I499" s="9" t="n"/>
      <c r="J499" s="9" t="n"/>
    </row>
    <row r="500" ht="22" customHeight="1">
      <c r="A500" s="9" t="n"/>
      <c r="B500" s="9" t="n"/>
      <c r="C500" s="9" t="n"/>
      <c r="D500" s="9" t="n"/>
      <c r="E500" s="9" t="n"/>
      <c r="F500" s="10" t="n"/>
      <c r="G500" s="10" t="n"/>
      <c r="H500" s="10">
        <f>IF(F500="","",F500*IF(G500="",1,G500))</f>
        <v/>
      </c>
      <c r="I500" s="9" t="n"/>
      <c r="J500" s="9" t="n"/>
    </row>
    <row r="501" ht="22" customHeight="1">
      <c r="A501" s="9" t="n"/>
      <c r="B501" s="9" t="n"/>
      <c r="C501" s="9" t="n"/>
      <c r="D501" s="9" t="n"/>
      <c r="E501" s="9" t="n"/>
      <c r="F501" s="10" t="n"/>
      <c r="G501" s="10" t="n"/>
      <c r="H501" s="10">
        <f>IF(F501="","",F501*IF(G501="",1,G501))</f>
        <v/>
      </c>
      <c r="I501" s="9" t="n"/>
      <c r="J501" s="9" t="n"/>
    </row>
    <row r="502" ht="22" customHeight="1">
      <c r="A502" s="9" t="n"/>
      <c r="B502" s="9" t="n"/>
      <c r="C502" s="9" t="n"/>
      <c r="D502" s="9" t="n"/>
      <c r="E502" s="9" t="n"/>
      <c r="F502" s="10" t="n"/>
      <c r="G502" s="10" t="n"/>
      <c r="H502" s="10">
        <f>IF(F502="","",F502*IF(G502="",1,G502))</f>
        <v/>
      </c>
      <c r="I502" s="9" t="n"/>
      <c r="J502" s="9" t="n"/>
    </row>
    <row r="503" ht="22" customHeight="1">
      <c r="A503" s="9" t="n"/>
      <c r="B503" s="9" t="n"/>
      <c r="C503" s="9" t="n"/>
      <c r="D503" s="9" t="n"/>
      <c r="E503" s="9" t="n"/>
      <c r="F503" s="10" t="n"/>
      <c r="G503" s="10" t="n"/>
      <c r="H503" s="10">
        <f>IF(F503="","",F503*IF(G503="",1,G503))</f>
        <v/>
      </c>
      <c r="I503" s="9" t="n"/>
      <c r="J503" s="9" t="n"/>
    </row>
    <row r="504" ht="22" customHeight="1">
      <c r="A504" s="9" t="n"/>
      <c r="B504" s="9" t="n"/>
      <c r="C504" s="9" t="n"/>
      <c r="D504" s="9" t="n"/>
      <c r="E504" s="9" t="n"/>
      <c r="F504" s="10" t="n"/>
      <c r="G504" s="10" t="n"/>
      <c r="H504" s="10">
        <f>IF(F504="","",F504*IF(G504="",1,G504))</f>
        <v/>
      </c>
      <c r="I504" s="9" t="n"/>
      <c r="J504" s="9" t="n"/>
    </row>
    <row r="505" ht="22" customHeight="1">
      <c r="A505" s="9" t="n"/>
      <c r="B505" s="9" t="n"/>
      <c r="C505" s="9" t="n"/>
      <c r="D505" s="9" t="n"/>
      <c r="E505" s="9" t="n"/>
      <c r="F505" s="10" t="n"/>
      <c r="G505" s="10" t="n"/>
      <c r="H505" s="10">
        <f>IF(F505="","",F505*IF(G505="",1,G505))</f>
        <v/>
      </c>
      <c r="I505" s="9" t="n"/>
      <c r="J505" s="9" t="n"/>
    </row>
    <row r="506" ht="22" customHeight="1">
      <c r="A506" s="9" t="n"/>
      <c r="B506" s="9" t="n"/>
      <c r="C506" s="9" t="n"/>
      <c r="D506" s="9" t="n"/>
      <c r="E506" s="9" t="n"/>
      <c r="F506" s="10" t="n"/>
      <c r="G506" s="10" t="n"/>
      <c r="H506" s="10">
        <f>IF(F506="","",F506*IF(G506="",1,G506))</f>
        <v/>
      </c>
      <c r="I506" s="9" t="n"/>
      <c r="J506" s="9" t="n"/>
    </row>
    <row r="507" ht="22" customHeight="1">
      <c r="A507" s="9" t="n"/>
      <c r="B507" s="9" t="n"/>
      <c r="C507" s="9" t="n"/>
      <c r="D507" s="9" t="n"/>
      <c r="E507" s="9" t="n"/>
      <c r="F507" s="10" t="n"/>
      <c r="G507" s="10" t="n"/>
      <c r="H507" s="10">
        <f>IF(F507="","",F507*IF(G507="",1,G507))</f>
        <v/>
      </c>
      <c r="I507" s="9" t="n"/>
      <c r="J507" s="9" t="n"/>
    </row>
    <row r="508" ht="22" customHeight="1">
      <c r="A508" s="9" t="n"/>
      <c r="B508" s="9" t="n"/>
      <c r="C508" s="9" t="n"/>
      <c r="D508" s="9" t="n"/>
      <c r="E508" s="9" t="n"/>
      <c r="F508" s="10" t="n"/>
      <c r="G508" s="10" t="n"/>
      <c r="H508" s="10">
        <f>IF(F508="","",F508*IF(G508="",1,G508))</f>
        <v/>
      </c>
      <c r="I508" s="9" t="n"/>
      <c r="J508" s="9" t="n"/>
    </row>
    <row r="509" ht="22" customHeight="1">
      <c r="A509" s="9" t="n"/>
      <c r="B509" s="9" t="n"/>
      <c r="C509" s="9" t="n"/>
      <c r="D509" s="9" t="n"/>
      <c r="E509" s="9" t="n"/>
      <c r="F509" s="10" t="n"/>
      <c r="G509" s="10" t="n"/>
      <c r="H509" s="10">
        <f>IF(F509="","",F509*IF(G509="",1,G509))</f>
        <v/>
      </c>
      <c r="I509" s="9" t="n"/>
      <c r="J509" s="9" t="n"/>
    </row>
    <row r="510" ht="22" customHeight="1">
      <c r="A510" s="9" t="n"/>
      <c r="B510" s="9" t="n"/>
      <c r="C510" s="9" t="n"/>
      <c r="D510" s="9" t="n"/>
      <c r="E510" s="9" t="n"/>
      <c r="F510" s="10" t="n"/>
      <c r="G510" s="10" t="n"/>
      <c r="H510" s="10">
        <f>IF(F510="","",F510*IF(G510="",1,G510))</f>
        <v/>
      </c>
      <c r="I510" s="9" t="n"/>
      <c r="J510" s="9" t="n"/>
    </row>
    <row r="511" ht="22" customHeight="1">
      <c r="A511" s="9" t="n"/>
      <c r="B511" s="9" t="n"/>
      <c r="C511" s="9" t="n"/>
      <c r="D511" s="9" t="n"/>
      <c r="E511" s="9" t="n"/>
      <c r="F511" s="10" t="n"/>
      <c r="G511" s="10" t="n"/>
      <c r="H511" s="10">
        <f>IF(F511="","",F511*IF(G511="",1,G511))</f>
        <v/>
      </c>
      <c r="I511" s="9" t="n"/>
      <c r="J511" s="9" t="n"/>
    </row>
    <row r="512" ht="22" customHeight="1">
      <c r="A512" s="9" t="n"/>
      <c r="B512" s="9" t="n"/>
      <c r="C512" s="9" t="n"/>
      <c r="D512" s="9" t="n"/>
      <c r="E512" s="9" t="n"/>
      <c r="F512" s="10" t="n"/>
      <c r="G512" s="10" t="n"/>
      <c r="H512" s="10">
        <f>IF(F512="","",F512*IF(G512="",1,G512))</f>
        <v/>
      </c>
      <c r="I512" s="9" t="n"/>
      <c r="J512" s="9" t="n"/>
    </row>
    <row r="513" ht="22" customHeight="1">
      <c r="A513" s="9" t="n"/>
      <c r="B513" s="9" t="n"/>
      <c r="C513" s="9" t="n"/>
      <c r="D513" s="9" t="n"/>
      <c r="E513" s="9" t="n"/>
      <c r="F513" s="10" t="n"/>
      <c r="G513" s="10" t="n"/>
      <c r="H513" s="10">
        <f>IF(F513="","",F513*IF(G513="",1,G513))</f>
        <v/>
      </c>
      <c r="I513" s="9" t="n"/>
      <c r="J513" s="9" t="n"/>
    </row>
    <row r="514" ht="22" customHeight="1">
      <c r="A514" s="9" t="n"/>
      <c r="B514" s="9" t="n"/>
      <c r="C514" s="9" t="n"/>
      <c r="D514" s="9" t="n"/>
      <c r="E514" s="9" t="n"/>
      <c r="F514" s="10" t="n"/>
      <c r="G514" s="10" t="n"/>
      <c r="H514" s="10">
        <f>IF(F514="","",F514*IF(G514="",1,G514))</f>
        <v/>
      </c>
      <c r="I514" s="9" t="n"/>
      <c r="J514" s="9" t="n"/>
    </row>
    <row r="515" ht="22" customHeight="1">
      <c r="A515" s="9" t="n"/>
      <c r="B515" s="9" t="n"/>
      <c r="C515" s="9" t="n"/>
      <c r="D515" s="9" t="n"/>
      <c r="E515" s="9" t="n"/>
      <c r="F515" s="10" t="n"/>
      <c r="G515" s="10" t="n"/>
      <c r="H515" s="10">
        <f>IF(F515="","",F515*IF(G515="",1,G515))</f>
        <v/>
      </c>
      <c r="I515" s="9" t="n"/>
      <c r="J515" s="9" t="n"/>
    </row>
    <row r="516" ht="22" customHeight="1">
      <c r="A516" s="9" t="n"/>
      <c r="B516" s="9" t="n"/>
      <c r="C516" s="9" t="n"/>
      <c r="D516" s="9" t="n"/>
      <c r="E516" s="9" t="n"/>
      <c r="F516" s="10" t="n"/>
      <c r="G516" s="10" t="n"/>
      <c r="H516" s="10">
        <f>IF(F516="","",F516*IF(G516="",1,G516))</f>
        <v/>
      </c>
      <c r="I516" s="9" t="n"/>
      <c r="J516" s="9" t="n"/>
    </row>
    <row r="517" ht="22" customHeight="1">
      <c r="A517" s="9" t="n"/>
      <c r="B517" s="9" t="n"/>
      <c r="C517" s="9" t="n"/>
      <c r="D517" s="9" t="n"/>
      <c r="E517" s="9" t="n"/>
      <c r="F517" s="10" t="n"/>
      <c r="G517" s="10" t="n"/>
      <c r="H517" s="10">
        <f>IF(F517="","",F517*IF(G517="",1,G517))</f>
        <v/>
      </c>
      <c r="I517" s="9" t="n"/>
      <c r="J517" s="9" t="n"/>
    </row>
    <row r="518" ht="22" customHeight="1">
      <c r="A518" s="9" t="n"/>
      <c r="B518" s="9" t="n"/>
      <c r="C518" s="9" t="n"/>
      <c r="D518" s="9" t="n"/>
      <c r="E518" s="9" t="n"/>
      <c r="F518" s="10" t="n"/>
      <c r="G518" s="10" t="n"/>
      <c r="H518" s="10">
        <f>IF(F518="","",F518*IF(G518="",1,G518))</f>
        <v/>
      </c>
      <c r="I518" s="9" t="n"/>
      <c r="J518" s="9" t="n"/>
    </row>
    <row r="519" ht="22" customHeight="1">
      <c r="A519" s="9" t="n"/>
      <c r="B519" s="9" t="n"/>
      <c r="C519" s="9" t="n"/>
      <c r="D519" s="9" t="n"/>
      <c r="E519" s="9" t="n"/>
      <c r="F519" s="10" t="n"/>
      <c r="G519" s="10" t="n"/>
      <c r="H519" s="10">
        <f>IF(F519="","",F519*IF(G519="",1,G519))</f>
        <v/>
      </c>
      <c r="I519" s="9" t="n"/>
      <c r="J519" s="9" t="n"/>
    </row>
    <row r="520" ht="22" customHeight="1">
      <c r="A520" s="9" t="n"/>
      <c r="B520" s="9" t="n"/>
      <c r="C520" s="9" t="n"/>
      <c r="D520" s="9" t="n"/>
      <c r="E520" s="9" t="n"/>
      <c r="F520" s="10" t="n"/>
      <c r="G520" s="10" t="n"/>
      <c r="H520" s="10">
        <f>IF(F520="","",F520*IF(G520="",1,G520))</f>
        <v/>
      </c>
      <c r="I520" s="9" t="n"/>
      <c r="J520" s="9" t="n"/>
    </row>
    <row r="521" ht="22" customHeight="1">
      <c r="A521" s="9" t="n"/>
      <c r="B521" s="9" t="n"/>
      <c r="C521" s="9" t="n"/>
      <c r="D521" s="9" t="n"/>
      <c r="E521" s="9" t="n"/>
      <c r="F521" s="10" t="n"/>
      <c r="G521" s="10" t="n"/>
      <c r="H521" s="10">
        <f>IF(F521="","",F521*IF(G521="",1,G521))</f>
        <v/>
      </c>
      <c r="I521" s="9" t="n"/>
      <c r="J521" s="9" t="n"/>
    </row>
    <row r="522" ht="22" customHeight="1">
      <c r="A522" s="9" t="n"/>
      <c r="B522" s="9" t="n"/>
      <c r="C522" s="9" t="n"/>
      <c r="D522" s="9" t="n"/>
      <c r="E522" s="9" t="n"/>
      <c r="F522" s="10" t="n"/>
      <c r="G522" s="10" t="n"/>
      <c r="H522" s="10">
        <f>IF(F522="","",F522*IF(G522="",1,G522))</f>
        <v/>
      </c>
      <c r="I522" s="9" t="n"/>
      <c r="J522" s="9" t="n"/>
    </row>
    <row r="523" ht="22" customHeight="1">
      <c r="A523" s="9" t="n"/>
      <c r="B523" s="9" t="n"/>
      <c r="C523" s="9" t="n"/>
      <c r="D523" s="9" t="n"/>
      <c r="E523" s="9" t="n"/>
      <c r="F523" s="10" t="n"/>
      <c r="G523" s="10" t="n"/>
      <c r="H523" s="10">
        <f>IF(F523="","",F523*IF(G523="",1,G523))</f>
        <v/>
      </c>
      <c r="I523" s="9" t="n"/>
      <c r="J523" s="9" t="n"/>
    </row>
    <row r="524" ht="22" customHeight="1">
      <c r="A524" s="9" t="n"/>
      <c r="B524" s="9" t="n"/>
      <c r="C524" s="9" t="n"/>
      <c r="D524" s="9" t="n"/>
      <c r="E524" s="9" t="n"/>
      <c r="F524" s="10" t="n"/>
      <c r="G524" s="10" t="n"/>
      <c r="H524" s="10">
        <f>IF(F524="","",F524*IF(G524="",1,G524))</f>
        <v/>
      </c>
      <c r="I524" s="9" t="n"/>
      <c r="J524" s="9" t="n"/>
    </row>
    <row r="525" ht="22" customHeight="1">
      <c r="A525" s="9" t="n"/>
      <c r="B525" s="9" t="n"/>
      <c r="C525" s="9" t="n"/>
      <c r="D525" s="9" t="n"/>
      <c r="E525" s="9" t="n"/>
      <c r="F525" s="10" t="n"/>
      <c r="G525" s="10" t="n"/>
      <c r="H525" s="10">
        <f>IF(F525="","",F525*IF(G525="",1,G525))</f>
        <v/>
      </c>
      <c r="I525" s="9" t="n"/>
      <c r="J525" s="9" t="n"/>
    </row>
    <row r="526" ht="22" customHeight="1">
      <c r="A526" s="9" t="n"/>
      <c r="B526" s="9" t="n"/>
      <c r="C526" s="9" t="n"/>
      <c r="D526" s="9" t="n"/>
      <c r="E526" s="9" t="n"/>
      <c r="F526" s="10" t="n"/>
      <c r="G526" s="10" t="n"/>
      <c r="H526" s="10">
        <f>IF(F526="","",F526*IF(G526="",1,G526))</f>
        <v/>
      </c>
      <c r="I526" s="9" t="n"/>
      <c r="J526" s="9" t="n"/>
    </row>
    <row r="527" ht="22" customHeight="1">
      <c r="A527" s="9" t="n"/>
      <c r="B527" s="9" t="n"/>
      <c r="C527" s="9" t="n"/>
      <c r="D527" s="9" t="n"/>
      <c r="E527" s="9" t="n"/>
      <c r="F527" s="10" t="n"/>
      <c r="G527" s="10" t="n"/>
      <c r="H527" s="10">
        <f>IF(F527="","",F527*IF(G527="",1,G527))</f>
        <v/>
      </c>
      <c r="I527" s="9" t="n"/>
      <c r="J527" s="9" t="n"/>
    </row>
    <row r="528" ht="22" customHeight="1">
      <c r="A528" s="9" t="n"/>
      <c r="B528" s="9" t="n"/>
      <c r="C528" s="9" t="n"/>
      <c r="D528" s="9" t="n"/>
      <c r="E528" s="9" t="n"/>
      <c r="F528" s="10" t="n"/>
      <c r="G528" s="10" t="n"/>
      <c r="H528" s="10">
        <f>IF(F528="","",F528*IF(G528="",1,G528))</f>
        <v/>
      </c>
      <c r="I528" s="9" t="n"/>
      <c r="J528" s="9" t="n"/>
    </row>
    <row r="529" ht="22" customHeight="1">
      <c r="A529" s="9" t="n"/>
      <c r="B529" s="9" t="n"/>
      <c r="C529" s="9" t="n"/>
      <c r="D529" s="9" t="n"/>
      <c r="E529" s="9" t="n"/>
      <c r="F529" s="10" t="n"/>
      <c r="G529" s="10" t="n"/>
      <c r="H529" s="10">
        <f>IF(F529="","",F529*IF(G529="",1,G529))</f>
        <v/>
      </c>
      <c r="I529" s="9" t="n"/>
      <c r="J529" s="9" t="n"/>
    </row>
    <row r="530" ht="22" customHeight="1">
      <c r="A530" s="9" t="n"/>
      <c r="B530" s="9" t="n"/>
      <c r="C530" s="9" t="n"/>
      <c r="D530" s="9" t="n"/>
      <c r="E530" s="9" t="n"/>
      <c r="F530" s="10" t="n"/>
      <c r="G530" s="10" t="n"/>
      <c r="H530" s="10">
        <f>IF(F530="","",F530*IF(G530="",1,G530))</f>
        <v/>
      </c>
      <c r="I530" s="9" t="n"/>
      <c r="J530" s="9" t="n"/>
    </row>
    <row r="531" ht="22" customHeight="1">
      <c r="A531" s="9" t="n"/>
      <c r="B531" s="9" t="n"/>
      <c r="C531" s="9" t="n"/>
      <c r="D531" s="9" t="n"/>
      <c r="E531" s="9" t="n"/>
      <c r="F531" s="10" t="n"/>
      <c r="G531" s="10" t="n"/>
      <c r="H531" s="10">
        <f>IF(F531="","",F531*IF(G531="",1,G531))</f>
        <v/>
      </c>
      <c r="I531" s="9" t="n"/>
      <c r="J531" s="9" t="n"/>
    </row>
    <row r="532" ht="22" customHeight="1">
      <c r="A532" s="9" t="n"/>
      <c r="B532" s="9" t="n"/>
      <c r="C532" s="9" t="n"/>
      <c r="D532" s="9" t="n"/>
      <c r="E532" s="9" t="n"/>
      <c r="F532" s="10" t="n"/>
      <c r="G532" s="10" t="n"/>
      <c r="H532" s="10">
        <f>IF(F532="","",F532*IF(G532="",1,G532))</f>
        <v/>
      </c>
      <c r="I532" s="9" t="n"/>
      <c r="J532" s="9" t="n"/>
    </row>
    <row r="533" ht="22" customHeight="1">
      <c r="A533" s="9" t="n"/>
      <c r="B533" s="9" t="n"/>
      <c r="C533" s="9" t="n"/>
      <c r="D533" s="9" t="n"/>
      <c r="E533" s="9" t="n"/>
      <c r="F533" s="10" t="n"/>
      <c r="G533" s="10" t="n"/>
      <c r="H533" s="10">
        <f>IF(F533="","",F533*IF(G533="",1,G533))</f>
        <v/>
      </c>
      <c r="I533" s="9" t="n"/>
      <c r="J533" s="9" t="n"/>
    </row>
    <row r="534" ht="22" customHeight="1">
      <c r="A534" s="9" t="n"/>
      <c r="B534" s="9" t="n"/>
      <c r="C534" s="9" t="n"/>
      <c r="D534" s="9" t="n"/>
      <c r="E534" s="9" t="n"/>
      <c r="F534" s="10" t="n"/>
      <c r="G534" s="10" t="n"/>
      <c r="H534" s="10">
        <f>IF(F534="","",F534*IF(G534="",1,G534))</f>
        <v/>
      </c>
      <c r="I534" s="9" t="n"/>
      <c r="J534" s="9" t="n"/>
    </row>
    <row r="535" ht="22" customHeight="1">
      <c r="A535" s="9" t="n"/>
      <c r="B535" s="9" t="n"/>
      <c r="C535" s="9" t="n"/>
      <c r="D535" s="9" t="n"/>
      <c r="E535" s="9" t="n"/>
      <c r="F535" s="10" t="n"/>
      <c r="G535" s="10" t="n"/>
      <c r="H535" s="10">
        <f>IF(F535="","",F535*IF(G535="",1,G535))</f>
        <v/>
      </c>
      <c r="I535" s="9" t="n"/>
      <c r="J535" s="9" t="n"/>
    </row>
    <row r="536" ht="22" customHeight="1">
      <c r="A536" s="9" t="n"/>
      <c r="B536" s="9" t="n"/>
      <c r="C536" s="9" t="n"/>
      <c r="D536" s="9" t="n"/>
      <c r="E536" s="9" t="n"/>
      <c r="F536" s="10" t="n"/>
      <c r="G536" s="10" t="n"/>
      <c r="H536" s="10">
        <f>IF(F536="","",F536*IF(G536="",1,G536))</f>
        <v/>
      </c>
      <c r="I536" s="9" t="n"/>
      <c r="J536" s="9" t="n"/>
    </row>
    <row r="537" ht="22" customHeight="1">
      <c r="A537" s="9" t="n"/>
      <c r="B537" s="9" t="n"/>
      <c r="C537" s="9" t="n"/>
      <c r="D537" s="9" t="n"/>
      <c r="E537" s="9" t="n"/>
      <c r="F537" s="10" t="n"/>
      <c r="G537" s="10" t="n"/>
      <c r="H537" s="10">
        <f>IF(F537="","",F537*IF(G537="",1,G537))</f>
        <v/>
      </c>
      <c r="I537" s="9" t="n"/>
      <c r="J537" s="9" t="n"/>
    </row>
    <row r="538" ht="22" customHeight="1">
      <c r="A538" s="9" t="n"/>
      <c r="B538" s="9" t="n"/>
      <c r="C538" s="9" t="n"/>
      <c r="D538" s="9" t="n"/>
      <c r="E538" s="9" t="n"/>
      <c r="F538" s="10" t="n"/>
      <c r="G538" s="10" t="n"/>
      <c r="H538" s="10">
        <f>IF(F538="","",F538*IF(G538="",1,G538))</f>
        <v/>
      </c>
      <c r="I538" s="9" t="n"/>
      <c r="J538" s="9" t="n"/>
    </row>
    <row r="539" ht="22" customHeight="1">
      <c r="A539" s="9" t="n"/>
      <c r="B539" s="9" t="n"/>
      <c r="C539" s="9" t="n"/>
      <c r="D539" s="9" t="n"/>
      <c r="E539" s="9" t="n"/>
      <c r="F539" s="10" t="n"/>
      <c r="G539" s="10" t="n"/>
      <c r="H539" s="10">
        <f>IF(F539="","",F539*IF(G539="",1,G539))</f>
        <v/>
      </c>
      <c r="I539" s="9" t="n"/>
      <c r="J539" s="9" t="n"/>
    </row>
    <row r="540" ht="22" customHeight="1">
      <c r="A540" s="9" t="n"/>
      <c r="B540" s="9" t="n"/>
      <c r="C540" s="9" t="n"/>
      <c r="D540" s="9" t="n"/>
      <c r="E540" s="9" t="n"/>
      <c r="F540" s="10" t="n"/>
      <c r="G540" s="10" t="n"/>
      <c r="H540" s="10">
        <f>IF(F540="","",F540*IF(G540="",1,G540))</f>
        <v/>
      </c>
      <c r="I540" s="9" t="n"/>
      <c r="J540" s="9" t="n"/>
    </row>
    <row r="541" ht="22" customHeight="1">
      <c r="A541" s="9" t="n"/>
      <c r="B541" s="9" t="n"/>
      <c r="C541" s="9" t="n"/>
      <c r="D541" s="9" t="n"/>
      <c r="E541" s="9" t="n"/>
      <c r="F541" s="10" t="n"/>
      <c r="G541" s="10" t="n"/>
      <c r="H541" s="10">
        <f>IF(F541="","",F541*IF(G541="",1,G541))</f>
        <v/>
      </c>
      <c r="I541" s="9" t="n"/>
      <c r="J541" s="9" t="n"/>
    </row>
    <row r="542" ht="22" customHeight="1">
      <c r="A542" s="9" t="n"/>
      <c r="B542" s="9" t="n"/>
      <c r="C542" s="9" t="n"/>
      <c r="D542" s="9" t="n"/>
      <c r="E542" s="9" t="n"/>
      <c r="F542" s="10" t="n"/>
      <c r="G542" s="10" t="n"/>
      <c r="H542" s="10">
        <f>IF(F542="","",F542*IF(G542="",1,G542))</f>
        <v/>
      </c>
      <c r="I542" s="9" t="n"/>
      <c r="J542" s="9" t="n"/>
    </row>
    <row r="543" ht="22" customHeight="1">
      <c r="A543" s="9" t="n"/>
      <c r="B543" s="9" t="n"/>
      <c r="C543" s="9" t="n"/>
      <c r="D543" s="9" t="n"/>
      <c r="E543" s="9" t="n"/>
      <c r="F543" s="10" t="n"/>
      <c r="G543" s="10" t="n"/>
      <c r="H543" s="10">
        <f>IF(F543="","",F543*IF(G543="",1,G543))</f>
        <v/>
      </c>
      <c r="I543" s="9" t="n"/>
      <c r="J543" s="9" t="n"/>
    </row>
    <row r="544" ht="22" customHeight="1">
      <c r="A544" s="9" t="n"/>
      <c r="B544" s="9" t="n"/>
      <c r="C544" s="9" t="n"/>
      <c r="D544" s="9" t="n"/>
      <c r="E544" s="9" t="n"/>
      <c r="F544" s="10" t="n"/>
      <c r="G544" s="10" t="n"/>
      <c r="H544" s="10">
        <f>IF(F544="","",F544*IF(G544="",1,G544))</f>
        <v/>
      </c>
      <c r="I544" s="9" t="n"/>
      <c r="J544" s="9" t="n"/>
    </row>
    <row r="545" ht="22" customHeight="1">
      <c r="A545" s="9" t="n"/>
      <c r="B545" s="9" t="n"/>
      <c r="C545" s="9" t="n"/>
      <c r="D545" s="9" t="n"/>
      <c r="E545" s="9" t="n"/>
      <c r="F545" s="10" t="n"/>
      <c r="G545" s="10" t="n"/>
      <c r="H545" s="10">
        <f>IF(F545="","",F545*IF(G545="",1,G545))</f>
        <v/>
      </c>
      <c r="I545" s="9" t="n"/>
      <c r="J545" s="9" t="n"/>
    </row>
    <row r="546" ht="22" customHeight="1">
      <c r="A546" s="9" t="n"/>
      <c r="B546" s="9" t="n"/>
      <c r="C546" s="9" t="n"/>
      <c r="D546" s="9" t="n"/>
      <c r="E546" s="9" t="n"/>
      <c r="F546" s="10" t="n"/>
      <c r="G546" s="10" t="n"/>
      <c r="H546" s="10">
        <f>IF(F546="","",F546*IF(G546="",1,G546))</f>
        <v/>
      </c>
      <c r="I546" s="9" t="n"/>
      <c r="J546" s="9" t="n"/>
    </row>
    <row r="547" ht="22" customHeight="1">
      <c r="A547" s="9" t="n"/>
      <c r="B547" s="9" t="n"/>
      <c r="C547" s="9" t="n"/>
      <c r="D547" s="9" t="n"/>
      <c r="E547" s="9" t="n"/>
      <c r="F547" s="10" t="n"/>
      <c r="G547" s="10" t="n"/>
      <c r="H547" s="10">
        <f>IF(F547="","",F547*IF(G547="",1,G547))</f>
        <v/>
      </c>
      <c r="I547" s="9" t="n"/>
      <c r="J547" s="9" t="n"/>
    </row>
    <row r="548" ht="22" customHeight="1">
      <c r="A548" s="9" t="n"/>
      <c r="B548" s="9" t="n"/>
      <c r="C548" s="9" t="n"/>
      <c r="D548" s="9" t="n"/>
      <c r="E548" s="9" t="n"/>
      <c r="F548" s="10" t="n"/>
      <c r="G548" s="10" t="n"/>
      <c r="H548" s="10">
        <f>IF(F548="","",F548*IF(G548="",1,G548))</f>
        <v/>
      </c>
      <c r="I548" s="9" t="n"/>
      <c r="J548" s="9" t="n"/>
    </row>
    <row r="549" ht="22" customHeight="1">
      <c r="A549" s="9" t="n"/>
      <c r="B549" s="9" t="n"/>
      <c r="C549" s="9" t="n"/>
      <c r="D549" s="9" t="n"/>
      <c r="E549" s="9" t="n"/>
      <c r="F549" s="10" t="n"/>
      <c r="G549" s="10" t="n"/>
      <c r="H549" s="10">
        <f>IF(F549="","",F549*IF(G549="",1,G549))</f>
        <v/>
      </c>
      <c r="I549" s="9" t="n"/>
      <c r="J549" s="9" t="n"/>
    </row>
    <row r="550" ht="22" customHeight="1">
      <c r="A550" s="9" t="n"/>
      <c r="B550" s="9" t="n"/>
      <c r="C550" s="9" t="n"/>
      <c r="D550" s="9" t="n"/>
      <c r="E550" s="9" t="n"/>
      <c r="F550" s="10" t="n"/>
      <c r="G550" s="10" t="n"/>
      <c r="H550" s="10">
        <f>IF(F550="","",F550*IF(G550="",1,G550))</f>
        <v/>
      </c>
      <c r="I550" s="9" t="n"/>
      <c r="J550" s="9" t="n"/>
    </row>
    <row r="551" ht="22" customHeight="1">
      <c r="A551" s="9" t="n"/>
      <c r="B551" s="9" t="n"/>
      <c r="C551" s="9" t="n"/>
      <c r="D551" s="9" t="n"/>
      <c r="E551" s="9" t="n"/>
      <c r="F551" s="10" t="n"/>
      <c r="G551" s="10" t="n"/>
      <c r="H551" s="10">
        <f>IF(F551="","",F551*IF(G551="",1,G551))</f>
        <v/>
      </c>
      <c r="I551" s="9" t="n"/>
      <c r="J551" s="9" t="n"/>
    </row>
    <row r="552" ht="22" customHeight="1">
      <c r="A552" s="9" t="n"/>
      <c r="B552" s="9" t="n"/>
      <c r="C552" s="9" t="n"/>
      <c r="D552" s="9" t="n"/>
      <c r="E552" s="9" t="n"/>
      <c r="F552" s="10" t="n"/>
      <c r="G552" s="10" t="n"/>
      <c r="H552" s="10">
        <f>IF(F552="","",F552*IF(G552="",1,G552))</f>
        <v/>
      </c>
      <c r="I552" s="9" t="n"/>
      <c r="J552" s="9" t="n"/>
    </row>
    <row r="553" ht="22" customHeight="1">
      <c r="A553" s="9" t="n"/>
      <c r="B553" s="9" t="n"/>
      <c r="C553" s="9" t="n"/>
      <c r="D553" s="9" t="n"/>
      <c r="E553" s="9" t="n"/>
      <c r="F553" s="10" t="n"/>
      <c r="G553" s="10" t="n"/>
      <c r="H553" s="10">
        <f>IF(F553="","",F553*IF(G553="",1,G553))</f>
        <v/>
      </c>
      <c r="I553" s="9" t="n"/>
      <c r="J553" s="9" t="n"/>
    </row>
    <row r="554" ht="22" customHeight="1">
      <c r="A554" s="9" t="n"/>
      <c r="B554" s="9" t="n"/>
      <c r="C554" s="9" t="n"/>
      <c r="D554" s="9" t="n"/>
      <c r="E554" s="9" t="n"/>
      <c r="F554" s="10" t="n"/>
      <c r="G554" s="10" t="n"/>
      <c r="H554" s="10">
        <f>IF(F554="","",F554*IF(G554="",1,G554))</f>
        <v/>
      </c>
      <c r="I554" s="9" t="n"/>
      <c r="J554" s="9" t="n"/>
    </row>
    <row r="555" ht="22" customHeight="1">
      <c r="A555" s="9" t="n"/>
      <c r="B555" s="9" t="n"/>
      <c r="C555" s="9" t="n"/>
      <c r="D555" s="9" t="n"/>
      <c r="E555" s="9" t="n"/>
      <c r="F555" s="10" t="n"/>
      <c r="G555" s="10" t="n"/>
      <c r="H555" s="10">
        <f>IF(F555="","",F555*IF(G555="",1,G555))</f>
        <v/>
      </c>
      <c r="I555" s="9" t="n"/>
      <c r="J555" s="9" t="n"/>
    </row>
    <row r="556" ht="22" customHeight="1">
      <c r="A556" s="9" t="n"/>
      <c r="B556" s="9" t="n"/>
      <c r="C556" s="9" t="n"/>
      <c r="D556" s="9" t="n"/>
      <c r="E556" s="9" t="n"/>
      <c r="F556" s="10" t="n"/>
      <c r="G556" s="10" t="n"/>
      <c r="H556" s="10">
        <f>IF(F556="","",F556*IF(G556="",1,G556))</f>
        <v/>
      </c>
      <c r="I556" s="9" t="n"/>
      <c r="J556" s="9" t="n"/>
    </row>
    <row r="557" ht="22" customHeight="1">
      <c r="A557" s="9" t="n"/>
      <c r="B557" s="9" t="n"/>
      <c r="C557" s="9" t="n"/>
      <c r="D557" s="9" t="n"/>
      <c r="E557" s="9" t="n"/>
      <c r="F557" s="10" t="n"/>
      <c r="G557" s="10" t="n"/>
      <c r="H557" s="10">
        <f>IF(F557="","",F557*IF(G557="",1,G557))</f>
        <v/>
      </c>
      <c r="I557" s="9" t="n"/>
      <c r="J557" s="9" t="n"/>
    </row>
    <row r="558" ht="22" customHeight="1">
      <c r="A558" s="9" t="n"/>
      <c r="B558" s="9" t="n"/>
      <c r="C558" s="9" t="n"/>
      <c r="D558" s="9" t="n"/>
      <c r="E558" s="9" t="n"/>
      <c r="F558" s="10" t="n"/>
      <c r="G558" s="10" t="n"/>
      <c r="H558" s="10">
        <f>IF(F558="","",F558*IF(G558="",1,G558))</f>
        <v/>
      </c>
      <c r="I558" s="9" t="n"/>
      <c r="J558" s="9" t="n"/>
    </row>
    <row r="559" ht="22" customHeight="1">
      <c r="A559" s="9" t="n"/>
      <c r="B559" s="9" t="n"/>
      <c r="C559" s="9" t="n"/>
      <c r="D559" s="9" t="n"/>
      <c r="E559" s="9" t="n"/>
      <c r="F559" s="10" t="n"/>
      <c r="G559" s="10" t="n"/>
      <c r="H559" s="10">
        <f>IF(F559="","",F559*IF(G559="",1,G559))</f>
        <v/>
      </c>
      <c r="I559" s="9" t="n"/>
      <c r="J559" s="9" t="n"/>
    </row>
    <row r="560" ht="22" customHeight="1">
      <c r="A560" s="9" t="n"/>
      <c r="B560" s="9" t="n"/>
      <c r="C560" s="9" t="n"/>
      <c r="D560" s="9" t="n"/>
      <c r="E560" s="9" t="n"/>
      <c r="F560" s="10" t="n"/>
      <c r="G560" s="10" t="n"/>
      <c r="H560" s="10">
        <f>IF(F560="","",F560*IF(G560="",1,G560))</f>
        <v/>
      </c>
      <c r="I560" s="9" t="n"/>
      <c r="J560" s="9" t="n"/>
    </row>
    <row r="561" ht="22" customHeight="1">
      <c r="A561" s="9" t="n"/>
      <c r="B561" s="9" t="n"/>
      <c r="C561" s="9" t="n"/>
      <c r="D561" s="9" t="n"/>
      <c r="E561" s="9" t="n"/>
      <c r="F561" s="10" t="n"/>
      <c r="G561" s="10" t="n"/>
      <c r="H561" s="10">
        <f>IF(F561="","",F561*IF(G561="",1,G561))</f>
        <v/>
      </c>
      <c r="I561" s="9" t="n"/>
      <c r="J561" s="9" t="n"/>
    </row>
    <row r="562" ht="22" customHeight="1">
      <c r="A562" s="9" t="n"/>
      <c r="B562" s="9" t="n"/>
      <c r="C562" s="9" t="n"/>
      <c r="D562" s="9" t="n"/>
      <c r="E562" s="9" t="n"/>
      <c r="F562" s="10" t="n"/>
      <c r="G562" s="10" t="n"/>
      <c r="H562" s="10">
        <f>IF(F562="","",F562*IF(G562="",1,G562))</f>
        <v/>
      </c>
      <c r="I562" s="9" t="n"/>
      <c r="J562" s="9" t="n"/>
    </row>
    <row r="563" ht="22" customHeight="1">
      <c r="A563" s="9" t="n"/>
      <c r="B563" s="9" t="n"/>
      <c r="C563" s="9" t="n"/>
      <c r="D563" s="9" t="n"/>
      <c r="E563" s="9" t="n"/>
      <c r="F563" s="10" t="n"/>
      <c r="G563" s="10" t="n"/>
      <c r="H563" s="10">
        <f>IF(F563="","",F563*IF(G563="",1,G563))</f>
        <v/>
      </c>
      <c r="I563" s="9" t="n"/>
      <c r="J563" s="9" t="n"/>
    </row>
    <row r="564" ht="22" customHeight="1">
      <c r="A564" s="9" t="n"/>
      <c r="B564" s="9" t="n"/>
      <c r="C564" s="9" t="n"/>
      <c r="D564" s="9" t="n"/>
      <c r="E564" s="9" t="n"/>
      <c r="F564" s="10" t="n"/>
      <c r="G564" s="10" t="n"/>
      <c r="H564" s="10">
        <f>IF(F564="","",F564*IF(G564="",1,G564))</f>
        <v/>
      </c>
      <c r="I564" s="9" t="n"/>
      <c r="J564" s="9" t="n"/>
    </row>
    <row r="565" ht="22" customHeight="1">
      <c r="A565" s="9" t="n"/>
      <c r="B565" s="9" t="n"/>
      <c r="C565" s="9" t="n"/>
      <c r="D565" s="9" t="n"/>
      <c r="E565" s="9" t="n"/>
      <c r="F565" s="10" t="n"/>
      <c r="G565" s="10" t="n"/>
      <c r="H565" s="10">
        <f>IF(F565="","",F565*IF(G565="",1,G565))</f>
        <v/>
      </c>
      <c r="I565" s="9" t="n"/>
      <c r="J565" s="9" t="n"/>
    </row>
    <row r="566" ht="22" customHeight="1">
      <c r="A566" s="9" t="n"/>
      <c r="B566" s="9" t="n"/>
      <c r="C566" s="9" t="n"/>
      <c r="D566" s="9" t="n"/>
      <c r="E566" s="9" t="n"/>
      <c r="F566" s="10" t="n"/>
      <c r="G566" s="10" t="n"/>
      <c r="H566" s="10">
        <f>IF(F566="","",F566*IF(G566="",1,G566))</f>
        <v/>
      </c>
      <c r="I566" s="9" t="n"/>
      <c r="J566" s="9" t="n"/>
    </row>
    <row r="567" ht="22" customHeight="1">
      <c r="A567" s="9" t="n"/>
      <c r="B567" s="9" t="n"/>
      <c r="C567" s="9" t="n"/>
      <c r="D567" s="9" t="n"/>
      <c r="E567" s="9" t="n"/>
      <c r="F567" s="10" t="n"/>
      <c r="G567" s="10" t="n"/>
      <c r="H567" s="10">
        <f>IF(F567="","",F567*IF(G567="",1,G567))</f>
        <v/>
      </c>
      <c r="I567" s="9" t="n"/>
      <c r="J567" s="9" t="n"/>
    </row>
    <row r="568" ht="22" customHeight="1">
      <c r="A568" s="9" t="n"/>
      <c r="B568" s="9" t="n"/>
      <c r="C568" s="9" t="n"/>
      <c r="D568" s="9" t="n"/>
      <c r="E568" s="9" t="n"/>
      <c r="F568" s="10" t="n"/>
      <c r="G568" s="10" t="n"/>
      <c r="H568" s="10">
        <f>IF(F568="","",F568*IF(G568="",1,G568))</f>
        <v/>
      </c>
      <c r="I568" s="9" t="n"/>
      <c r="J568" s="9" t="n"/>
    </row>
    <row r="569" ht="22" customHeight="1">
      <c r="A569" s="9" t="n"/>
      <c r="B569" s="9" t="n"/>
      <c r="C569" s="9" t="n"/>
      <c r="D569" s="9" t="n"/>
      <c r="E569" s="9" t="n"/>
      <c r="F569" s="10" t="n"/>
      <c r="G569" s="10" t="n"/>
      <c r="H569" s="10">
        <f>IF(F569="","",F569*IF(G569="",1,G569))</f>
        <v/>
      </c>
      <c r="I569" s="9" t="n"/>
      <c r="J569" s="9" t="n"/>
    </row>
    <row r="570" ht="22" customHeight="1">
      <c r="A570" s="9" t="n"/>
      <c r="B570" s="9" t="n"/>
      <c r="C570" s="9" t="n"/>
      <c r="D570" s="9" t="n"/>
      <c r="E570" s="9" t="n"/>
      <c r="F570" s="10" t="n"/>
      <c r="G570" s="10" t="n"/>
      <c r="H570" s="10">
        <f>IF(F570="","",F570*IF(G570="",1,G570))</f>
        <v/>
      </c>
      <c r="I570" s="9" t="n"/>
      <c r="J570" s="9" t="n"/>
    </row>
    <row r="571" ht="22" customHeight="1">
      <c r="A571" s="9" t="n"/>
      <c r="B571" s="9" t="n"/>
      <c r="C571" s="9" t="n"/>
      <c r="D571" s="9" t="n"/>
      <c r="E571" s="9" t="n"/>
      <c r="F571" s="10" t="n"/>
      <c r="G571" s="10" t="n"/>
      <c r="H571" s="10">
        <f>IF(F571="","",F571*IF(G571="",1,G571))</f>
        <v/>
      </c>
      <c r="I571" s="9" t="n"/>
      <c r="J571" s="9" t="n"/>
    </row>
    <row r="572" ht="22" customHeight="1">
      <c r="A572" s="9" t="n"/>
      <c r="B572" s="9" t="n"/>
      <c r="C572" s="9" t="n"/>
      <c r="D572" s="9" t="n"/>
      <c r="E572" s="9" t="n"/>
      <c r="F572" s="10" t="n"/>
      <c r="G572" s="10" t="n"/>
      <c r="H572" s="10">
        <f>IF(F572="","",F572*IF(G572="",1,G572))</f>
        <v/>
      </c>
      <c r="I572" s="9" t="n"/>
      <c r="J572" s="9" t="n"/>
    </row>
    <row r="573" ht="22" customHeight="1">
      <c r="A573" s="9" t="n"/>
      <c r="B573" s="9" t="n"/>
      <c r="C573" s="9" t="n"/>
      <c r="D573" s="9" t="n"/>
      <c r="E573" s="9" t="n"/>
      <c r="F573" s="10" t="n"/>
      <c r="G573" s="10" t="n"/>
      <c r="H573" s="10">
        <f>IF(F573="","",F573*IF(G573="",1,G573))</f>
        <v/>
      </c>
      <c r="I573" s="9" t="n"/>
      <c r="J573" s="9" t="n"/>
    </row>
    <row r="574" ht="22" customHeight="1">
      <c r="A574" s="9" t="n"/>
      <c r="B574" s="9" t="n"/>
      <c r="C574" s="9" t="n"/>
      <c r="D574" s="9" t="n"/>
      <c r="E574" s="9" t="n"/>
      <c r="F574" s="10" t="n"/>
      <c r="G574" s="10" t="n"/>
      <c r="H574" s="10">
        <f>IF(F574="","",F574*IF(G574="",1,G574))</f>
        <v/>
      </c>
      <c r="I574" s="9" t="n"/>
      <c r="J574" s="9" t="n"/>
    </row>
    <row r="575" ht="22" customHeight="1">
      <c r="A575" s="9" t="n"/>
      <c r="B575" s="9" t="n"/>
      <c r="C575" s="9" t="n"/>
      <c r="D575" s="9" t="n"/>
      <c r="E575" s="9" t="n"/>
      <c r="F575" s="10" t="n"/>
      <c r="G575" s="10" t="n"/>
      <c r="H575" s="10">
        <f>IF(F575="","",F575*IF(G575="",1,G575))</f>
        <v/>
      </c>
      <c r="I575" s="9" t="n"/>
      <c r="J575" s="9" t="n"/>
    </row>
    <row r="576" ht="22" customHeight="1">
      <c r="A576" s="9" t="n"/>
      <c r="B576" s="9" t="n"/>
      <c r="C576" s="9" t="n"/>
      <c r="D576" s="9" t="n"/>
      <c r="E576" s="9" t="n"/>
      <c r="F576" s="10" t="n"/>
      <c r="G576" s="10" t="n"/>
      <c r="H576" s="10">
        <f>IF(F576="","",F576*IF(G576="",1,G576))</f>
        <v/>
      </c>
      <c r="I576" s="9" t="n"/>
      <c r="J576" s="9" t="n"/>
    </row>
    <row r="577" ht="22" customHeight="1">
      <c r="A577" s="9" t="n"/>
      <c r="B577" s="9" t="n"/>
      <c r="C577" s="9" t="n"/>
      <c r="D577" s="9" t="n"/>
      <c r="E577" s="9" t="n"/>
      <c r="F577" s="10" t="n"/>
      <c r="G577" s="10" t="n"/>
      <c r="H577" s="10">
        <f>IF(F577="","",F577*IF(G577="",1,G577))</f>
        <v/>
      </c>
      <c r="I577" s="9" t="n"/>
      <c r="J577" s="9" t="n"/>
    </row>
    <row r="578" ht="22" customHeight="1">
      <c r="A578" s="9" t="n"/>
      <c r="B578" s="9" t="n"/>
      <c r="C578" s="9" t="n"/>
      <c r="D578" s="9" t="n"/>
      <c r="E578" s="9" t="n"/>
      <c r="F578" s="10" t="n"/>
      <c r="G578" s="10" t="n"/>
      <c r="H578" s="10">
        <f>IF(F578="","",F578*IF(G578="",1,G578))</f>
        <v/>
      </c>
      <c r="I578" s="9" t="n"/>
      <c r="J578" s="9" t="n"/>
    </row>
    <row r="579" ht="22" customHeight="1">
      <c r="A579" s="9" t="n"/>
      <c r="B579" s="9" t="n"/>
      <c r="C579" s="9" t="n"/>
      <c r="D579" s="9" t="n"/>
      <c r="E579" s="9" t="n"/>
      <c r="F579" s="10" t="n"/>
      <c r="G579" s="10" t="n"/>
      <c r="H579" s="10">
        <f>IF(F579="","",F579*IF(G579="",1,G579))</f>
        <v/>
      </c>
      <c r="I579" s="9" t="n"/>
      <c r="J579" s="9" t="n"/>
    </row>
    <row r="580" ht="22" customHeight="1">
      <c r="A580" s="9" t="n"/>
      <c r="B580" s="9" t="n"/>
      <c r="C580" s="9" t="n"/>
      <c r="D580" s="9" t="n"/>
      <c r="E580" s="9" t="n"/>
      <c r="F580" s="10" t="n"/>
      <c r="G580" s="10" t="n"/>
      <c r="H580" s="10">
        <f>IF(F580="","",F580*IF(G580="",1,G580))</f>
        <v/>
      </c>
      <c r="I580" s="9" t="n"/>
      <c r="J580" s="9" t="n"/>
    </row>
    <row r="581" ht="22" customHeight="1">
      <c r="A581" s="9" t="n"/>
      <c r="B581" s="9" t="n"/>
      <c r="C581" s="9" t="n"/>
      <c r="D581" s="9" t="n"/>
      <c r="E581" s="9" t="n"/>
      <c r="F581" s="10" t="n"/>
      <c r="G581" s="10" t="n"/>
      <c r="H581" s="10">
        <f>IF(F581="","",F581*IF(G581="",1,G581))</f>
        <v/>
      </c>
      <c r="I581" s="9" t="n"/>
      <c r="J581" s="9" t="n"/>
    </row>
    <row r="582" ht="22" customHeight="1">
      <c r="A582" s="9" t="n"/>
      <c r="B582" s="9" t="n"/>
      <c r="C582" s="9" t="n"/>
      <c r="D582" s="9" t="n"/>
      <c r="E582" s="9" t="n"/>
      <c r="F582" s="10" t="n"/>
      <c r="G582" s="10" t="n"/>
      <c r="H582" s="10">
        <f>IF(F582="","",F582*IF(G582="",1,G582))</f>
        <v/>
      </c>
      <c r="I582" s="9" t="n"/>
      <c r="J582" s="9" t="n"/>
    </row>
    <row r="583" ht="22" customHeight="1">
      <c r="A583" s="9" t="n"/>
      <c r="B583" s="9" t="n"/>
      <c r="C583" s="9" t="n"/>
      <c r="D583" s="9" t="n"/>
      <c r="E583" s="9" t="n"/>
      <c r="F583" s="10" t="n"/>
      <c r="G583" s="10" t="n"/>
      <c r="H583" s="10">
        <f>IF(F583="","",F583*IF(G583="",1,G583))</f>
        <v/>
      </c>
      <c r="I583" s="9" t="n"/>
      <c r="J583" s="9" t="n"/>
    </row>
    <row r="584" ht="22" customHeight="1">
      <c r="A584" s="9" t="n"/>
      <c r="B584" s="9" t="n"/>
      <c r="C584" s="9" t="n"/>
      <c r="D584" s="9" t="n"/>
      <c r="E584" s="9" t="n"/>
      <c r="F584" s="10" t="n"/>
      <c r="G584" s="10" t="n"/>
      <c r="H584" s="10">
        <f>IF(F584="","",F584*IF(G584="",1,G584))</f>
        <v/>
      </c>
      <c r="I584" s="9" t="n"/>
      <c r="J584" s="9" t="n"/>
    </row>
    <row r="585" ht="22" customHeight="1">
      <c r="A585" s="9" t="n"/>
      <c r="B585" s="9" t="n"/>
      <c r="C585" s="9" t="n"/>
      <c r="D585" s="9" t="n"/>
      <c r="E585" s="9" t="n"/>
      <c r="F585" s="10" t="n"/>
      <c r="G585" s="10" t="n"/>
      <c r="H585" s="10">
        <f>IF(F585="","",F585*IF(G585="",1,G585))</f>
        <v/>
      </c>
      <c r="I585" s="9" t="n"/>
      <c r="J585" s="9" t="n"/>
    </row>
    <row r="586" ht="22" customHeight="1">
      <c r="A586" s="9" t="n"/>
      <c r="B586" s="9" t="n"/>
      <c r="C586" s="9" t="n"/>
      <c r="D586" s="9" t="n"/>
      <c r="E586" s="9" t="n"/>
      <c r="F586" s="10" t="n"/>
      <c r="G586" s="10" t="n"/>
      <c r="H586" s="10">
        <f>IF(F586="","",F586*IF(G586="",1,G586))</f>
        <v/>
      </c>
      <c r="I586" s="9" t="n"/>
      <c r="J586" s="9" t="n"/>
    </row>
    <row r="587" ht="22" customHeight="1">
      <c r="A587" s="9" t="n"/>
      <c r="B587" s="9" t="n"/>
      <c r="C587" s="9" t="n"/>
      <c r="D587" s="9" t="n"/>
      <c r="E587" s="9" t="n"/>
      <c r="F587" s="10" t="n"/>
      <c r="G587" s="10" t="n"/>
      <c r="H587" s="10">
        <f>IF(F587="","",F587*IF(G587="",1,G587))</f>
        <v/>
      </c>
      <c r="I587" s="9" t="n"/>
      <c r="J587" s="9" t="n"/>
    </row>
    <row r="588" ht="22" customHeight="1">
      <c r="A588" s="9" t="n"/>
      <c r="B588" s="9" t="n"/>
      <c r="C588" s="9" t="n"/>
      <c r="D588" s="9" t="n"/>
      <c r="E588" s="9" t="n"/>
      <c r="F588" s="10" t="n"/>
      <c r="G588" s="10" t="n"/>
      <c r="H588" s="10">
        <f>IF(F588="","",F588*IF(G588="",1,G588))</f>
        <v/>
      </c>
      <c r="I588" s="9" t="n"/>
      <c r="J588" s="9" t="n"/>
    </row>
    <row r="589" ht="22" customHeight="1">
      <c r="A589" s="9" t="n"/>
      <c r="B589" s="9" t="n"/>
      <c r="C589" s="9" t="n"/>
      <c r="D589" s="9" t="n"/>
      <c r="E589" s="9" t="n"/>
      <c r="F589" s="10" t="n"/>
      <c r="G589" s="10" t="n"/>
      <c r="H589" s="10">
        <f>IF(F589="","",F589*IF(G589="",1,G589))</f>
        <v/>
      </c>
      <c r="I589" s="9" t="n"/>
      <c r="J589" s="9" t="n"/>
    </row>
    <row r="590" ht="22" customHeight="1">
      <c r="A590" s="9" t="n"/>
      <c r="B590" s="9" t="n"/>
      <c r="C590" s="9" t="n"/>
      <c r="D590" s="9" t="n"/>
      <c r="E590" s="9" t="n"/>
      <c r="F590" s="10" t="n"/>
      <c r="G590" s="10" t="n"/>
      <c r="H590" s="10">
        <f>IF(F590="","",F590*IF(G590="",1,G590))</f>
        <v/>
      </c>
      <c r="I590" s="9" t="n"/>
      <c r="J590" s="9" t="n"/>
    </row>
    <row r="591" ht="22" customHeight="1">
      <c r="A591" s="9" t="n"/>
      <c r="B591" s="9" t="n"/>
      <c r="C591" s="9" t="n"/>
      <c r="D591" s="9" t="n"/>
      <c r="E591" s="9" t="n"/>
      <c r="F591" s="10" t="n"/>
      <c r="G591" s="10" t="n"/>
      <c r="H591" s="10">
        <f>IF(F591="","",F591*IF(G591="",1,G591))</f>
        <v/>
      </c>
      <c r="I591" s="9" t="n"/>
      <c r="J591" s="9" t="n"/>
    </row>
    <row r="592" ht="22" customHeight="1">
      <c r="A592" s="9" t="n"/>
      <c r="B592" s="9" t="n"/>
      <c r="C592" s="9" t="n"/>
      <c r="D592" s="9" t="n"/>
      <c r="E592" s="9" t="n"/>
      <c r="F592" s="10" t="n"/>
      <c r="G592" s="10" t="n"/>
      <c r="H592" s="10">
        <f>IF(F592="","",F592*IF(G592="",1,G592))</f>
        <v/>
      </c>
      <c r="I592" s="9" t="n"/>
      <c r="J592" s="9" t="n"/>
    </row>
    <row r="593" ht="22" customHeight="1">
      <c r="A593" s="9" t="n"/>
      <c r="B593" s="9" t="n"/>
      <c r="C593" s="9" t="n"/>
      <c r="D593" s="9" t="n"/>
      <c r="E593" s="9" t="n"/>
      <c r="F593" s="10" t="n"/>
      <c r="G593" s="10" t="n"/>
      <c r="H593" s="10">
        <f>IF(F593="","",F593*IF(G593="",1,G593))</f>
        <v/>
      </c>
      <c r="I593" s="9" t="n"/>
      <c r="J593" s="9" t="n"/>
    </row>
    <row r="594" ht="22" customHeight="1">
      <c r="A594" s="9" t="n"/>
      <c r="B594" s="9" t="n"/>
      <c r="C594" s="9" t="n"/>
      <c r="D594" s="9" t="n"/>
      <c r="E594" s="9" t="n"/>
      <c r="F594" s="10" t="n"/>
      <c r="G594" s="10" t="n"/>
      <c r="H594" s="10">
        <f>IF(F594="","",F594*IF(G594="",1,G594))</f>
        <v/>
      </c>
      <c r="I594" s="9" t="n"/>
      <c r="J594" s="9" t="n"/>
    </row>
    <row r="595" ht="22" customHeight="1">
      <c r="A595" s="9" t="n"/>
      <c r="B595" s="9" t="n"/>
      <c r="C595" s="9" t="n"/>
      <c r="D595" s="9" t="n"/>
      <c r="E595" s="9" t="n"/>
      <c r="F595" s="10" t="n"/>
      <c r="G595" s="10" t="n"/>
      <c r="H595" s="10">
        <f>IF(F595="","",F595*IF(G595="",1,G595))</f>
        <v/>
      </c>
      <c r="I595" s="9" t="n"/>
      <c r="J595" s="9" t="n"/>
    </row>
    <row r="596" ht="22" customHeight="1">
      <c r="A596" s="9" t="n"/>
      <c r="B596" s="9" t="n"/>
      <c r="C596" s="9" t="n"/>
      <c r="D596" s="9" t="n"/>
      <c r="E596" s="9" t="n"/>
      <c r="F596" s="10" t="n"/>
      <c r="G596" s="10" t="n"/>
      <c r="H596" s="10">
        <f>IF(F596="","",F596*IF(G596="",1,G596))</f>
        <v/>
      </c>
      <c r="I596" s="9" t="n"/>
      <c r="J596" s="9" t="n"/>
    </row>
    <row r="597" ht="22" customHeight="1">
      <c r="A597" s="9" t="n"/>
      <c r="B597" s="9" t="n"/>
      <c r="C597" s="9" t="n"/>
      <c r="D597" s="9" t="n"/>
      <c r="E597" s="9" t="n"/>
      <c r="F597" s="10" t="n"/>
      <c r="G597" s="10" t="n"/>
      <c r="H597" s="10">
        <f>IF(F597="","",F597*IF(G597="",1,G597))</f>
        <v/>
      </c>
      <c r="I597" s="9" t="n"/>
      <c r="J597" s="9" t="n"/>
    </row>
    <row r="598" ht="22" customHeight="1">
      <c r="A598" s="9" t="n"/>
      <c r="B598" s="9" t="n"/>
      <c r="C598" s="9" t="n"/>
      <c r="D598" s="9" t="n"/>
      <c r="E598" s="9" t="n"/>
      <c r="F598" s="10" t="n"/>
      <c r="G598" s="10" t="n"/>
      <c r="H598" s="10">
        <f>IF(F598="","",F598*IF(G598="",1,G598))</f>
        <v/>
      </c>
      <c r="I598" s="9" t="n"/>
      <c r="J598" s="9" t="n"/>
    </row>
    <row r="599" ht="22" customHeight="1">
      <c r="A599" s="9" t="n"/>
      <c r="B599" s="9" t="n"/>
      <c r="C599" s="9" t="n"/>
      <c r="D599" s="9" t="n"/>
      <c r="E599" s="9" t="n"/>
      <c r="F599" s="10" t="n"/>
      <c r="G599" s="10" t="n"/>
      <c r="H599" s="10">
        <f>IF(F599="","",F599*IF(G599="",1,G599))</f>
        <v/>
      </c>
      <c r="I599" s="9" t="n"/>
      <c r="J599" s="9" t="n"/>
    </row>
    <row r="600" ht="22" customHeight="1">
      <c r="A600" s="9" t="n"/>
      <c r="B600" s="9" t="n"/>
      <c r="C600" s="9" t="n"/>
      <c r="D600" s="9" t="n"/>
      <c r="E600" s="9" t="n"/>
      <c r="F600" s="10" t="n"/>
      <c r="G600" s="10" t="n"/>
      <c r="H600" s="10">
        <f>IF(F600="","",F600*IF(G600="",1,G600))</f>
        <v/>
      </c>
      <c r="I600" s="9" t="n"/>
      <c r="J600" s="9" t="n"/>
    </row>
    <row r="601" ht="22" customHeight="1">
      <c r="A601" s="9" t="n"/>
      <c r="B601" s="9" t="n"/>
      <c r="C601" s="9" t="n"/>
      <c r="D601" s="9" t="n"/>
      <c r="E601" s="9" t="n"/>
      <c r="F601" s="10" t="n"/>
      <c r="G601" s="10" t="n"/>
      <c r="H601" s="10">
        <f>IF(F601="","",F601*IF(G601="",1,G601))</f>
        <v/>
      </c>
      <c r="I601" s="9" t="n"/>
      <c r="J601" s="9" t="n"/>
    </row>
    <row r="602" ht="22" customHeight="1">
      <c r="A602" s="9" t="n"/>
      <c r="B602" s="9" t="n"/>
      <c r="C602" s="9" t="n"/>
      <c r="D602" s="9" t="n"/>
      <c r="E602" s="9" t="n"/>
      <c r="F602" s="10" t="n"/>
      <c r="G602" s="10" t="n"/>
      <c r="H602" s="10">
        <f>IF(F602="","",F602*IF(G602="",1,G602))</f>
        <v/>
      </c>
      <c r="I602" s="9" t="n"/>
      <c r="J602" s="9" t="n"/>
    </row>
    <row r="603" ht="22" customHeight="1">
      <c r="A603" s="9" t="n"/>
      <c r="B603" s="9" t="n"/>
      <c r="C603" s="9" t="n"/>
      <c r="D603" s="9" t="n"/>
      <c r="E603" s="9" t="n"/>
      <c r="F603" s="10" t="n"/>
      <c r="G603" s="10" t="n"/>
      <c r="H603" s="10">
        <f>IF(F603="","",F603*IF(G603="",1,G603))</f>
        <v/>
      </c>
      <c r="I603" s="9" t="n"/>
      <c r="J603" s="9" t="n"/>
    </row>
    <row r="604" ht="22" customHeight="1">
      <c r="A604" s="9" t="n"/>
      <c r="B604" s="9" t="n"/>
      <c r="C604" s="9" t="n"/>
      <c r="D604" s="9" t="n"/>
      <c r="E604" s="9" t="n"/>
      <c r="F604" s="10" t="n"/>
      <c r="G604" s="10" t="n"/>
      <c r="H604" s="10">
        <f>IF(F604="","",F604*IF(G604="",1,G604))</f>
        <v/>
      </c>
      <c r="I604" s="9" t="n"/>
      <c r="J604" s="9" t="n"/>
    </row>
    <row r="605" ht="22" customHeight="1">
      <c r="A605" s="9" t="n"/>
      <c r="B605" s="9" t="n"/>
      <c r="C605" s="9" t="n"/>
      <c r="D605" s="9" t="n"/>
      <c r="E605" s="9" t="n"/>
      <c r="F605" s="10" t="n"/>
      <c r="G605" s="10" t="n"/>
      <c r="H605" s="10">
        <f>IF(F605="","",F605*IF(G605="",1,G605))</f>
        <v/>
      </c>
      <c r="I605" s="9" t="n"/>
      <c r="J605" s="9" t="n"/>
    </row>
    <row r="606" ht="22" customHeight="1">
      <c r="A606" s="9" t="n"/>
      <c r="B606" s="9" t="n"/>
      <c r="C606" s="9" t="n"/>
      <c r="D606" s="9" t="n"/>
      <c r="E606" s="9" t="n"/>
      <c r="F606" s="10" t="n"/>
      <c r="G606" s="10" t="n"/>
      <c r="H606" s="10">
        <f>IF(F606="","",F606*IF(G606="",1,G606))</f>
        <v/>
      </c>
      <c r="I606" s="9" t="n"/>
      <c r="J606" s="9" t="n"/>
    </row>
    <row r="607" ht="22" customHeight="1">
      <c r="A607" s="9" t="n"/>
      <c r="B607" s="9" t="n"/>
      <c r="C607" s="9" t="n"/>
      <c r="D607" s="9" t="n"/>
      <c r="E607" s="9" t="n"/>
      <c r="F607" s="10" t="n"/>
      <c r="G607" s="10" t="n"/>
      <c r="H607" s="10">
        <f>IF(F607="","",F607*IF(G607="",1,G607))</f>
        <v/>
      </c>
      <c r="I607" s="9" t="n"/>
      <c r="J607" s="9" t="n"/>
    </row>
    <row r="608" ht="22" customHeight="1">
      <c r="A608" s="9" t="n"/>
      <c r="B608" s="9" t="n"/>
      <c r="C608" s="9" t="n"/>
      <c r="D608" s="9" t="n"/>
      <c r="E608" s="9" t="n"/>
      <c r="F608" s="10" t="n"/>
      <c r="G608" s="10" t="n"/>
      <c r="H608" s="10">
        <f>IF(F608="","",F608*IF(G608="",1,G608))</f>
        <v/>
      </c>
      <c r="I608" s="9" t="n"/>
      <c r="J608" s="9" t="n"/>
    </row>
    <row r="609" ht="22" customHeight="1">
      <c r="A609" s="9" t="n"/>
      <c r="B609" s="9" t="n"/>
      <c r="C609" s="9" t="n"/>
      <c r="D609" s="9" t="n"/>
      <c r="E609" s="9" t="n"/>
      <c r="F609" s="10" t="n"/>
      <c r="G609" s="10" t="n"/>
      <c r="H609" s="10">
        <f>IF(F609="","",F609*IF(G609="",1,G609))</f>
        <v/>
      </c>
      <c r="I609" s="9" t="n"/>
      <c r="J609" s="9" t="n"/>
    </row>
    <row r="610" ht="22" customHeight="1">
      <c r="A610" s="9" t="n"/>
      <c r="B610" s="9" t="n"/>
      <c r="C610" s="9" t="n"/>
      <c r="D610" s="9" t="n"/>
      <c r="E610" s="9" t="n"/>
      <c r="F610" s="10" t="n"/>
      <c r="G610" s="10" t="n"/>
      <c r="H610" s="10">
        <f>IF(F610="","",F610*IF(G610="",1,G610))</f>
        <v/>
      </c>
      <c r="I610" s="9" t="n"/>
      <c r="J610" s="9" t="n"/>
    </row>
    <row r="611" ht="22" customHeight="1">
      <c r="A611" s="9" t="n"/>
      <c r="B611" s="9" t="n"/>
      <c r="C611" s="9" t="n"/>
      <c r="D611" s="9" t="n"/>
      <c r="E611" s="9" t="n"/>
      <c r="F611" s="10" t="n"/>
      <c r="G611" s="10" t="n"/>
      <c r="H611" s="10">
        <f>IF(F611="","",F611*IF(G611="",1,G611))</f>
        <v/>
      </c>
      <c r="I611" s="9" t="n"/>
      <c r="J611" s="9" t="n"/>
    </row>
    <row r="612" ht="22" customHeight="1">
      <c r="A612" s="9" t="n"/>
      <c r="B612" s="9" t="n"/>
      <c r="C612" s="9" t="n"/>
      <c r="D612" s="9" t="n"/>
      <c r="E612" s="9" t="n"/>
      <c r="F612" s="10" t="n"/>
      <c r="G612" s="10" t="n"/>
      <c r="H612" s="10">
        <f>IF(F612="","",F612*IF(G612="",1,G612))</f>
        <v/>
      </c>
      <c r="I612" s="9" t="n"/>
      <c r="J612" s="9" t="n"/>
    </row>
    <row r="613" ht="22" customHeight="1">
      <c r="A613" s="9" t="n"/>
      <c r="B613" s="9" t="n"/>
      <c r="C613" s="9" t="n"/>
      <c r="D613" s="9" t="n"/>
      <c r="E613" s="9" t="n"/>
      <c r="F613" s="10" t="n"/>
      <c r="G613" s="10" t="n"/>
      <c r="H613" s="10">
        <f>IF(F613="","",F613*IF(G613="",1,G613))</f>
        <v/>
      </c>
      <c r="I613" s="9" t="n"/>
      <c r="J613" s="9" t="n"/>
    </row>
    <row r="614" ht="22" customHeight="1">
      <c r="A614" s="9" t="n"/>
      <c r="B614" s="9" t="n"/>
      <c r="C614" s="9" t="n"/>
      <c r="D614" s="9" t="n"/>
      <c r="E614" s="9" t="n"/>
      <c r="F614" s="10" t="n"/>
      <c r="G614" s="10" t="n"/>
      <c r="H614" s="10">
        <f>IF(F614="","",F614*IF(G614="",1,G614))</f>
        <v/>
      </c>
      <c r="I614" s="9" t="n"/>
      <c r="J614" s="9" t="n"/>
    </row>
    <row r="615" ht="22" customHeight="1">
      <c r="A615" s="9" t="n"/>
      <c r="B615" s="9" t="n"/>
      <c r="C615" s="9" t="n"/>
      <c r="D615" s="9" t="n"/>
      <c r="E615" s="9" t="n"/>
      <c r="F615" s="10" t="n"/>
      <c r="G615" s="10" t="n"/>
      <c r="H615" s="10">
        <f>IF(F615="","",F615*IF(G615="",1,G615))</f>
        <v/>
      </c>
      <c r="I615" s="9" t="n"/>
      <c r="J615" s="9" t="n"/>
    </row>
    <row r="616" ht="22" customHeight="1">
      <c r="A616" s="9" t="n"/>
      <c r="B616" s="9" t="n"/>
      <c r="C616" s="9" t="n"/>
      <c r="D616" s="9" t="n"/>
      <c r="E616" s="9" t="n"/>
      <c r="F616" s="10" t="n"/>
      <c r="G616" s="10" t="n"/>
      <c r="H616" s="10">
        <f>IF(F616="","",F616*IF(G616="",1,G616))</f>
        <v/>
      </c>
      <c r="I616" s="9" t="n"/>
      <c r="J616" s="9" t="n"/>
    </row>
    <row r="617" ht="22" customHeight="1">
      <c r="A617" s="9" t="n"/>
      <c r="B617" s="9" t="n"/>
      <c r="C617" s="9" t="n"/>
      <c r="D617" s="9" t="n"/>
      <c r="E617" s="9" t="n"/>
      <c r="F617" s="10" t="n"/>
      <c r="G617" s="10" t="n"/>
      <c r="H617" s="10">
        <f>IF(F617="","",F617*IF(G617="",1,G617))</f>
        <v/>
      </c>
      <c r="I617" s="9" t="n"/>
      <c r="J617" s="9" t="n"/>
    </row>
    <row r="618" ht="22" customHeight="1">
      <c r="A618" s="9" t="n"/>
      <c r="B618" s="9" t="n"/>
      <c r="C618" s="9" t="n"/>
      <c r="D618" s="9" t="n"/>
      <c r="E618" s="9" t="n"/>
      <c r="F618" s="10" t="n"/>
      <c r="G618" s="10" t="n"/>
      <c r="H618" s="10">
        <f>IF(F618="","",F618*IF(G618="",1,G618))</f>
        <v/>
      </c>
      <c r="I618" s="9" t="n"/>
      <c r="J618" s="9" t="n"/>
    </row>
    <row r="619" ht="22" customHeight="1">
      <c r="A619" s="9" t="n"/>
      <c r="B619" s="9" t="n"/>
      <c r="C619" s="9" t="n"/>
      <c r="D619" s="9" t="n"/>
      <c r="E619" s="9" t="n"/>
      <c r="F619" s="10" t="n"/>
      <c r="G619" s="10" t="n"/>
      <c r="H619" s="10">
        <f>IF(F619="","",F619*IF(G619="",1,G619))</f>
        <v/>
      </c>
      <c r="I619" s="9" t="n"/>
      <c r="J619" s="9" t="n"/>
    </row>
    <row r="620" ht="22" customHeight="1">
      <c r="A620" s="9" t="n"/>
      <c r="B620" s="9" t="n"/>
      <c r="C620" s="9" t="n"/>
      <c r="D620" s="9" t="n"/>
      <c r="E620" s="9" t="n"/>
      <c r="F620" s="10" t="n"/>
      <c r="G620" s="10" t="n"/>
      <c r="H620" s="10">
        <f>IF(F620="","",F620*IF(G620="",1,G620))</f>
        <v/>
      </c>
      <c r="I620" s="9" t="n"/>
      <c r="J620" s="9" t="n"/>
    </row>
    <row r="621" ht="22" customHeight="1">
      <c r="A621" s="9" t="n"/>
      <c r="B621" s="9" t="n"/>
      <c r="C621" s="9" t="n"/>
      <c r="D621" s="9" t="n"/>
      <c r="E621" s="9" t="n"/>
      <c r="F621" s="10" t="n"/>
      <c r="G621" s="10" t="n"/>
      <c r="H621" s="10">
        <f>IF(F621="","",F621*IF(G621="",1,G621))</f>
        <v/>
      </c>
      <c r="I621" s="9" t="n"/>
      <c r="J621" s="9" t="n"/>
    </row>
    <row r="622" ht="22" customHeight="1">
      <c r="A622" s="9" t="n"/>
      <c r="B622" s="9" t="n"/>
      <c r="C622" s="9" t="n"/>
      <c r="D622" s="9" t="n"/>
      <c r="E622" s="9" t="n"/>
      <c r="F622" s="10" t="n"/>
      <c r="G622" s="10" t="n"/>
      <c r="H622" s="10">
        <f>IF(F622="","",F622*IF(G622="",1,G622))</f>
        <v/>
      </c>
      <c r="I622" s="9" t="n"/>
      <c r="J622" s="9" t="n"/>
    </row>
    <row r="623" ht="22" customHeight="1">
      <c r="A623" s="9" t="n"/>
      <c r="B623" s="9" t="n"/>
      <c r="C623" s="9" t="n"/>
      <c r="D623" s="9" t="n"/>
      <c r="E623" s="9" t="n"/>
      <c r="F623" s="10" t="n"/>
      <c r="G623" s="10" t="n"/>
      <c r="H623" s="10">
        <f>IF(F623="","",F623*IF(G623="",1,G623))</f>
        <v/>
      </c>
      <c r="I623" s="9" t="n"/>
      <c r="J623" s="9" t="n"/>
    </row>
    <row r="624" ht="22" customHeight="1">
      <c r="A624" s="9" t="n"/>
      <c r="B624" s="9" t="n"/>
      <c r="C624" s="9" t="n"/>
      <c r="D624" s="9" t="n"/>
      <c r="E624" s="9" t="n"/>
      <c r="F624" s="10" t="n"/>
      <c r="G624" s="10" t="n"/>
      <c r="H624" s="10">
        <f>IF(F624="","",F624*IF(G624="",1,G624))</f>
        <v/>
      </c>
      <c r="I624" s="9" t="n"/>
      <c r="J624" s="9" t="n"/>
    </row>
    <row r="625" ht="22" customHeight="1">
      <c r="A625" s="9" t="n"/>
      <c r="B625" s="9" t="n"/>
      <c r="C625" s="9" t="n"/>
      <c r="D625" s="9" t="n"/>
      <c r="E625" s="9" t="n"/>
      <c r="F625" s="10" t="n"/>
      <c r="G625" s="10" t="n"/>
      <c r="H625" s="10">
        <f>IF(F625="","",F625*IF(G625="",1,G625))</f>
        <v/>
      </c>
      <c r="I625" s="9" t="n"/>
      <c r="J625" s="9" t="n"/>
    </row>
    <row r="626" ht="22" customHeight="1">
      <c r="A626" s="9" t="n"/>
      <c r="B626" s="9" t="n"/>
      <c r="C626" s="9" t="n"/>
      <c r="D626" s="9" t="n"/>
      <c r="E626" s="9" t="n"/>
      <c r="F626" s="10" t="n"/>
      <c r="G626" s="10" t="n"/>
      <c r="H626" s="10">
        <f>IF(F626="","",F626*IF(G626="",1,G626))</f>
        <v/>
      </c>
      <c r="I626" s="9" t="n"/>
      <c r="J626" s="9" t="n"/>
    </row>
    <row r="627" ht="22" customHeight="1">
      <c r="A627" s="9" t="n"/>
      <c r="B627" s="9" t="n"/>
      <c r="C627" s="9" t="n"/>
      <c r="D627" s="9" t="n"/>
      <c r="E627" s="9" t="n"/>
      <c r="F627" s="10" t="n"/>
      <c r="G627" s="10" t="n"/>
      <c r="H627" s="10">
        <f>IF(F627="","",F627*IF(G627="",1,G627))</f>
        <v/>
      </c>
      <c r="I627" s="9" t="n"/>
      <c r="J627" s="9" t="n"/>
    </row>
    <row r="628" ht="22" customHeight="1">
      <c r="A628" s="9" t="n"/>
      <c r="B628" s="9" t="n"/>
      <c r="C628" s="9" t="n"/>
      <c r="D628" s="9" t="n"/>
      <c r="E628" s="9" t="n"/>
      <c r="F628" s="10" t="n"/>
      <c r="G628" s="10" t="n"/>
      <c r="H628" s="10">
        <f>IF(F628="","",F628*IF(G628="",1,G628))</f>
        <v/>
      </c>
      <c r="I628" s="9" t="n"/>
      <c r="J628" s="9" t="n"/>
    </row>
    <row r="629" ht="22" customHeight="1">
      <c r="A629" s="9" t="n"/>
      <c r="B629" s="9" t="n"/>
      <c r="C629" s="9" t="n"/>
      <c r="D629" s="9" t="n"/>
      <c r="E629" s="9" t="n"/>
      <c r="F629" s="10" t="n"/>
      <c r="G629" s="10" t="n"/>
      <c r="H629" s="10">
        <f>IF(F629="","",F629*IF(G629="",1,G629))</f>
        <v/>
      </c>
      <c r="I629" s="9" t="n"/>
      <c r="J629" s="9" t="n"/>
    </row>
    <row r="630" ht="22" customHeight="1">
      <c r="A630" s="9" t="n"/>
      <c r="B630" s="9" t="n"/>
      <c r="C630" s="9" t="n"/>
      <c r="D630" s="9" t="n"/>
      <c r="E630" s="9" t="n"/>
      <c r="F630" s="10" t="n"/>
      <c r="G630" s="10" t="n"/>
      <c r="H630" s="10">
        <f>IF(F630="","",F630*IF(G630="",1,G630))</f>
        <v/>
      </c>
      <c r="I630" s="9" t="n"/>
      <c r="J630" s="9" t="n"/>
    </row>
    <row r="631" ht="22" customHeight="1">
      <c r="A631" s="9" t="n"/>
      <c r="B631" s="9" t="n"/>
      <c r="C631" s="9" t="n"/>
      <c r="D631" s="9" t="n"/>
      <c r="E631" s="9" t="n"/>
      <c r="F631" s="10" t="n"/>
      <c r="G631" s="10" t="n"/>
      <c r="H631" s="10">
        <f>IF(F631="","",F631*IF(G631="",1,G631))</f>
        <v/>
      </c>
      <c r="I631" s="9" t="n"/>
      <c r="J631" s="9" t="n"/>
    </row>
    <row r="632" ht="22" customHeight="1">
      <c r="A632" s="9" t="n"/>
      <c r="B632" s="9" t="n"/>
      <c r="C632" s="9" t="n"/>
      <c r="D632" s="9" t="n"/>
      <c r="E632" s="9" t="n"/>
      <c r="F632" s="10" t="n"/>
      <c r="G632" s="10" t="n"/>
      <c r="H632" s="10">
        <f>IF(F632="","",F632*IF(G632="",1,G632))</f>
        <v/>
      </c>
      <c r="I632" s="9" t="n"/>
      <c r="J632" s="9" t="n"/>
    </row>
    <row r="633" ht="22" customHeight="1">
      <c r="A633" s="9" t="n"/>
      <c r="B633" s="9" t="n"/>
      <c r="C633" s="9" t="n"/>
      <c r="D633" s="9" t="n"/>
      <c r="E633" s="9" t="n"/>
      <c r="F633" s="10" t="n"/>
      <c r="G633" s="10" t="n"/>
      <c r="H633" s="10">
        <f>IF(F633="","",F633*IF(G633="",1,G633))</f>
        <v/>
      </c>
      <c r="I633" s="9" t="n"/>
      <c r="J633" s="9" t="n"/>
    </row>
    <row r="634" ht="22" customHeight="1">
      <c r="A634" s="9" t="n"/>
      <c r="B634" s="9" t="n"/>
      <c r="C634" s="9" t="n"/>
      <c r="D634" s="9" t="n"/>
      <c r="E634" s="9" t="n"/>
      <c r="F634" s="10" t="n"/>
      <c r="G634" s="10" t="n"/>
      <c r="H634" s="10">
        <f>IF(F634="","",F634*IF(G634="",1,G634))</f>
        <v/>
      </c>
      <c r="I634" s="9" t="n"/>
      <c r="J634" s="9" t="n"/>
    </row>
    <row r="635" ht="22" customHeight="1">
      <c r="A635" s="9" t="n"/>
      <c r="B635" s="9" t="n"/>
      <c r="C635" s="9" t="n"/>
      <c r="D635" s="9" t="n"/>
      <c r="E635" s="9" t="n"/>
      <c r="F635" s="10" t="n"/>
      <c r="G635" s="10" t="n"/>
      <c r="H635" s="10">
        <f>IF(F635="","",F635*IF(G635="",1,G635))</f>
        <v/>
      </c>
      <c r="I635" s="9" t="n"/>
      <c r="J635" s="9" t="n"/>
    </row>
    <row r="636" ht="22" customHeight="1">
      <c r="A636" s="9" t="n"/>
      <c r="B636" s="9" t="n"/>
      <c r="C636" s="9" t="n"/>
      <c r="D636" s="9" t="n"/>
      <c r="E636" s="9" t="n"/>
      <c r="F636" s="10" t="n"/>
      <c r="G636" s="10" t="n"/>
      <c r="H636" s="10">
        <f>IF(F636="","",F636*IF(G636="",1,G636))</f>
        <v/>
      </c>
      <c r="I636" s="9" t="n"/>
      <c r="J636" s="9" t="n"/>
    </row>
    <row r="637" ht="22" customHeight="1">
      <c r="A637" s="9" t="n"/>
      <c r="B637" s="9" t="n"/>
      <c r="C637" s="9" t="n"/>
      <c r="D637" s="9" t="n"/>
      <c r="E637" s="9" t="n"/>
      <c r="F637" s="10" t="n"/>
      <c r="G637" s="10" t="n"/>
      <c r="H637" s="10">
        <f>IF(F637="","",F637*IF(G637="",1,G637))</f>
        <v/>
      </c>
      <c r="I637" s="9" t="n"/>
      <c r="J637" s="9" t="n"/>
    </row>
    <row r="638" ht="22" customHeight="1">
      <c r="A638" s="9" t="n"/>
      <c r="B638" s="9" t="n"/>
      <c r="C638" s="9" t="n"/>
      <c r="D638" s="9" t="n"/>
      <c r="E638" s="9" t="n"/>
      <c r="F638" s="10" t="n"/>
      <c r="G638" s="10" t="n"/>
      <c r="H638" s="10">
        <f>IF(F638="","",F638*IF(G638="",1,G638))</f>
        <v/>
      </c>
      <c r="I638" s="9" t="n"/>
      <c r="J638" s="9" t="n"/>
    </row>
    <row r="639" ht="22" customHeight="1">
      <c r="A639" s="9" t="n"/>
      <c r="B639" s="9" t="n"/>
      <c r="C639" s="9" t="n"/>
      <c r="D639" s="9" t="n"/>
      <c r="E639" s="9" t="n"/>
      <c r="F639" s="10" t="n"/>
      <c r="G639" s="10" t="n"/>
      <c r="H639" s="10">
        <f>IF(F639="","",F639*IF(G639="",1,G639))</f>
        <v/>
      </c>
      <c r="I639" s="9" t="n"/>
      <c r="J639" s="9" t="n"/>
    </row>
    <row r="640" ht="22" customHeight="1">
      <c r="A640" s="9" t="n"/>
      <c r="B640" s="9" t="n"/>
      <c r="C640" s="9" t="n"/>
      <c r="D640" s="9" t="n"/>
      <c r="E640" s="9" t="n"/>
      <c r="F640" s="10" t="n"/>
      <c r="G640" s="10" t="n"/>
      <c r="H640" s="10">
        <f>IF(F640="","",F640*IF(G640="",1,G640))</f>
        <v/>
      </c>
      <c r="I640" s="9" t="n"/>
      <c r="J640" s="9" t="n"/>
    </row>
    <row r="641" ht="22" customHeight="1">
      <c r="A641" s="9" t="n"/>
      <c r="B641" s="9" t="n"/>
      <c r="C641" s="9" t="n"/>
      <c r="D641" s="9" t="n"/>
      <c r="E641" s="9" t="n"/>
      <c r="F641" s="10" t="n"/>
      <c r="G641" s="10" t="n"/>
      <c r="H641" s="10">
        <f>IF(F641="","",F641*IF(G641="",1,G641))</f>
        <v/>
      </c>
      <c r="I641" s="9" t="n"/>
      <c r="J641" s="9" t="n"/>
    </row>
    <row r="642" ht="22" customHeight="1">
      <c r="A642" s="9" t="n"/>
      <c r="B642" s="9" t="n"/>
      <c r="C642" s="9" t="n"/>
      <c r="D642" s="9" t="n"/>
      <c r="E642" s="9" t="n"/>
      <c r="F642" s="10" t="n"/>
      <c r="G642" s="10" t="n"/>
      <c r="H642" s="10">
        <f>IF(F642="","",F642*IF(G642="",1,G642))</f>
        <v/>
      </c>
      <c r="I642" s="9" t="n"/>
      <c r="J642" s="9" t="n"/>
    </row>
    <row r="643" ht="22" customHeight="1">
      <c r="A643" s="9" t="n"/>
      <c r="B643" s="9" t="n"/>
      <c r="C643" s="9" t="n"/>
      <c r="D643" s="9" t="n"/>
      <c r="E643" s="9" t="n"/>
      <c r="F643" s="10" t="n"/>
      <c r="G643" s="10" t="n"/>
      <c r="H643" s="10">
        <f>IF(F643="","",F643*IF(G643="",1,G643))</f>
        <v/>
      </c>
      <c r="I643" s="9" t="n"/>
      <c r="J643" s="9" t="n"/>
    </row>
    <row r="644" ht="22" customHeight="1">
      <c r="A644" s="9" t="n"/>
      <c r="B644" s="9" t="n"/>
      <c r="C644" s="9" t="n"/>
      <c r="D644" s="9" t="n"/>
      <c r="E644" s="9" t="n"/>
      <c r="F644" s="10" t="n"/>
      <c r="G644" s="10" t="n"/>
      <c r="H644" s="10">
        <f>IF(F644="","",F644*IF(G644="",1,G644))</f>
        <v/>
      </c>
      <c r="I644" s="9" t="n"/>
      <c r="J644" s="9" t="n"/>
    </row>
    <row r="645" ht="22" customHeight="1">
      <c r="A645" s="9" t="n"/>
      <c r="B645" s="9" t="n"/>
      <c r="C645" s="9" t="n"/>
      <c r="D645" s="9" t="n"/>
      <c r="E645" s="9" t="n"/>
      <c r="F645" s="10" t="n"/>
      <c r="G645" s="10" t="n"/>
      <c r="H645" s="10">
        <f>IF(F645="","",F645*IF(G645="",1,G645))</f>
        <v/>
      </c>
      <c r="I645" s="9" t="n"/>
      <c r="J645" s="9" t="n"/>
    </row>
    <row r="646" ht="22" customHeight="1">
      <c r="A646" s="9" t="n"/>
      <c r="B646" s="9" t="n"/>
      <c r="C646" s="9" t="n"/>
      <c r="D646" s="9" t="n"/>
      <c r="E646" s="9" t="n"/>
      <c r="F646" s="10" t="n"/>
      <c r="G646" s="10" t="n"/>
      <c r="H646" s="10">
        <f>IF(F646="","",F646*IF(G646="",1,G646))</f>
        <v/>
      </c>
      <c r="I646" s="9" t="n"/>
      <c r="J646" s="9" t="n"/>
    </row>
    <row r="647" ht="22" customHeight="1">
      <c r="A647" s="9" t="n"/>
      <c r="B647" s="9" t="n"/>
      <c r="C647" s="9" t="n"/>
      <c r="D647" s="9" t="n"/>
      <c r="E647" s="9" t="n"/>
      <c r="F647" s="10" t="n"/>
      <c r="G647" s="10" t="n"/>
      <c r="H647" s="10">
        <f>IF(F647="","",F647*IF(G647="",1,G647))</f>
        <v/>
      </c>
      <c r="I647" s="9" t="n"/>
      <c r="J647" s="9" t="n"/>
    </row>
    <row r="648" ht="22" customHeight="1">
      <c r="A648" s="9" t="n"/>
      <c r="B648" s="9" t="n"/>
      <c r="C648" s="9" t="n"/>
      <c r="D648" s="9" t="n"/>
      <c r="E648" s="9" t="n"/>
      <c r="F648" s="10" t="n"/>
      <c r="G648" s="10" t="n"/>
      <c r="H648" s="10">
        <f>IF(F648="","",F648*IF(G648="",1,G648))</f>
        <v/>
      </c>
      <c r="I648" s="9" t="n"/>
      <c r="J648" s="9" t="n"/>
    </row>
    <row r="649" ht="22" customHeight="1">
      <c r="A649" s="9" t="n"/>
      <c r="B649" s="9" t="n"/>
      <c r="C649" s="9" t="n"/>
      <c r="D649" s="9" t="n"/>
      <c r="E649" s="9" t="n"/>
      <c r="F649" s="10" t="n"/>
      <c r="G649" s="10" t="n"/>
      <c r="H649" s="10">
        <f>IF(F649="","",F649*IF(G649="",1,G649))</f>
        <v/>
      </c>
      <c r="I649" s="9" t="n"/>
      <c r="J649" s="9" t="n"/>
    </row>
    <row r="650" ht="22" customHeight="1">
      <c r="A650" s="9" t="n"/>
      <c r="B650" s="9" t="n"/>
      <c r="C650" s="9" t="n"/>
      <c r="D650" s="9" t="n"/>
      <c r="E650" s="9" t="n"/>
      <c r="F650" s="10" t="n"/>
      <c r="G650" s="10" t="n"/>
      <c r="H650" s="10">
        <f>IF(F650="","",F650*IF(G650="",1,G650))</f>
        <v/>
      </c>
      <c r="I650" s="9" t="n"/>
      <c r="J650" s="9" t="n"/>
    </row>
    <row r="651" ht="22" customHeight="1">
      <c r="A651" s="9" t="n"/>
      <c r="B651" s="9" t="n"/>
      <c r="C651" s="9" t="n"/>
      <c r="D651" s="9" t="n"/>
      <c r="E651" s="9" t="n"/>
      <c r="F651" s="10" t="n"/>
      <c r="G651" s="10" t="n"/>
      <c r="H651" s="10">
        <f>IF(F651="","",F651*IF(G651="",1,G651))</f>
        <v/>
      </c>
      <c r="I651" s="9" t="n"/>
      <c r="J651" s="9" t="n"/>
    </row>
    <row r="652" ht="22" customHeight="1">
      <c r="A652" s="9" t="n"/>
      <c r="B652" s="9" t="n"/>
      <c r="C652" s="9" t="n"/>
      <c r="D652" s="9" t="n"/>
      <c r="E652" s="9" t="n"/>
      <c r="F652" s="10" t="n"/>
      <c r="G652" s="10" t="n"/>
      <c r="H652" s="10">
        <f>IF(F652="","",F652*IF(G652="",1,G652))</f>
        <v/>
      </c>
      <c r="I652" s="9" t="n"/>
      <c r="J652" s="9" t="n"/>
    </row>
    <row r="653" ht="22" customHeight="1">
      <c r="A653" s="9" t="n"/>
      <c r="B653" s="9" t="n"/>
      <c r="C653" s="9" t="n"/>
      <c r="D653" s="9" t="n"/>
      <c r="E653" s="9" t="n"/>
      <c r="F653" s="10" t="n"/>
      <c r="G653" s="10" t="n"/>
      <c r="H653" s="10">
        <f>IF(F653="","",F653*IF(G653="",1,G653))</f>
        <v/>
      </c>
      <c r="I653" s="9" t="n"/>
      <c r="J653" s="9" t="n"/>
    </row>
    <row r="654" ht="22" customHeight="1">
      <c r="A654" s="9" t="n"/>
      <c r="B654" s="9" t="n"/>
      <c r="C654" s="9" t="n"/>
      <c r="D654" s="9" t="n"/>
      <c r="E654" s="9" t="n"/>
      <c r="F654" s="10" t="n"/>
      <c r="G654" s="10" t="n"/>
      <c r="H654" s="10">
        <f>IF(F654="","",F654*IF(G654="",1,G654))</f>
        <v/>
      </c>
      <c r="I654" s="9" t="n"/>
      <c r="J654" s="9" t="n"/>
    </row>
    <row r="655" ht="22" customHeight="1">
      <c r="A655" s="9" t="n"/>
      <c r="B655" s="9" t="n"/>
      <c r="C655" s="9" t="n"/>
      <c r="D655" s="9" t="n"/>
      <c r="E655" s="9" t="n"/>
      <c r="F655" s="10" t="n"/>
      <c r="G655" s="10" t="n"/>
      <c r="H655" s="10">
        <f>IF(F655="","",F655*IF(G655="",1,G655))</f>
        <v/>
      </c>
      <c r="I655" s="9" t="n"/>
      <c r="J655" s="9" t="n"/>
    </row>
    <row r="656" ht="22" customHeight="1">
      <c r="A656" s="9" t="n"/>
      <c r="B656" s="9" t="n"/>
      <c r="C656" s="9" t="n"/>
      <c r="D656" s="9" t="n"/>
      <c r="E656" s="9" t="n"/>
      <c r="F656" s="10" t="n"/>
      <c r="G656" s="10" t="n"/>
      <c r="H656" s="10">
        <f>IF(F656="","",F656*IF(G656="",1,G656))</f>
        <v/>
      </c>
      <c r="I656" s="9" t="n"/>
      <c r="J656" s="9" t="n"/>
    </row>
    <row r="657" ht="22" customHeight="1">
      <c r="A657" s="9" t="n"/>
      <c r="B657" s="9" t="n"/>
      <c r="C657" s="9" t="n"/>
      <c r="D657" s="9" t="n"/>
      <c r="E657" s="9" t="n"/>
      <c r="F657" s="10" t="n"/>
      <c r="G657" s="10" t="n"/>
      <c r="H657" s="10">
        <f>IF(F657="","",F657*IF(G657="",1,G657))</f>
        <v/>
      </c>
      <c r="I657" s="9" t="n"/>
      <c r="J657" s="9" t="n"/>
    </row>
    <row r="658" ht="22" customHeight="1">
      <c r="A658" s="9" t="n"/>
      <c r="B658" s="9" t="n"/>
      <c r="C658" s="9" t="n"/>
      <c r="D658" s="9" t="n"/>
      <c r="E658" s="9" t="n"/>
      <c r="F658" s="10" t="n"/>
      <c r="G658" s="10" t="n"/>
      <c r="H658" s="10">
        <f>IF(F658="","",F658*IF(G658="",1,G658))</f>
        <v/>
      </c>
      <c r="I658" s="9" t="n"/>
      <c r="J658" s="9" t="n"/>
    </row>
    <row r="659" ht="22" customHeight="1">
      <c r="A659" s="9" t="n"/>
      <c r="B659" s="9" t="n"/>
      <c r="C659" s="9" t="n"/>
      <c r="D659" s="9" t="n"/>
      <c r="E659" s="9" t="n"/>
      <c r="F659" s="10" t="n"/>
      <c r="G659" s="10" t="n"/>
      <c r="H659" s="10">
        <f>IF(F659="","",F659*IF(G659="",1,G659))</f>
        <v/>
      </c>
      <c r="I659" s="9" t="n"/>
      <c r="J659" s="9" t="n"/>
    </row>
    <row r="660" ht="22" customHeight="1">
      <c r="A660" s="9" t="n"/>
      <c r="B660" s="9" t="n"/>
      <c r="C660" s="9" t="n"/>
      <c r="D660" s="9" t="n"/>
      <c r="E660" s="9" t="n"/>
      <c r="F660" s="10" t="n"/>
      <c r="G660" s="10" t="n"/>
      <c r="H660" s="10">
        <f>IF(F660="","",F660*IF(G660="",1,G660))</f>
        <v/>
      </c>
      <c r="I660" s="9" t="n"/>
      <c r="J660" s="9" t="n"/>
    </row>
    <row r="661" ht="22" customHeight="1">
      <c r="A661" s="9" t="n"/>
      <c r="B661" s="9" t="n"/>
      <c r="C661" s="9" t="n"/>
      <c r="D661" s="9" t="n"/>
      <c r="E661" s="9" t="n"/>
      <c r="F661" s="10" t="n"/>
      <c r="G661" s="10" t="n"/>
      <c r="H661" s="10">
        <f>IF(F661="","",F661*IF(G661="",1,G661))</f>
        <v/>
      </c>
      <c r="I661" s="9" t="n"/>
      <c r="J661" s="9" t="n"/>
    </row>
    <row r="662" ht="22" customHeight="1">
      <c r="A662" s="9" t="n"/>
      <c r="B662" s="9" t="n"/>
      <c r="C662" s="9" t="n"/>
      <c r="D662" s="9" t="n"/>
      <c r="E662" s="9" t="n"/>
      <c r="F662" s="10" t="n"/>
      <c r="G662" s="10" t="n"/>
      <c r="H662" s="10">
        <f>IF(F662="","",F662*IF(G662="",1,G662))</f>
        <v/>
      </c>
      <c r="I662" s="9" t="n"/>
      <c r="J662" s="9" t="n"/>
    </row>
    <row r="663" ht="22" customHeight="1">
      <c r="A663" s="9" t="n"/>
      <c r="B663" s="9" t="n"/>
      <c r="C663" s="9" t="n"/>
      <c r="D663" s="9" t="n"/>
      <c r="E663" s="9" t="n"/>
      <c r="F663" s="10" t="n"/>
      <c r="G663" s="10" t="n"/>
      <c r="H663" s="10">
        <f>IF(F663="","",F663*IF(G663="",1,G663))</f>
        <v/>
      </c>
      <c r="I663" s="9" t="n"/>
      <c r="J663" s="9" t="n"/>
    </row>
    <row r="664" ht="22" customHeight="1">
      <c r="A664" s="9" t="n"/>
      <c r="B664" s="9" t="n"/>
      <c r="C664" s="9" t="n"/>
      <c r="D664" s="9" t="n"/>
      <c r="E664" s="9" t="n"/>
      <c r="F664" s="10" t="n"/>
      <c r="G664" s="10" t="n"/>
      <c r="H664" s="10">
        <f>IF(F664="","",F664*IF(G664="",1,G664))</f>
        <v/>
      </c>
      <c r="I664" s="9" t="n"/>
      <c r="J664" s="9" t="n"/>
    </row>
    <row r="665" ht="22" customHeight="1">
      <c r="A665" s="9" t="n"/>
      <c r="B665" s="9" t="n"/>
      <c r="C665" s="9" t="n"/>
      <c r="D665" s="9" t="n"/>
      <c r="E665" s="9" t="n"/>
      <c r="F665" s="10" t="n"/>
      <c r="G665" s="10" t="n"/>
      <c r="H665" s="10">
        <f>IF(F665="","",F665*IF(G665="",1,G665))</f>
        <v/>
      </c>
      <c r="I665" s="9" t="n"/>
      <c r="J665" s="9" t="n"/>
    </row>
    <row r="666" ht="22" customHeight="1">
      <c r="A666" s="9" t="n"/>
      <c r="B666" s="9" t="n"/>
      <c r="C666" s="9" t="n"/>
      <c r="D666" s="9" t="n"/>
      <c r="E666" s="9" t="n"/>
      <c r="F666" s="10" t="n"/>
      <c r="G666" s="10" t="n"/>
      <c r="H666" s="10">
        <f>IF(F666="","",F666*IF(G666="",1,G666))</f>
        <v/>
      </c>
      <c r="I666" s="9" t="n"/>
      <c r="J666" s="9" t="n"/>
    </row>
    <row r="667" ht="22" customHeight="1">
      <c r="A667" s="9" t="n"/>
      <c r="B667" s="9" t="n"/>
      <c r="C667" s="9" t="n"/>
      <c r="D667" s="9" t="n"/>
      <c r="E667" s="9" t="n"/>
      <c r="F667" s="10" t="n"/>
      <c r="G667" s="10" t="n"/>
      <c r="H667" s="10">
        <f>IF(F667="","",F667*IF(G667="",1,G667))</f>
        <v/>
      </c>
      <c r="I667" s="9" t="n"/>
      <c r="J667" s="9" t="n"/>
    </row>
    <row r="668" ht="22" customHeight="1">
      <c r="A668" s="9" t="n"/>
      <c r="B668" s="9" t="n"/>
      <c r="C668" s="9" t="n"/>
      <c r="D668" s="9" t="n"/>
      <c r="E668" s="9" t="n"/>
      <c r="F668" s="10" t="n"/>
      <c r="G668" s="10" t="n"/>
      <c r="H668" s="10">
        <f>IF(F668="","",F668*IF(G668="",1,G668))</f>
        <v/>
      </c>
      <c r="I668" s="9" t="n"/>
      <c r="J668" s="9" t="n"/>
    </row>
    <row r="669" ht="22" customHeight="1">
      <c r="A669" s="9" t="n"/>
      <c r="B669" s="9" t="n"/>
      <c r="C669" s="9" t="n"/>
      <c r="D669" s="9" t="n"/>
      <c r="E669" s="9" t="n"/>
      <c r="F669" s="10" t="n"/>
      <c r="G669" s="10" t="n"/>
      <c r="H669" s="10">
        <f>IF(F669="","",F669*IF(G669="",1,G669))</f>
        <v/>
      </c>
      <c r="I669" s="9" t="n"/>
      <c r="J669" s="9" t="n"/>
    </row>
    <row r="670" ht="22" customHeight="1">
      <c r="A670" s="9" t="n"/>
      <c r="B670" s="9" t="n"/>
      <c r="C670" s="9" t="n"/>
      <c r="D670" s="9" t="n"/>
      <c r="E670" s="9" t="n"/>
      <c r="F670" s="10" t="n"/>
      <c r="G670" s="10" t="n"/>
      <c r="H670" s="10">
        <f>IF(F670="","",F670*IF(G670="",1,G670))</f>
        <v/>
      </c>
      <c r="I670" s="9" t="n"/>
      <c r="J670" s="9" t="n"/>
    </row>
    <row r="671" ht="22" customHeight="1">
      <c r="A671" s="9" t="n"/>
      <c r="B671" s="9" t="n"/>
      <c r="C671" s="9" t="n"/>
      <c r="D671" s="9" t="n"/>
      <c r="E671" s="9" t="n"/>
      <c r="F671" s="10" t="n"/>
      <c r="G671" s="10" t="n"/>
      <c r="H671" s="10">
        <f>IF(F671="","",F671*IF(G671="",1,G671))</f>
        <v/>
      </c>
      <c r="I671" s="9" t="n"/>
      <c r="J671" s="9" t="n"/>
    </row>
    <row r="672" ht="22" customHeight="1">
      <c r="A672" s="9" t="n"/>
      <c r="B672" s="9" t="n"/>
      <c r="C672" s="9" t="n"/>
      <c r="D672" s="9" t="n"/>
      <c r="E672" s="9" t="n"/>
      <c r="F672" s="10" t="n"/>
      <c r="G672" s="10" t="n"/>
      <c r="H672" s="10">
        <f>IF(F672="","",F672*IF(G672="",1,G672))</f>
        <v/>
      </c>
      <c r="I672" s="9" t="n"/>
      <c r="J672" s="9" t="n"/>
    </row>
    <row r="673" ht="22" customHeight="1">
      <c r="A673" s="9" t="n"/>
      <c r="B673" s="9" t="n"/>
      <c r="C673" s="9" t="n"/>
      <c r="D673" s="9" t="n"/>
      <c r="E673" s="9" t="n"/>
      <c r="F673" s="10" t="n"/>
      <c r="G673" s="10" t="n"/>
      <c r="H673" s="10">
        <f>IF(F673="","",F673*IF(G673="",1,G673))</f>
        <v/>
      </c>
      <c r="I673" s="9" t="n"/>
      <c r="J673" s="9" t="n"/>
    </row>
    <row r="674" ht="22" customHeight="1">
      <c r="A674" s="9" t="n"/>
      <c r="B674" s="9" t="n"/>
      <c r="C674" s="9" t="n"/>
      <c r="D674" s="9" t="n"/>
      <c r="E674" s="9" t="n"/>
      <c r="F674" s="10" t="n"/>
      <c r="G674" s="10" t="n"/>
      <c r="H674" s="10">
        <f>IF(F674="","",F674*IF(G674="",1,G674))</f>
        <v/>
      </c>
      <c r="I674" s="9" t="n"/>
      <c r="J674" s="9" t="n"/>
    </row>
    <row r="675" ht="22" customHeight="1">
      <c r="A675" s="9" t="n"/>
      <c r="B675" s="9" t="n"/>
      <c r="C675" s="9" t="n"/>
      <c r="D675" s="9" t="n"/>
      <c r="E675" s="9" t="n"/>
      <c r="F675" s="10" t="n"/>
      <c r="G675" s="10" t="n"/>
      <c r="H675" s="10">
        <f>IF(F675="","",F675*IF(G675="",1,G675))</f>
        <v/>
      </c>
      <c r="I675" s="9" t="n"/>
      <c r="J675" s="9" t="n"/>
    </row>
    <row r="676" ht="22" customHeight="1">
      <c r="A676" s="9" t="n"/>
      <c r="B676" s="9" t="n"/>
      <c r="C676" s="9" t="n"/>
      <c r="D676" s="9" t="n"/>
      <c r="E676" s="9" t="n"/>
      <c r="F676" s="10" t="n"/>
      <c r="G676" s="10" t="n"/>
      <c r="H676" s="10">
        <f>IF(F676="","",F676*IF(G676="",1,G676))</f>
        <v/>
      </c>
      <c r="I676" s="9" t="n"/>
      <c r="J676" s="9" t="n"/>
    </row>
    <row r="677" ht="22" customHeight="1">
      <c r="A677" s="9" t="n"/>
      <c r="B677" s="9" t="n"/>
      <c r="C677" s="9" t="n"/>
      <c r="D677" s="9" t="n"/>
      <c r="E677" s="9" t="n"/>
      <c r="F677" s="10" t="n"/>
      <c r="G677" s="10" t="n"/>
      <c r="H677" s="10">
        <f>IF(F677="","",F677*IF(G677="",1,G677))</f>
        <v/>
      </c>
      <c r="I677" s="9" t="n"/>
      <c r="J677" s="9" t="n"/>
    </row>
    <row r="678" ht="22" customHeight="1">
      <c r="A678" s="9" t="n"/>
      <c r="B678" s="9" t="n"/>
      <c r="C678" s="9" t="n"/>
      <c r="D678" s="9" t="n"/>
      <c r="E678" s="9" t="n"/>
      <c r="F678" s="10" t="n"/>
      <c r="G678" s="10" t="n"/>
      <c r="H678" s="10">
        <f>IF(F678="","",F678*IF(G678="",1,G678))</f>
        <v/>
      </c>
      <c r="I678" s="9" t="n"/>
      <c r="J678" s="9" t="n"/>
    </row>
    <row r="679" ht="22" customHeight="1">
      <c r="A679" s="9" t="n"/>
      <c r="B679" s="9" t="n"/>
      <c r="C679" s="9" t="n"/>
      <c r="D679" s="9" t="n"/>
      <c r="E679" s="9" t="n"/>
      <c r="F679" s="10" t="n"/>
      <c r="G679" s="10" t="n"/>
      <c r="H679" s="10">
        <f>IF(F679="","",F679*IF(G679="",1,G679))</f>
        <v/>
      </c>
      <c r="I679" s="9" t="n"/>
      <c r="J679" s="9" t="n"/>
    </row>
    <row r="680" ht="22" customHeight="1">
      <c r="A680" s="9" t="n"/>
      <c r="B680" s="9" t="n"/>
      <c r="C680" s="9" t="n"/>
      <c r="D680" s="9" t="n"/>
      <c r="E680" s="9" t="n"/>
      <c r="F680" s="10" t="n"/>
      <c r="G680" s="10" t="n"/>
      <c r="H680" s="10">
        <f>IF(F680="","",F680*IF(G680="",1,G680))</f>
        <v/>
      </c>
      <c r="I680" s="9" t="n"/>
      <c r="J680" s="9" t="n"/>
    </row>
    <row r="681" ht="22" customHeight="1">
      <c r="A681" s="9" t="n"/>
      <c r="B681" s="9" t="n"/>
      <c r="C681" s="9" t="n"/>
      <c r="D681" s="9" t="n"/>
      <c r="E681" s="9" t="n"/>
      <c r="F681" s="10" t="n"/>
      <c r="G681" s="10" t="n"/>
      <c r="H681" s="10">
        <f>IF(F681="","",F681*IF(G681="",1,G681))</f>
        <v/>
      </c>
      <c r="I681" s="9" t="n"/>
      <c r="J681" s="9" t="n"/>
    </row>
    <row r="682" ht="22" customHeight="1">
      <c r="A682" s="9" t="n"/>
      <c r="B682" s="9" t="n"/>
      <c r="C682" s="9" t="n"/>
      <c r="D682" s="9" t="n"/>
      <c r="E682" s="9" t="n"/>
      <c r="F682" s="10" t="n"/>
      <c r="G682" s="10" t="n"/>
      <c r="H682" s="10">
        <f>IF(F682="","",F682*IF(G682="",1,G682))</f>
        <v/>
      </c>
      <c r="I682" s="9" t="n"/>
      <c r="J682" s="9" t="n"/>
    </row>
    <row r="683" ht="22" customHeight="1">
      <c r="A683" s="9" t="n"/>
      <c r="B683" s="9" t="n"/>
      <c r="C683" s="9" t="n"/>
      <c r="D683" s="9" t="n"/>
      <c r="E683" s="9" t="n"/>
      <c r="F683" s="10" t="n"/>
      <c r="G683" s="10" t="n"/>
      <c r="H683" s="10">
        <f>IF(F683="","",F683*IF(G683="",1,G683))</f>
        <v/>
      </c>
      <c r="I683" s="9" t="n"/>
      <c r="J683" s="9" t="n"/>
    </row>
    <row r="684" ht="22" customHeight="1">
      <c r="A684" s="9" t="n"/>
      <c r="B684" s="9" t="n"/>
      <c r="C684" s="9" t="n"/>
      <c r="D684" s="9" t="n"/>
      <c r="E684" s="9" t="n"/>
      <c r="F684" s="10" t="n"/>
      <c r="G684" s="10" t="n"/>
      <c r="H684" s="10">
        <f>IF(F684="","",F684*IF(G684="",1,G684))</f>
        <v/>
      </c>
      <c r="I684" s="9" t="n"/>
      <c r="J684" s="9" t="n"/>
    </row>
    <row r="685" ht="22" customHeight="1">
      <c r="A685" s="9" t="n"/>
      <c r="B685" s="9" t="n"/>
      <c r="C685" s="9" t="n"/>
      <c r="D685" s="9" t="n"/>
      <c r="E685" s="9" t="n"/>
      <c r="F685" s="10" t="n"/>
      <c r="G685" s="10" t="n"/>
      <c r="H685" s="10">
        <f>IF(F685="","",F685*IF(G685="",1,G685))</f>
        <v/>
      </c>
      <c r="I685" s="9" t="n"/>
      <c r="J685" s="9" t="n"/>
    </row>
    <row r="686" ht="22" customHeight="1">
      <c r="A686" s="9" t="n"/>
      <c r="B686" s="9" t="n"/>
      <c r="C686" s="9" t="n"/>
      <c r="D686" s="9" t="n"/>
      <c r="E686" s="9" t="n"/>
      <c r="F686" s="10" t="n"/>
      <c r="G686" s="10" t="n"/>
      <c r="H686" s="10">
        <f>IF(F686="","",F686*IF(G686="",1,G686))</f>
        <v/>
      </c>
      <c r="I686" s="9" t="n"/>
      <c r="J686" s="9" t="n"/>
    </row>
    <row r="687" ht="22" customHeight="1">
      <c r="A687" s="9" t="n"/>
      <c r="B687" s="9" t="n"/>
      <c r="C687" s="9" t="n"/>
      <c r="D687" s="9" t="n"/>
      <c r="E687" s="9" t="n"/>
      <c r="F687" s="10" t="n"/>
      <c r="G687" s="10" t="n"/>
      <c r="H687" s="10">
        <f>IF(F687="","",F687*IF(G687="",1,G687))</f>
        <v/>
      </c>
      <c r="I687" s="9" t="n"/>
      <c r="J687" s="9" t="n"/>
    </row>
    <row r="688" ht="22" customHeight="1">
      <c r="A688" s="9" t="n"/>
      <c r="B688" s="9" t="n"/>
      <c r="C688" s="9" t="n"/>
      <c r="D688" s="9" t="n"/>
      <c r="E688" s="9" t="n"/>
      <c r="F688" s="10" t="n"/>
      <c r="G688" s="10" t="n"/>
      <c r="H688" s="10">
        <f>IF(F688="","",F688*IF(G688="",1,G688))</f>
        <v/>
      </c>
      <c r="I688" s="9" t="n"/>
      <c r="J688" s="9" t="n"/>
    </row>
    <row r="689" ht="22" customHeight="1">
      <c r="A689" s="9" t="n"/>
      <c r="B689" s="9" t="n"/>
      <c r="C689" s="9" t="n"/>
      <c r="D689" s="9" t="n"/>
      <c r="E689" s="9" t="n"/>
      <c r="F689" s="10" t="n"/>
      <c r="G689" s="10" t="n"/>
      <c r="H689" s="10">
        <f>IF(F689="","",F689*IF(G689="",1,G689))</f>
        <v/>
      </c>
      <c r="I689" s="9" t="n"/>
      <c r="J689" s="9" t="n"/>
    </row>
    <row r="690" ht="22" customHeight="1">
      <c r="A690" s="9" t="n"/>
      <c r="B690" s="9" t="n"/>
      <c r="C690" s="9" t="n"/>
      <c r="D690" s="9" t="n"/>
      <c r="E690" s="9" t="n"/>
      <c r="F690" s="10" t="n"/>
      <c r="G690" s="10" t="n"/>
      <c r="H690" s="10">
        <f>IF(F690="","",F690*IF(G690="",1,G690))</f>
        <v/>
      </c>
      <c r="I690" s="9" t="n"/>
      <c r="J690" s="9" t="n"/>
    </row>
    <row r="691" ht="22" customHeight="1">
      <c r="A691" s="9" t="n"/>
      <c r="B691" s="9" t="n"/>
      <c r="C691" s="9" t="n"/>
      <c r="D691" s="9" t="n"/>
      <c r="E691" s="9" t="n"/>
      <c r="F691" s="10" t="n"/>
      <c r="G691" s="10" t="n"/>
      <c r="H691" s="10">
        <f>IF(F691="","",F691*IF(G691="",1,G691))</f>
        <v/>
      </c>
      <c r="I691" s="9" t="n"/>
      <c r="J691" s="9" t="n"/>
    </row>
    <row r="692" ht="22" customHeight="1">
      <c r="A692" s="9" t="n"/>
      <c r="B692" s="9" t="n"/>
      <c r="C692" s="9" t="n"/>
      <c r="D692" s="9" t="n"/>
      <c r="E692" s="9" t="n"/>
      <c r="F692" s="10" t="n"/>
      <c r="G692" s="10" t="n"/>
      <c r="H692" s="10">
        <f>IF(F692="","",F692*IF(G692="",1,G692))</f>
        <v/>
      </c>
      <c r="I692" s="9" t="n"/>
      <c r="J692" s="9" t="n"/>
    </row>
    <row r="693" ht="22" customHeight="1">
      <c r="A693" s="9" t="n"/>
      <c r="B693" s="9" t="n"/>
      <c r="C693" s="9" t="n"/>
      <c r="D693" s="9" t="n"/>
      <c r="E693" s="9" t="n"/>
      <c r="F693" s="10" t="n"/>
      <c r="G693" s="10" t="n"/>
      <c r="H693" s="10">
        <f>IF(F693="","",F693*IF(G693="",1,G693))</f>
        <v/>
      </c>
      <c r="I693" s="9" t="n"/>
      <c r="J693" s="9" t="n"/>
    </row>
    <row r="694" ht="22" customHeight="1">
      <c r="A694" s="9" t="n"/>
      <c r="B694" s="9" t="n"/>
      <c r="C694" s="9" t="n"/>
      <c r="D694" s="9" t="n"/>
      <c r="E694" s="9" t="n"/>
      <c r="F694" s="10" t="n"/>
      <c r="G694" s="10" t="n"/>
      <c r="H694" s="10">
        <f>IF(F694="","",F694*IF(G694="",1,G694))</f>
        <v/>
      </c>
      <c r="I694" s="9" t="n"/>
      <c r="J694" s="9" t="n"/>
    </row>
    <row r="695" ht="22" customHeight="1">
      <c r="A695" s="9" t="n"/>
      <c r="B695" s="9" t="n"/>
      <c r="C695" s="9" t="n"/>
      <c r="D695" s="9" t="n"/>
      <c r="E695" s="9" t="n"/>
      <c r="F695" s="10" t="n"/>
      <c r="G695" s="10" t="n"/>
      <c r="H695" s="10">
        <f>IF(F695="","",F695*IF(G695="",1,G695))</f>
        <v/>
      </c>
      <c r="I695" s="9" t="n"/>
      <c r="J695" s="9" t="n"/>
    </row>
    <row r="696" ht="22" customHeight="1">
      <c r="A696" s="9" t="n"/>
      <c r="B696" s="9" t="n"/>
      <c r="C696" s="9" t="n"/>
      <c r="D696" s="9" t="n"/>
      <c r="E696" s="9" t="n"/>
      <c r="F696" s="10" t="n"/>
      <c r="G696" s="10" t="n"/>
      <c r="H696" s="10">
        <f>IF(F696="","",F696*IF(G696="",1,G696))</f>
        <v/>
      </c>
      <c r="I696" s="9" t="n"/>
      <c r="J696" s="9" t="n"/>
    </row>
    <row r="697" ht="22" customHeight="1">
      <c r="A697" s="9" t="n"/>
      <c r="B697" s="9" t="n"/>
      <c r="C697" s="9" t="n"/>
      <c r="D697" s="9" t="n"/>
      <c r="E697" s="9" t="n"/>
      <c r="F697" s="10" t="n"/>
      <c r="G697" s="10" t="n"/>
      <c r="H697" s="10">
        <f>IF(F697="","",F697*IF(G697="",1,G697))</f>
        <v/>
      </c>
      <c r="I697" s="9" t="n"/>
      <c r="J697" s="9" t="n"/>
    </row>
    <row r="698" ht="22" customHeight="1">
      <c r="A698" s="9" t="n"/>
      <c r="B698" s="9" t="n"/>
      <c r="C698" s="9" t="n"/>
      <c r="D698" s="9" t="n"/>
      <c r="E698" s="9" t="n"/>
      <c r="F698" s="10" t="n"/>
      <c r="G698" s="10" t="n"/>
      <c r="H698" s="10">
        <f>IF(F698="","",F698*IF(G698="",1,G698))</f>
        <v/>
      </c>
      <c r="I698" s="9" t="n"/>
      <c r="J698" s="9" t="n"/>
    </row>
    <row r="699" ht="22" customHeight="1">
      <c r="A699" s="9" t="n"/>
      <c r="B699" s="9" t="n"/>
      <c r="C699" s="9" t="n"/>
      <c r="D699" s="9" t="n"/>
      <c r="E699" s="9" t="n"/>
      <c r="F699" s="10" t="n"/>
      <c r="G699" s="10" t="n"/>
      <c r="H699" s="10">
        <f>IF(F699="","",F699*IF(G699="",1,G699))</f>
        <v/>
      </c>
      <c r="I699" s="9" t="n"/>
      <c r="J699" s="9" t="n"/>
    </row>
    <row r="700" ht="22" customHeight="1">
      <c r="A700" s="9" t="n"/>
      <c r="B700" s="9" t="n"/>
      <c r="C700" s="9" t="n"/>
      <c r="D700" s="9" t="n"/>
      <c r="E700" s="9" t="n"/>
      <c r="F700" s="10" t="n"/>
      <c r="G700" s="10" t="n"/>
      <c r="H700" s="10">
        <f>IF(F700="","",F700*IF(G700="",1,G700))</f>
        <v/>
      </c>
      <c r="I700" s="9" t="n"/>
      <c r="J700" s="9" t="n"/>
    </row>
    <row r="701" ht="22" customHeight="1">
      <c r="A701" s="9" t="n"/>
      <c r="B701" s="9" t="n"/>
      <c r="C701" s="9" t="n"/>
      <c r="D701" s="9" t="n"/>
      <c r="E701" s="9" t="n"/>
      <c r="F701" s="10" t="n"/>
      <c r="G701" s="10" t="n"/>
      <c r="H701" s="10">
        <f>IF(F701="","",F701*IF(G701="",1,G701))</f>
        <v/>
      </c>
      <c r="I701" s="9" t="n"/>
      <c r="J701" s="9" t="n"/>
    </row>
    <row r="702" ht="22" customHeight="1">
      <c r="A702" s="9" t="n"/>
      <c r="B702" s="9" t="n"/>
      <c r="C702" s="9" t="n"/>
      <c r="D702" s="9" t="n"/>
      <c r="E702" s="9" t="n"/>
      <c r="F702" s="10" t="n"/>
      <c r="G702" s="10" t="n"/>
      <c r="H702" s="10">
        <f>IF(F702="","",F702*IF(G702="",1,G702))</f>
        <v/>
      </c>
      <c r="I702" s="9" t="n"/>
      <c r="J702" s="9" t="n"/>
    </row>
    <row r="703" ht="22" customHeight="1">
      <c r="A703" s="9" t="n"/>
      <c r="B703" s="9" t="n"/>
      <c r="C703" s="9" t="n"/>
      <c r="D703" s="9" t="n"/>
      <c r="E703" s="9" t="n"/>
      <c r="F703" s="10" t="n"/>
      <c r="G703" s="10" t="n"/>
      <c r="H703" s="10">
        <f>IF(F703="","",F703*IF(G703="",1,G703))</f>
        <v/>
      </c>
      <c r="I703" s="9" t="n"/>
      <c r="J703" s="9" t="n"/>
    </row>
    <row r="704" ht="22" customHeight="1">
      <c r="A704" s="9" t="n"/>
      <c r="B704" s="9" t="n"/>
      <c r="C704" s="9" t="n"/>
      <c r="D704" s="9" t="n"/>
      <c r="E704" s="9" t="n"/>
      <c r="F704" s="10" t="n"/>
      <c r="G704" s="10" t="n"/>
      <c r="H704" s="10">
        <f>IF(F704="","",F704*IF(G704="",1,G704))</f>
        <v/>
      </c>
      <c r="I704" s="9" t="n"/>
      <c r="J704" s="9" t="n"/>
    </row>
    <row r="705" ht="22" customHeight="1">
      <c r="A705" s="9" t="n"/>
      <c r="B705" s="9" t="n"/>
      <c r="C705" s="9" t="n"/>
      <c r="D705" s="9" t="n"/>
      <c r="E705" s="9" t="n"/>
      <c r="F705" s="10" t="n"/>
      <c r="G705" s="10" t="n"/>
      <c r="H705" s="10">
        <f>IF(F705="","",F705*IF(G705="",1,G705))</f>
        <v/>
      </c>
      <c r="I705" s="9" t="n"/>
      <c r="J705" s="9" t="n"/>
    </row>
    <row r="706" ht="22" customHeight="1">
      <c r="A706" s="9" t="n"/>
      <c r="B706" s="9" t="n"/>
      <c r="C706" s="9" t="n"/>
      <c r="D706" s="9" t="n"/>
      <c r="E706" s="9" t="n"/>
      <c r="F706" s="10" t="n"/>
      <c r="G706" s="10" t="n"/>
      <c r="H706" s="10">
        <f>IF(F706="","",F706*IF(G706="",1,G706))</f>
        <v/>
      </c>
      <c r="I706" s="9" t="n"/>
      <c r="J706" s="9" t="n"/>
    </row>
    <row r="707" ht="22" customHeight="1">
      <c r="A707" s="9" t="n"/>
      <c r="B707" s="9" t="n"/>
      <c r="C707" s="9" t="n"/>
      <c r="D707" s="9" t="n"/>
      <c r="E707" s="9" t="n"/>
      <c r="F707" s="10" t="n"/>
      <c r="G707" s="10" t="n"/>
      <c r="H707" s="10">
        <f>IF(F707="","",F707*IF(G707="",1,G707))</f>
        <v/>
      </c>
      <c r="I707" s="9" t="n"/>
      <c r="J707" s="9" t="n"/>
    </row>
    <row r="708" ht="22" customHeight="1">
      <c r="A708" s="9" t="n"/>
      <c r="B708" s="9" t="n"/>
      <c r="C708" s="9" t="n"/>
      <c r="D708" s="9" t="n"/>
      <c r="E708" s="9" t="n"/>
      <c r="F708" s="10" t="n"/>
      <c r="G708" s="10" t="n"/>
      <c r="H708" s="10">
        <f>IF(F708="","",F708*IF(G708="",1,G708))</f>
        <v/>
      </c>
      <c r="I708" s="9" t="n"/>
      <c r="J708" s="9" t="n"/>
    </row>
    <row r="709" ht="22" customHeight="1">
      <c r="A709" s="9" t="n"/>
      <c r="B709" s="9" t="n"/>
      <c r="C709" s="9" t="n"/>
      <c r="D709" s="9" t="n"/>
      <c r="E709" s="9" t="n"/>
      <c r="F709" s="10" t="n"/>
      <c r="G709" s="10" t="n"/>
      <c r="H709" s="10">
        <f>IF(F709="","",F709*IF(G709="",1,G709))</f>
        <v/>
      </c>
      <c r="I709" s="9" t="n"/>
      <c r="J709" s="9" t="n"/>
    </row>
    <row r="710" ht="22" customHeight="1">
      <c r="A710" s="9" t="n"/>
      <c r="B710" s="9" t="n"/>
      <c r="C710" s="9" t="n"/>
      <c r="D710" s="9" t="n"/>
      <c r="E710" s="9" t="n"/>
      <c r="F710" s="10" t="n"/>
      <c r="G710" s="10" t="n"/>
      <c r="H710" s="10">
        <f>IF(F710="","",F710*IF(G710="",1,G710))</f>
        <v/>
      </c>
      <c r="I710" s="9" t="n"/>
      <c r="J710" s="9" t="n"/>
    </row>
    <row r="711" ht="22" customHeight="1">
      <c r="A711" s="9" t="n"/>
      <c r="B711" s="9" t="n"/>
      <c r="C711" s="9" t="n"/>
      <c r="D711" s="9" t="n"/>
      <c r="E711" s="9" t="n"/>
      <c r="F711" s="10" t="n"/>
      <c r="G711" s="10" t="n"/>
      <c r="H711" s="10">
        <f>IF(F711="","",F711*IF(G711="",1,G711))</f>
        <v/>
      </c>
      <c r="I711" s="9" t="n"/>
      <c r="J711" s="9" t="n"/>
    </row>
    <row r="712" ht="22" customHeight="1">
      <c r="A712" s="9" t="n"/>
      <c r="B712" s="9" t="n"/>
      <c r="C712" s="9" t="n"/>
      <c r="D712" s="9" t="n"/>
      <c r="E712" s="9" t="n"/>
      <c r="F712" s="10" t="n"/>
      <c r="G712" s="10" t="n"/>
      <c r="H712" s="10">
        <f>IF(F712="","",F712*IF(G712="",1,G712))</f>
        <v/>
      </c>
      <c r="I712" s="9" t="n"/>
      <c r="J712" s="9" t="n"/>
    </row>
    <row r="713" ht="22" customHeight="1">
      <c r="A713" s="9" t="n"/>
      <c r="B713" s="9" t="n"/>
      <c r="C713" s="9" t="n"/>
      <c r="D713" s="9" t="n"/>
      <c r="E713" s="9" t="n"/>
      <c r="F713" s="10" t="n"/>
      <c r="G713" s="10" t="n"/>
      <c r="H713" s="10">
        <f>IF(F713="","",F713*IF(G713="",1,G713))</f>
        <v/>
      </c>
      <c r="I713" s="9" t="n"/>
      <c r="J713" s="9" t="n"/>
    </row>
    <row r="714" ht="22" customHeight="1">
      <c r="A714" s="9" t="n"/>
      <c r="B714" s="9" t="n"/>
      <c r="C714" s="9" t="n"/>
      <c r="D714" s="9" t="n"/>
      <c r="E714" s="9" t="n"/>
      <c r="F714" s="10" t="n"/>
      <c r="G714" s="10" t="n"/>
      <c r="H714" s="10">
        <f>IF(F714="","",F714*IF(G714="",1,G714))</f>
        <v/>
      </c>
      <c r="I714" s="9" t="n"/>
      <c r="J714" s="9" t="n"/>
    </row>
    <row r="715" ht="22" customHeight="1">
      <c r="A715" s="9" t="n"/>
      <c r="B715" s="9" t="n"/>
      <c r="C715" s="9" t="n"/>
      <c r="D715" s="9" t="n"/>
      <c r="E715" s="9" t="n"/>
      <c r="F715" s="10" t="n"/>
      <c r="G715" s="10" t="n"/>
      <c r="H715" s="10">
        <f>IF(F715="","",F715*IF(G715="",1,G715))</f>
        <v/>
      </c>
      <c r="I715" s="9" t="n"/>
      <c r="J715" s="9" t="n"/>
    </row>
    <row r="716" ht="22" customHeight="1">
      <c r="A716" s="9" t="n"/>
      <c r="B716" s="9" t="n"/>
      <c r="C716" s="9" t="n"/>
      <c r="D716" s="9" t="n"/>
      <c r="E716" s="9" t="n"/>
      <c r="F716" s="10" t="n"/>
      <c r="G716" s="10" t="n"/>
      <c r="H716" s="10">
        <f>IF(F716="","",F716*IF(G716="",1,G716))</f>
        <v/>
      </c>
      <c r="I716" s="9" t="n"/>
      <c r="J716" s="9" t="n"/>
    </row>
    <row r="717" ht="22" customHeight="1">
      <c r="A717" s="9" t="n"/>
      <c r="B717" s="9" t="n"/>
      <c r="C717" s="9" t="n"/>
      <c r="D717" s="9" t="n"/>
      <c r="E717" s="9" t="n"/>
      <c r="F717" s="10" t="n"/>
      <c r="G717" s="10" t="n"/>
      <c r="H717" s="10">
        <f>IF(F717="","",F717*IF(G717="",1,G717))</f>
        <v/>
      </c>
      <c r="I717" s="9" t="n"/>
      <c r="J717" s="9" t="n"/>
    </row>
    <row r="718" ht="22" customHeight="1">
      <c r="A718" s="9" t="n"/>
      <c r="B718" s="9" t="n"/>
      <c r="C718" s="9" t="n"/>
      <c r="D718" s="9" t="n"/>
      <c r="E718" s="9" t="n"/>
      <c r="F718" s="10" t="n"/>
      <c r="G718" s="10" t="n"/>
      <c r="H718" s="10">
        <f>IF(F718="","",F718*IF(G718="",1,G718))</f>
        <v/>
      </c>
      <c r="I718" s="9" t="n"/>
      <c r="J718" s="9" t="n"/>
    </row>
    <row r="719" ht="22" customHeight="1">
      <c r="A719" s="9" t="n"/>
      <c r="B719" s="9" t="n"/>
      <c r="C719" s="9" t="n"/>
      <c r="D719" s="9" t="n"/>
      <c r="E719" s="9" t="n"/>
      <c r="F719" s="10" t="n"/>
      <c r="G719" s="10" t="n"/>
      <c r="H719" s="10">
        <f>IF(F719="","",F719*IF(G719="",1,G719))</f>
        <v/>
      </c>
      <c r="I719" s="9" t="n"/>
      <c r="J719" s="9" t="n"/>
    </row>
    <row r="720" ht="22" customHeight="1">
      <c r="A720" s="9" t="n"/>
      <c r="B720" s="9" t="n"/>
      <c r="C720" s="9" t="n"/>
      <c r="D720" s="9" t="n"/>
      <c r="E720" s="9" t="n"/>
      <c r="F720" s="10" t="n"/>
      <c r="G720" s="10" t="n"/>
      <c r="H720" s="10">
        <f>IF(F720="","",F720*IF(G720="",1,G720))</f>
        <v/>
      </c>
      <c r="I720" s="9" t="n"/>
      <c r="J720" s="9" t="n"/>
    </row>
    <row r="721" ht="22" customHeight="1">
      <c r="A721" s="9" t="n"/>
      <c r="B721" s="9" t="n"/>
      <c r="C721" s="9" t="n"/>
      <c r="D721" s="9" t="n"/>
      <c r="E721" s="9" t="n"/>
      <c r="F721" s="10" t="n"/>
      <c r="G721" s="10" t="n"/>
      <c r="H721" s="10">
        <f>IF(F721="","",F721*IF(G721="",1,G721))</f>
        <v/>
      </c>
      <c r="I721" s="9" t="n"/>
      <c r="J721" s="9" t="n"/>
    </row>
    <row r="722" ht="22" customHeight="1">
      <c r="A722" s="9" t="n"/>
      <c r="B722" s="9" t="n"/>
      <c r="C722" s="9" t="n"/>
      <c r="D722" s="9" t="n"/>
      <c r="E722" s="9" t="n"/>
      <c r="F722" s="10" t="n"/>
      <c r="G722" s="10" t="n"/>
      <c r="H722" s="10">
        <f>IF(F722="","",F722*IF(G722="",1,G722))</f>
        <v/>
      </c>
      <c r="I722" s="9" t="n"/>
      <c r="J722" s="9" t="n"/>
    </row>
    <row r="723" ht="22" customHeight="1">
      <c r="A723" s="9" t="n"/>
      <c r="B723" s="9" t="n"/>
      <c r="C723" s="9" t="n"/>
      <c r="D723" s="9" t="n"/>
      <c r="E723" s="9" t="n"/>
      <c r="F723" s="10" t="n"/>
      <c r="G723" s="10" t="n"/>
      <c r="H723" s="10">
        <f>IF(F723="","",F723*IF(G723="",1,G723))</f>
        <v/>
      </c>
      <c r="I723" s="9" t="n"/>
      <c r="J723" s="9" t="n"/>
    </row>
    <row r="724" ht="22" customHeight="1">
      <c r="A724" s="9" t="n"/>
      <c r="B724" s="9" t="n"/>
      <c r="C724" s="9" t="n"/>
      <c r="D724" s="9" t="n"/>
      <c r="E724" s="9" t="n"/>
      <c r="F724" s="10" t="n"/>
      <c r="G724" s="10" t="n"/>
      <c r="H724" s="10">
        <f>IF(F724="","",F724*IF(G724="",1,G724))</f>
        <v/>
      </c>
      <c r="I724" s="9" t="n"/>
      <c r="J724" s="9" t="n"/>
    </row>
    <row r="725" ht="22" customHeight="1">
      <c r="A725" s="9" t="n"/>
      <c r="B725" s="9" t="n"/>
      <c r="C725" s="9" t="n"/>
      <c r="D725" s="9" t="n"/>
      <c r="E725" s="9" t="n"/>
      <c r="F725" s="10" t="n"/>
      <c r="G725" s="10" t="n"/>
      <c r="H725" s="10">
        <f>IF(F725="","",F725*IF(G725="",1,G725))</f>
        <v/>
      </c>
      <c r="I725" s="9" t="n"/>
      <c r="J725" s="9" t="n"/>
    </row>
    <row r="726" ht="22" customHeight="1">
      <c r="A726" s="9" t="n"/>
      <c r="B726" s="9" t="n"/>
      <c r="C726" s="9" t="n"/>
      <c r="D726" s="9" t="n"/>
      <c r="E726" s="9" t="n"/>
      <c r="F726" s="10" t="n"/>
      <c r="G726" s="10" t="n"/>
      <c r="H726" s="10">
        <f>IF(F726="","",F726*IF(G726="",1,G726))</f>
        <v/>
      </c>
      <c r="I726" s="9" t="n"/>
      <c r="J726" s="9" t="n"/>
    </row>
    <row r="727" ht="22" customHeight="1">
      <c r="A727" s="9" t="n"/>
      <c r="B727" s="9" t="n"/>
      <c r="C727" s="9" t="n"/>
      <c r="D727" s="9" t="n"/>
      <c r="E727" s="9" t="n"/>
      <c r="F727" s="10" t="n"/>
      <c r="G727" s="10" t="n"/>
      <c r="H727" s="10">
        <f>IF(F727="","",F727*IF(G727="",1,G727))</f>
        <v/>
      </c>
      <c r="I727" s="9" t="n"/>
      <c r="J727" s="9" t="n"/>
    </row>
    <row r="728" ht="22" customHeight="1">
      <c r="A728" s="9" t="n"/>
      <c r="B728" s="9" t="n"/>
      <c r="C728" s="9" t="n"/>
      <c r="D728" s="9" t="n"/>
      <c r="E728" s="9" t="n"/>
      <c r="F728" s="10" t="n"/>
      <c r="G728" s="10" t="n"/>
      <c r="H728" s="10">
        <f>IF(F728="","",F728*IF(G728="",1,G728))</f>
        <v/>
      </c>
      <c r="I728" s="9" t="n"/>
      <c r="J728" s="9" t="n"/>
    </row>
    <row r="729" ht="22" customHeight="1">
      <c r="A729" s="9" t="n"/>
      <c r="B729" s="9" t="n"/>
      <c r="C729" s="9" t="n"/>
      <c r="D729" s="9" t="n"/>
      <c r="E729" s="9" t="n"/>
      <c r="F729" s="10" t="n"/>
      <c r="G729" s="10" t="n"/>
      <c r="H729" s="10">
        <f>IF(F729="","",F729*IF(G729="",1,G729))</f>
        <v/>
      </c>
      <c r="I729" s="9" t="n"/>
      <c r="J729" s="9" t="n"/>
    </row>
    <row r="730" ht="22" customHeight="1">
      <c r="A730" s="9" t="n"/>
      <c r="B730" s="9" t="n"/>
      <c r="C730" s="9" t="n"/>
      <c r="D730" s="9" t="n"/>
      <c r="E730" s="9" t="n"/>
      <c r="F730" s="10" t="n"/>
      <c r="G730" s="10" t="n"/>
      <c r="H730" s="10">
        <f>IF(F730="","",F730*IF(G730="",1,G730))</f>
        <v/>
      </c>
      <c r="I730" s="9" t="n"/>
      <c r="J730" s="9" t="n"/>
    </row>
    <row r="731" ht="22" customHeight="1">
      <c r="A731" s="9" t="n"/>
      <c r="B731" s="9" t="n"/>
      <c r="C731" s="9" t="n"/>
      <c r="D731" s="9" t="n"/>
      <c r="E731" s="9" t="n"/>
      <c r="F731" s="10" t="n"/>
      <c r="G731" s="10" t="n"/>
      <c r="H731" s="10">
        <f>IF(F731="","",F731*IF(G731="",1,G731))</f>
        <v/>
      </c>
      <c r="I731" s="9" t="n"/>
      <c r="J731" s="9" t="n"/>
    </row>
    <row r="732" ht="22" customHeight="1">
      <c r="A732" s="9" t="n"/>
      <c r="B732" s="9" t="n"/>
      <c r="C732" s="9" t="n"/>
      <c r="D732" s="9" t="n"/>
      <c r="E732" s="9" t="n"/>
      <c r="F732" s="10" t="n"/>
      <c r="G732" s="10" t="n"/>
      <c r="H732" s="10">
        <f>IF(F732="","",F732*IF(G732="",1,G732))</f>
        <v/>
      </c>
      <c r="I732" s="9" t="n"/>
      <c r="J732" s="9" t="n"/>
    </row>
    <row r="733" ht="22" customHeight="1">
      <c r="A733" s="9" t="n"/>
      <c r="B733" s="9" t="n"/>
      <c r="C733" s="9" t="n"/>
      <c r="D733" s="9" t="n"/>
      <c r="E733" s="9" t="n"/>
      <c r="F733" s="10" t="n"/>
      <c r="G733" s="10" t="n"/>
      <c r="H733" s="10">
        <f>IF(F733="","",F733*IF(G733="",1,G733))</f>
        <v/>
      </c>
      <c r="I733" s="9" t="n"/>
      <c r="J733" s="9" t="n"/>
    </row>
    <row r="734" ht="22" customHeight="1">
      <c r="A734" s="9" t="n"/>
      <c r="B734" s="9" t="n"/>
      <c r="C734" s="9" t="n"/>
      <c r="D734" s="9" t="n"/>
      <c r="E734" s="9" t="n"/>
      <c r="F734" s="10" t="n"/>
      <c r="G734" s="10" t="n"/>
      <c r="H734" s="10">
        <f>IF(F734="","",F734*IF(G734="",1,G734))</f>
        <v/>
      </c>
      <c r="I734" s="9" t="n"/>
      <c r="J734" s="9" t="n"/>
    </row>
    <row r="735" ht="22" customHeight="1">
      <c r="A735" s="9" t="n"/>
      <c r="B735" s="9" t="n"/>
      <c r="C735" s="9" t="n"/>
      <c r="D735" s="9" t="n"/>
      <c r="E735" s="9" t="n"/>
      <c r="F735" s="10" t="n"/>
      <c r="G735" s="10" t="n"/>
      <c r="H735" s="10">
        <f>IF(F735="","",F735*IF(G735="",1,G735))</f>
        <v/>
      </c>
      <c r="I735" s="9" t="n"/>
      <c r="J735" s="9" t="n"/>
    </row>
    <row r="736" ht="22" customHeight="1">
      <c r="A736" s="9" t="n"/>
      <c r="B736" s="9" t="n"/>
      <c r="C736" s="9" t="n"/>
      <c r="D736" s="9" t="n"/>
      <c r="E736" s="9" t="n"/>
      <c r="F736" s="10" t="n"/>
      <c r="G736" s="10" t="n"/>
      <c r="H736" s="10">
        <f>IF(F736="","",F736*IF(G736="",1,G736))</f>
        <v/>
      </c>
      <c r="I736" s="9" t="n"/>
      <c r="J736" s="9" t="n"/>
    </row>
    <row r="737" ht="22" customHeight="1">
      <c r="A737" s="9" t="n"/>
      <c r="B737" s="9" t="n"/>
      <c r="C737" s="9" t="n"/>
      <c r="D737" s="9" t="n"/>
      <c r="E737" s="9" t="n"/>
      <c r="F737" s="10" t="n"/>
      <c r="G737" s="10" t="n"/>
      <c r="H737" s="10">
        <f>IF(F737="","",F737*IF(G737="",1,G737))</f>
        <v/>
      </c>
      <c r="I737" s="9" t="n"/>
      <c r="J737" s="9" t="n"/>
    </row>
    <row r="738" ht="22" customHeight="1">
      <c r="A738" s="9" t="n"/>
      <c r="B738" s="9" t="n"/>
      <c r="C738" s="9" t="n"/>
      <c r="D738" s="9" t="n"/>
      <c r="E738" s="9" t="n"/>
      <c r="F738" s="10" t="n"/>
      <c r="G738" s="10" t="n"/>
      <c r="H738" s="10">
        <f>IF(F738="","",F738*IF(G738="",1,G738))</f>
        <v/>
      </c>
      <c r="I738" s="9" t="n"/>
      <c r="J738" s="9" t="n"/>
    </row>
    <row r="739" ht="22" customHeight="1">
      <c r="A739" s="9" t="n"/>
      <c r="B739" s="9" t="n"/>
      <c r="C739" s="9" t="n"/>
      <c r="D739" s="9" t="n"/>
      <c r="E739" s="9" t="n"/>
      <c r="F739" s="10" t="n"/>
      <c r="G739" s="10" t="n"/>
      <c r="H739" s="10">
        <f>IF(F739="","",F739*IF(G739="",1,G739))</f>
        <v/>
      </c>
      <c r="I739" s="9" t="n"/>
      <c r="J739" s="9" t="n"/>
    </row>
    <row r="740" ht="22" customHeight="1">
      <c r="A740" s="9" t="n"/>
      <c r="B740" s="9" t="n"/>
      <c r="C740" s="9" t="n"/>
      <c r="D740" s="9" t="n"/>
      <c r="E740" s="9" t="n"/>
      <c r="F740" s="10" t="n"/>
      <c r="G740" s="10" t="n"/>
      <c r="H740" s="10">
        <f>IF(F740="","",F740*IF(G740="",1,G740))</f>
        <v/>
      </c>
      <c r="I740" s="9" t="n"/>
      <c r="J740" s="9" t="n"/>
    </row>
    <row r="741" ht="22" customHeight="1">
      <c r="A741" s="9" t="n"/>
      <c r="B741" s="9" t="n"/>
      <c r="C741" s="9" t="n"/>
      <c r="D741" s="9" t="n"/>
      <c r="E741" s="9" t="n"/>
      <c r="F741" s="10" t="n"/>
      <c r="G741" s="10" t="n"/>
      <c r="H741" s="10">
        <f>IF(F741="","",F741*IF(G741="",1,G741))</f>
        <v/>
      </c>
      <c r="I741" s="9" t="n"/>
      <c r="J741" s="9" t="n"/>
    </row>
    <row r="742" ht="22" customHeight="1">
      <c r="A742" s="9" t="n"/>
      <c r="B742" s="9" t="n"/>
      <c r="C742" s="9" t="n"/>
      <c r="D742" s="9" t="n"/>
      <c r="E742" s="9" t="n"/>
      <c r="F742" s="10" t="n"/>
      <c r="G742" s="10" t="n"/>
      <c r="H742" s="10">
        <f>IF(F742="","",F742*IF(G742="",1,G742))</f>
        <v/>
      </c>
      <c r="I742" s="9" t="n"/>
      <c r="J742" s="9" t="n"/>
    </row>
    <row r="743" ht="22" customHeight="1">
      <c r="A743" s="9" t="n"/>
      <c r="B743" s="9" t="n"/>
      <c r="C743" s="9" t="n"/>
      <c r="D743" s="9" t="n"/>
      <c r="E743" s="9" t="n"/>
      <c r="F743" s="10" t="n"/>
      <c r="G743" s="10" t="n"/>
      <c r="H743" s="10">
        <f>IF(F743="","",F743*IF(G743="",1,G743))</f>
        <v/>
      </c>
      <c r="I743" s="9" t="n"/>
      <c r="J743" s="9" t="n"/>
    </row>
    <row r="744" ht="22" customHeight="1">
      <c r="A744" s="9" t="n"/>
      <c r="B744" s="9" t="n"/>
      <c r="C744" s="9" t="n"/>
      <c r="D744" s="9" t="n"/>
      <c r="E744" s="9" t="n"/>
      <c r="F744" s="10" t="n"/>
      <c r="G744" s="10" t="n"/>
      <c r="H744" s="10">
        <f>IF(F744="","",F744*IF(G744="",1,G744))</f>
        <v/>
      </c>
      <c r="I744" s="9" t="n"/>
      <c r="J744" s="9" t="n"/>
    </row>
    <row r="745" ht="22" customHeight="1">
      <c r="A745" s="9" t="n"/>
      <c r="B745" s="9" t="n"/>
      <c r="C745" s="9" t="n"/>
      <c r="D745" s="9" t="n"/>
      <c r="E745" s="9" t="n"/>
      <c r="F745" s="10" t="n"/>
      <c r="G745" s="10" t="n"/>
      <c r="H745" s="10">
        <f>IF(F745="","",F745*IF(G745="",1,G745))</f>
        <v/>
      </c>
      <c r="I745" s="9" t="n"/>
      <c r="J745" s="9" t="n"/>
    </row>
    <row r="746" ht="22" customHeight="1">
      <c r="A746" s="9" t="n"/>
      <c r="B746" s="9" t="n"/>
      <c r="C746" s="9" t="n"/>
      <c r="D746" s="9" t="n"/>
      <c r="E746" s="9" t="n"/>
      <c r="F746" s="10" t="n"/>
      <c r="G746" s="10" t="n"/>
      <c r="H746" s="10">
        <f>IF(F746="","",F746*IF(G746="",1,G746))</f>
        <v/>
      </c>
      <c r="I746" s="9" t="n"/>
      <c r="J746" s="9" t="n"/>
    </row>
    <row r="747" ht="22" customHeight="1">
      <c r="A747" s="9" t="n"/>
      <c r="B747" s="9" t="n"/>
      <c r="C747" s="9" t="n"/>
      <c r="D747" s="9" t="n"/>
      <c r="E747" s="9" t="n"/>
      <c r="F747" s="10" t="n"/>
      <c r="G747" s="10" t="n"/>
      <c r="H747" s="10">
        <f>IF(F747="","",F747*IF(G747="",1,G747))</f>
        <v/>
      </c>
      <c r="I747" s="9" t="n"/>
      <c r="J747" s="9" t="n"/>
    </row>
    <row r="748" ht="22" customHeight="1">
      <c r="A748" s="9" t="n"/>
      <c r="B748" s="9" t="n"/>
      <c r="C748" s="9" t="n"/>
      <c r="D748" s="9" t="n"/>
      <c r="E748" s="9" t="n"/>
      <c r="F748" s="10" t="n"/>
      <c r="G748" s="10" t="n"/>
      <c r="H748" s="10">
        <f>IF(F748="","",F748*IF(G748="",1,G748))</f>
        <v/>
      </c>
      <c r="I748" s="9" t="n"/>
      <c r="J748" s="9" t="n"/>
    </row>
    <row r="749" ht="22" customHeight="1">
      <c r="A749" s="9" t="n"/>
      <c r="B749" s="9" t="n"/>
      <c r="C749" s="9" t="n"/>
      <c r="D749" s="9" t="n"/>
      <c r="E749" s="9" t="n"/>
      <c r="F749" s="10" t="n"/>
      <c r="G749" s="10" t="n"/>
      <c r="H749" s="10">
        <f>IF(F749="","",F749*IF(G749="",1,G749))</f>
        <v/>
      </c>
      <c r="I749" s="9" t="n"/>
      <c r="J749" s="9" t="n"/>
    </row>
    <row r="750" ht="22" customHeight="1">
      <c r="A750" s="9" t="n"/>
      <c r="B750" s="9" t="n"/>
      <c r="C750" s="9" t="n"/>
      <c r="D750" s="9" t="n"/>
      <c r="E750" s="9" t="n"/>
      <c r="F750" s="10" t="n"/>
      <c r="G750" s="10" t="n"/>
      <c r="H750" s="10">
        <f>IF(F750="","",F750*IF(G750="",1,G750))</f>
        <v/>
      </c>
      <c r="I750" s="9" t="n"/>
      <c r="J750" s="9" t="n"/>
    </row>
    <row r="751" ht="22" customHeight="1">
      <c r="A751" s="9" t="n"/>
      <c r="B751" s="9" t="n"/>
      <c r="C751" s="9" t="n"/>
      <c r="D751" s="9" t="n"/>
      <c r="E751" s="9" t="n"/>
      <c r="F751" s="10" t="n"/>
      <c r="G751" s="10" t="n"/>
      <c r="H751" s="10">
        <f>IF(F751="","",F751*IF(G751="",1,G751))</f>
        <v/>
      </c>
      <c r="I751" s="9" t="n"/>
      <c r="J751" s="9" t="n"/>
    </row>
    <row r="752" ht="22" customHeight="1">
      <c r="A752" s="9" t="n"/>
      <c r="B752" s="9" t="n"/>
      <c r="C752" s="9" t="n"/>
      <c r="D752" s="9" t="n"/>
      <c r="E752" s="9" t="n"/>
      <c r="F752" s="10" t="n"/>
      <c r="G752" s="10" t="n"/>
      <c r="H752" s="10">
        <f>IF(F752="","",F752*IF(G752="",1,G752))</f>
        <v/>
      </c>
      <c r="I752" s="9" t="n"/>
      <c r="J752" s="9" t="n"/>
    </row>
    <row r="753" ht="22" customHeight="1">
      <c r="A753" s="9" t="n"/>
      <c r="B753" s="9" t="n"/>
      <c r="C753" s="9" t="n"/>
      <c r="D753" s="9" t="n"/>
      <c r="E753" s="9" t="n"/>
      <c r="F753" s="10" t="n"/>
      <c r="G753" s="10" t="n"/>
      <c r="H753" s="10">
        <f>IF(F753="","",F753*IF(G753="",1,G753))</f>
        <v/>
      </c>
      <c r="I753" s="9" t="n"/>
      <c r="J753" s="9" t="n"/>
    </row>
    <row r="754" ht="22" customHeight="1">
      <c r="A754" s="9" t="n"/>
      <c r="B754" s="9" t="n"/>
      <c r="C754" s="9" t="n"/>
      <c r="D754" s="9" t="n"/>
      <c r="E754" s="9" t="n"/>
      <c r="F754" s="10" t="n"/>
      <c r="G754" s="10" t="n"/>
      <c r="H754" s="10">
        <f>IF(F754="","",F754*IF(G754="",1,G754))</f>
        <v/>
      </c>
      <c r="I754" s="9" t="n"/>
      <c r="J754" s="9" t="n"/>
    </row>
    <row r="755" ht="22" customHeight="1">
      <c r="A755" s="9" t="n"/>
      <c r="B755" s="9" t="n"/>
      <c r="C755" s="9" t="n"/>
      <c r="D755" s="9" t="n"/>
      <c r="E755" s="9" t="n"/>
      <c r="F755" s="10" t="n"/>
      <c r="G755" s="10" t="n"/>
      <c r="H755" s="10">
        <f>IF(F755="","",F755*IF(G755="",1,G755))</f>
        <v/>
      </c>
      <c r="I755" s="9" t="n"/>
      <c r="J755" s="9" t="n"/>
    </row>
    <row r="756" ht="22" customHeight="1">
      <c r="A756" s="9" t="n"/>
      <c r="B756" s="9" t="n"/>
      <c r="C756" s="9" t="n"/>
      <c r="D756" s="9" t="n"/>
      <c r="E756" s="9" t="n"/>
      <c r="F756" s="10" t="n"/>
      <c r="G756" s="10" t="n"/>
      <c r="H756" s="10">
        <f>IF(F756="","",F756*IF(G756="",1,G756))</f>
        <v/>
      </c>
      <c r="I756" s="9" t="n"/>
      <c r="J756" s="9" t="n"/>
    </row>
    <row r="757" ht="22" customHeight="1">
      <c r="A757" s="9" t="n"/>
      <c r="B757" s="9" t="n"/>
      <c r="C757" s="9" t="n"/>
      <c r="D757" s="9" t="n"/>
      <c r="E757" s="9" t="n"/>
      <c r="F757" s="10" t="n"/>
      <c r="G757" s="10" t="n"/>
      <c r="H757" s="10">
        <f>IF(F757="","",F757*IF(G757="",1,G757))</f>
        <v/>
      </c>
      <c r="I757" s="9" t="n"/>
      <c r="J757" s="9" t="n"/>
    </row>
    <row r="758" ht="22" customHeight="1">
      <c r="A758" s="9" t="n"/>
      <c r="B758" s="9" t="n"/>
      <c r="C758" s="9" t="n"/>
      <c r="D758" s="9" t="n"/>
      <c r="E758" s="9" t="n"/>
      <c r="F758" s="10" t="n"/>
      <c r="G758" s="10" t="n"/>
      <c r="H758" s="10">
        <f>IF(F758="","",F758*IF(G758="",1,G758))</f>
        <v/>
      </c>
      <c r="I758" s="9" t="n"/>
      <c r="J758" s="9" t="n"/>
    </row>
    <row r="759" ht="22" customHeight="1">
      <c r="A759" s="9" t="n"/>
      <c r="B759" s="9" t="n"/>
      <c r="C759" s="9" t="n"/>
      <c r="D759" s="9" t="n"/>
      <c r="E759" s="9" t="n"/>
      <c r="F759" s="10" t="n"/>
      <c r="G759" s="10" t="n"/>
      <c r="H759" s="10">
        <f>IF(F759="","",F759*IF(G759="",1,G759))</f>
        <v/>
      </c>
      <c r="I759" s="9" t="n"/>
      <c r="J759" s="9" t="n"/>
    </row>
    <row r="760" ht="22" customHeight="1">
      <c r="A760" s="9" t="n"/>
      <c r="B760" s="9" t="n"/>
      <c r="C760" s="9" t="n"/>
      <c r="D760" s="9" t="n"/>
      <c r="E760" s="9" t="n"/>
      <c r="F760" s="10" t="n"/>
      <c r="G760" s="10" t="n"/>
      <c r="H760" s="10">
        <f>IF(F760="","",F760*IF(G760="",1,G760))</f>
        <v/>
      </c>
      <c r="I760" s="9" t="n"/>
      <c r="J760" s="9" t="n"/>
    </row>
    <row r="761" ht="22" customHeight="1">
      <c r="A761" s="9" t="n"/>
      <c r="B761" s="9" t="n"/>
      <c r="C761" s="9" t="n"/>
      <c r="D761" s="9" t="n"/>
      <c r="E761" s="9" t="n"/>
      <c r="F761" s="10" t="n"/>
      <c r="G761" s="10" t="n"/>
      <c r="H761" s="10">
        <f>IF(F761="","",F761*IF(G761="",1,G761))</f>
        <v/>
      </c>
      <c r="I761" s="9" t="n"/>
      <c r="J761" s="9" t="n"/>
    </row>
    <row r="762" ht="22" customHeight="1">
      <c r="A762" s="9" t="n"/>
      <c r="B762" s="9" t="n"/>
      <c r="C762" s="9" t="n"/>
      <c r="D762" s="9" t="n"/>
      <c r="E762" s="9" t="n"/>
      <c r="F762" s="10" t="n"/>
      <c r="G762" s="10" t="n"/>
      <c r="H762" s="10">
        <f>IF(F762="","",F762*IF(G762="",1,G762))</f>
        <v/>
      </c>
      <c r="I762" s="9" t="n"/>
      <c r="J762" s="9" t="n"/>
    </row>
    <row r="763" ht="22" customHeight="1">
      <c r="A763" s="9" t="n"/>
      <c r="B763" s="9" t="n"/>
      <c r="C763" s="9" t="n"/>
      <c r="D763" s="9" t="n"/>
      <c r="E763" s="9" t="n"/>
      <c r="F763" s="10" t="n"/>
      <c r="G763" s="10" t="n"/>
      <c r="H763" s="10">
        <f>IF(F763="","",F763*IF(G763="",1,G763))</f>
        <v/>
      </c>
      <c r="I763" s="9" t="n"/>
      <c r="J763" s="9" t="n"/>
    </row>
    <row r="764" ht="22" customHeight="1">
      <c r="A764" s="9" t="n"/>
      <c r="B764" s="9" t="n"/>
      <c r="C764" s="9" t="n"/>
      <c r="D764" s="9" t="n"/>
      <c r="E764" s="9" t="n"/>
      <c r="F764" s="10" t="n"/>
      <c r="G764" s="10" t="n"/>
      <c r="H764" s="10">
        <f>IF(F764="","",F764*IF(G764="",1,G764))</f>
        <v/>
      </c>
      <c r="I764" s="9" t="n"/>
      <c r="J764" s="9" t="n"/>
    </row>
    <row r="765" ht="22" customHeight="1">
      <c r="A765" s="9" t="n"/>
      <c r="B765" s="9" t="n"/>
      <c r="C765" s="9" t="n"/>
      <c r="D765" s="9" t="n"/>
      <c r="E765" s="9" t="n"/>
      <c r="F765" s="10" t="n"/>
      <c r="G765" s="10" t="n"/>
      <c r="H765" s="10">
        <f>IF(F765="","",F765*IF(G765="",1,G765))</f>
        <v/>
      </c>
      <c r="I765" s="9" t="n"/>
      <c r="J765" s="9" t="n"/>
    </row>
    <row r="766" ht="22" customHeight="1">
      <c r="A766" s="9" t="n"/>
      <c r="B766" s="9" t="n"/>
      <c r="C766" s="9" t="n"/>
      <c r="D766" s="9" t="n"/>
      <c r="E766" s="9" t="n"/>
      <c r="F766" s="10" t="n"/>
      <c r="G766" s="10" t="n"/>
      <c r="H766" s="10">
        <f>IF(F766="","",F766*IF(G766="",1,G766))</f>
        <v/>
      </c>
      <c r="I766" s="9" t="n"/>
      <c r="J766" s="9" t="n"/>
    </row>
    <row r="767" ht="22" customHeight="1">
      <c r="A767" s="9" t="n"/>
      <c r="B767" s="9" t="n"/>
      <c r="C767" s="9" t="n"/>
      <c r="D767" s="9" t="n"/>
      <c r="E767" s="9" t="n"/>
      <c r="F767" s="10" t="n"/>
      <c r="G767" s="10" t="n"/>
      <c r="H767" s="10">
        <f>IF(F767="","",F767*IF(G767="",1,G767))</f>
        <v/>
      </c>
      <c r="I767" s="9" t="n"/>
      <c r="J767" s="9" t="n"/>
    </row>
    <row r="768" ht="22" customHeight="1">
      <c r="A768" s="9" t="n"/>
      <c r="B768" s="9" t="n"/>
      <c r="C768" s="9" t="n"/>
      <c r="D768" s="9" t="n"/>
      <c r="E768" s="9" t="n"/>
      <c r="F768" s="10" t="n"/>
      <c r="G768" s="10" t="n"/>
      <c r="H768" s="10">
        <f>IF(F768="","",F768*IF(G768="",1,G768))</f>
        <v/>
      </c>
      <c r="I768" s="9" t="n"/>
      <c r="J768" s="9" t="n"/>
    </row>
    <row r="769" ht="22" customHeight="1">
      <c r="A769" s="9" t="n"/>
      <c r="B769" s="9" t="n"/>
      <c r="C769" s="9" t="n"/>
      <c r="D769" s="9" t="n"/>
      <c r="E769" s="9" t="n"/>
      <c r="F769" s="10" t="n"/>
      <c r="G769" s="10" t="n"/>
      <c r="H769" s="10">
        <f>IF(F769="","",F769*IF(G769="",1,G769))</f>
        <v/>
      </c>
      <c r="I769" s="9" t="n"/>
      <c r="J769" s="9" t="n"/>
    </row>
    <row r="770" ht="22" customHeight="1">
      <c r="A770" s="9" t="n"/>
      <c r="B770" s="9" t="n"/>
      <c r="C770" s="9" t="n"/>
      <c r="D770" s="9" t="n"/>
      <c r="E770" s="9" t="n"/>
      <c r="F770" s="10" t="n"/>
      <c r="G770" s="10" t="n"/>
      <c r="H770" s="10">
        <f>IF(F770="","",F770*IF(G770="",1,G770))</f>
        <v/>
      </c>
      <c r="I770" s="9" t="n"/>
      <c r="J770" s="9" t="n"/>
    </row>
    <row r="771" ht="22" customHeight="1">
      <c r="A771" s="9" t="n"/>
      <c r="B771" s="9" t="n"/>
      <c r="C771" s="9" t="n"/>
      <c r="D771" s="9" t="n"/>
      <c r="E771" s="9" t="n"/>
      <c r="F771" s="10" t="n"/>
      <c r="G771" s="10" t="n"/>
      <c r="H771" s="10">
        <f>IF(F771="","",F771*IF(G771="",1,G771))</f>
        <v/>
      </c>
      <c r="I771" s="9" t="n"/>
      <c r="J771" s="9" t="n"/>
    </row>
    <row r="772" ht="22" customHeight="1">
      <c r="A772" s="9" t="n"/>
      <c r="B772" s="9" t="n"/>
      <c r="C772" s="9" t="n"/>
      <c r="D772" s="9" t="n"/>
      <c r="E772" s="9" t="n"/>
      <c r="F772" s="10" t="n"/>
      <c r="G772" s="10" t="n"/>
      <c r="H772" s="10">
        <f>IF(F772="","",F772*IF(G772="",1,G772))</f>
        <v/>
      </c>
      <c r="I772" s="9" t="n"/>
      <c r="J772" s="9" t="n"/>
    </row>
    <row r="773" ht="22" customHeight="1">
      <c r="A773" s="9" t="n"/>
      <c r="B773" s="9" t="n"/>
      <c r="C773" s="9" t="n"/>
      <c r="D773" s="9" t="n"/>
      <c r="E773" s="9" t="n"/>
      <c r="F773" s="10" t="n"/>
      <c r="G773" s="10" t="n"/>
      <c r="H773" s="10">
        <f>IF(F773="","",F773*IF(G773="",1,G773))</f>
        <v/>
      </c>
      <c r="I773" s="9" t="n"/>
      <c r="J773" s="9" t="n"/>
    </row>
    <row r="774" ht="22" customHeight="1">
      <c r="A774" s="9" t="n"/>
      <c r="B774" s="9" t="n"/>
      <c r="C774" s="9" t="n"/>
      <c r="D774" s="9" t="n"/>
      <c r="E774" s="9" t="n"/>
      <c r="F774" s="10" t="n"/>
      <c r="G774" s="10" t="n"/>
      <c r="H774" s="10">
        <f>IF(F774="","",F774*IF(G774="",1,G774))</f>
        <v/>
      </c>
      <c r="I774" s="9" t="n"/>
      <c r="J774" s="9" t="n"/>
    </row>
    <row r="775" ht="22" customHeight="1">
      <c r="A775" s="9" t="n"/>
      <c r="B775" s="9" t="n"/>
      <c r="C775" s="9" t="n"/>
      <c r="D775" s="9" t="n"/>
      <c r="E775" s="9" t="n"/>
      <c r="F775" s="10" t="n"/>
      <c r="G775" s="10" t="n"/>
      <c r="H775" s="10">
        <f>IF(F775="","",F775*IF(G775="",1,G775))</f>
        <v/>
      </c>
      <c r="I775" s="9" t="n"/>
      <c r="J775" s="9" t="n"/>
    </row>
    <row r="776" ht="22" customHeight="1">
      <c r="A776" s="9" t="n"/>
      <c r="B776" s="9" t="n"/>
      <c r="C776" s="9" t="n"/>
      <c r="D776" s="9" t="n"/>
      <c r="E776" s="9" t="n"/>
      <c r="F776" s="10" t="n"/>
      <c r="G776" s="10" t="n"/>
      <c r="H776" s="10">
        <f>IF(F776="","",F776*IF(G776="",1,G776))</f>
        <v/>
      </c>
      <c r="I776" s="9" t="n"/>
      <c r="J776" s="9" t="n"/>
    </row>
    <row r="777" ht="22" customHeight="1">
      <c r="A777" s="9" t="n"/>
      <c r="B777" s="9" t="n"/>
      <c r="C777" s="9" t="n"/>
      <c r="D777" s="9" t="n"/>
      <c r="E777" s="9" t="n"/>
      <c r="F777" s="10" t="n"/>
      <c r="G777" s="10" t="n"/>
      <c r="H777" s="10">
        <f>IF(F777="","",F777*IF(G777="",1,G777))</f>
        <v/>
      </c>
      <c r="I777" s="9" t="n"/>
      <c r="J777" s="9" t="n"/>
    </row>
    <row r="778" ht="22" customHeight="1">
      <c r="A778" s="9" t="n"/>
      <c r="B778" s="9" t="n"/>
      <c r="C778" s="9" t="n"/>
      <c r="D778" s="9" t="n"/>
      <c r="E778" s="9" t="n"/>
      <c r="F778" s="10" t="n"/>
      <c r="G778" s="10" t="n"/>
      <c r="H778" s="10">
        <f>IF(F778="","",F778*IF(G778="",1,G778))</f>
        <v/>
      </c>
      <c r="I778" s="9" t="n"/>
      <c r="J778" s="9" t="n"/>
    </row>
    <row r="779" ht="22" customHeight="1">
      <c r="A779" s="9" t="n"/>
      <c r="B779" s="9" t="n"/>
      <c r="C779" s="9" t="n"/>
      <c r="D779" s="9" t="n"/>
      <c r="E779" s="9" t="n"/>
      <c r="F779" s="10" t="n"/>
      <c r="G779" s="10" t="n"/>
      <c r="H779" s="10">
        <f>IF(F779="","",F779*IF(G779="",1,G779))</f>
        <v/>
      </c>
      <c r="I779" s="9" t="n"/>
      <c r="J779" s="9" t="n"/>
    </row>
    <row r="780" ht="22" customHeight="1">
      <c r="A780" s="9" t="n"/>
      <c r="B780" s="9" t="n"/>
      <c r="C780" s="9" t="n"/>
      <c r="D780" s="9" t="n"/>
      <c r="E780" s="9" t="n"/>
      <c r="F780" s="10" t="n"/>
      <c r="G780" s="10" t="n"/>
      <c r="H780" s="10">
        <f>IF(F780="","",F780*IF(G780="",1,G780))</f>
        <v/>
      </c>
      <c r="I780" s="9" t="n"/>
      <c r="J780" s="9" t="n"/>
    </row>
    <row r="781" ht="22" customHeight="1">
      <c r="A781" s="9" t="n"/>
      <c r="B781" s="9" t="n"/>
      <c r="C781" s="9" t="n"/>
      <c r="D781" s="9" t="n"/>
      <c r="E781" s="9" t="n"/>
      <c r="F781" s="10" t="n"/>
      <c r="G781" s="10" t="n"/>
      <c r="H781" s="10">
        <f>IF(F781="","",F781*IF(G781="",1,G781))</f>
        <v/>
      </c>
      <c r="I781" s="9" t="n"/>
      <c r="J781" s="9" t="n"/>
    </row>
    <row r="782" ht="22" customHeight="1">
      <c r="A782" s="9" t="n"/>
      <c r="B782" s="9" t="n"/>
      <c r="C782" s="9" t="n"/>
      <c r="D782" s="9" t="n"/>
      <c r="E782" s="9" t="n"/>
      <c r="F782" s="10" t="n"/>
      <c r="G782" s="10" t="n"/>
      <c r="H782" s="10">
        <f>IF(F782="","",F782*IF(G782="",1,G782))</f>
        <v/>
      </c>
      <c r="I782" s="9" t="n"/>
      <c r="J782" s="9" t="n"/>
    </row>
    <row r="783" ht="22" customHeight="1">
      <c r="A783" s="9" t="n"/>
      <c r="B783" s="9" t="n"/>
      <c r="C783" s="9" t="n"/>
      <c r="D783" s="9" t="n"/>
      <c r="E783" s="9" t="n"/>
      <c r="F783" s="10" t="n"/>
      <c r="G783" s="10" t="n"/>
      <c r="H783" s="10">
        <f>IF(F783="","",F783*IF(G783="",1,G783))</f>
        <v/>
      </c>
      <c r="I783" s="9" t="n"/>
      <c r="J783" s="9" t="n"/>
    </row>
    <row r="784" ht="22" customHeight="1">
      <c r="A784" s="9" t="n"/>
      <c r="B784" s="9" t="n"/>
      <c r="C784" s="9" t="n"/>
      <c r="D784" s="9" t="n"/>
      <c r="E784" s="9" t="n"/>
      <c r="F784" s="10" t="n"/>
      <c r="G784" s="10" t="n"/>
      <c r="H784" s="10">
        <f>IF(F784="","",F784*IF(G784="",1,G784))</f>
        <v/>
      </c>
      <c r="I784" s="9" t="n"/>
      <c r="J784" s="9" t="n"/>
    </row>
    <row r="785" ht="22" customHeight="1">
      <c r="A785" s="9" t="n"/>
      <c r="B785" s="9" t="n"/>
      <c r="C785" s="9" t="n"/>
      <c r="D785" s="9" t="n"/>
      <c r="E785" s="9" t="n"/>
      <c r="F785" s="10" t="n"/>
      <c r="G785" s="10" t="n"/>
      <c r="H785" s="10">
        <f>IF(F785="","",F785*IF(G785="",1,G785))</f>
        <v/>
      </c>
      <c r="I785" s="9" t="n"/>
      <c r="J785" s="9" t="n"/>
    </row>
    <row r="786" ht="22" customHeight="1">
      <c r="A786" s="9" t="n"/>
      <c r="B786" s="9" t="n"/>
      <c r="C786" s="9" t="n"/>
      <c r="D786" s="9" t="n"/>
      <c r="E786" s="9" t="n"/>
      <c r="F786" s="10" t="n"/>
      <c r="G786" s="10" t="n"/>
      <c r="H786" s="10">
        <f>IF(F786="","",F786*IF(G786="",1,G786))</f>
        <v/>
      </c>
      <c r="I786" s="9" t="n"/>
      <c r="J786" s="9" t="n"/>
    </row>
    <row r="787" ht="22" customHeight="1">
      <c r="A787" s="9" t="n"/>
      <c r="B787" s="9" t="n"/>
      <c r="C787" s="9" t="n"/>
      <c r="D787" s="9" t="n"/>
      <c r="E787" s="9" t="n"/>
      <c r="F787" s="10" t="n"/>
      <c r="G787" s="10" t="n"/>
      <c r="H787" s="10">
        <f>IF(F787="","",F787*IF(G787="",1,G787))</f>
        <v/>
      </c>
      <c r="I787" s="9" t="n"/>
      <c r="J787" s="9" t="n"/>
    </row>
    <row r="788" ht="22" customHeight="1">
      <c r="A788" s="9" t="n"/>
      <c r="B788" s="9" t="n"/>
      <c r="C788" s="9" t="n"/>
      <c r="D788" s="9" t="n"/>
      <c r="E788" s="9" t="n"/>
      <c r="F788" s="10" t="n"/>
      <c r="G788" s="10" t="n"/>
      <c r="H788" s="10">
        <f>IF(F788="","",F788*IF(G788="",1,G788))</f>
        <v/>
      </c>
      <c r="I788" s="9" t="n"/>
      <c r="J788" s="9" t="n"/>
    </row>
    <row r="789" ht="22" customHeight="1">
      <c r="A789" s="9" t="n"/>
      <c r="B789" s="9" t="n"/>
      <c r="C789" s="9" t="n"/>
      <c r="D789" s="9" t="n"/>
      <c r="E789" s="9" t="n"/>
      <c r="F789" s="10" t="n"/>
      <c r="G789" s="10" t="n"/>
      <c r="H789" s="10">
        <f>IF(F789="","",F789*IF(G789="",1,G789))</f>
        <v/>
      </c>
      <c r="I789" s="9" t="n"/>
      <c r="J789" s="9" t="n"/>
    </row>
    <row r="790" ht="22" customHeight="1">
      <c r="A790" s="9" t="n"/>
      <c r="B790" s="9" t="n"/>
      <c r="C790" s="9" t="n"/>
      <c r="D790" s="9" t="n"/>
      <c r="E790" s="9" t="n"/>
      <c r="F790" s="10" t="n"/>
      <c r="G790" s="10" t="n"/>
      <c r="H790" s="10">
        <f>IF(F790="","",F790*IF(G790="",1,G790))</f>
        <v/>
      </c>
      <c r="I790" s="9" t="n"/>
      <c r="J790" s="9" t="n"/>
    </row>
    <row r="791" ht="22" customHeight="1">
      <c r="A791" s="9" t="n"/>
      <c r="B791" s="9" t="n"/>
      <c r="C791" s="9" t="n"/>
      <c r="D791" s="9" t="n"/>
      <c r="E791" s="9" t="n"/>
      <c r="F791" s="10" t="n"/>
      <c r="G791" s="10" t="n"/>
      <c r="H791" s="10">
        <f>IF(F791="","",F791*IF(G791="",1,G791))</f>
        <v/>
      </c>
      <c r="I791" s="9" t="n"/>
      <c r="J791" s="9" t="n"/>
    </row>
    <row r="792" ht="22" customHeight="1">
      <c r="A792" s="9" t="n"/>
      <c r="B792" s="9" t="n"/>
      <c r="C792" s="9" t="n"/>
      <c r="D792" s="9" t="n"/>
      <c r="E792" s="9" t="n"/>
      <c r="F792" s="10" t="n"/>
      <c r="G792" s="10" t="n"/>
      <c r="H792" s="10">
        <f>IF(F792="","",F792*IF(G792="",1,G792))</f>
        <v/>
      </c>
      <c r="I792" s="9" t="n"/>
      <c r="J792" s="9" t="n"/>
    </row>
    <row r="793" ht="22" customHeight="1">
      <c r="A793" s="9" t="n"/>
      <c r="B793" s="9" t="n"/>
      <c r="C793" s="9" t="n"/>
      <c r="D793" s="9" t="n"/>
      <c r="E793" s="9" t="n"/>
      <c r="F793" s="10" t="n"/>
      <c r="G793" s="10" t="n"/>
      <c r="H793" s="10">
        <f>IF(F793="","",F793*IF(G793="",1,G793))</f>
        <v/>
      </c>
      <c r="I793" s="9" t="n"/>
      <c r="J793" s="9" t="n"/>
    </row>
    <row r="794" ht="22" customHeight="1">
      <c r="A794" s="9" t="n"/>
      <c r="B794" s="9" t="n"/>
      <c r="C794" s="9" t="n"/>
      <c r="D794" s="9" t="n"/>
      <c r="E794" s="9" t="n"/>
      <c r="F794" s="10" t="n"/>
      <c r="G794" s="10" t="n"/>
      <c r="H794" s="10">
        <f>IF(F794="","",F794*IF(G794="",1,G794))</f>
        <v/>
      </c>
      <c r="I794" s="9" t="n"/>
      <c r="J794" s="9" t="n"/>
    </row>
    <row r="795" ht="22" customHeight="1">
      <c r="A795" s="9" t="n"/>
      <c r="B795" s="9" t="n"/>
      <c r="C795" s="9" t="n"/>
      <c r="D795" s="9" t="n"/>
      <c r="E795" s="9" t="n"/>
      <c r="F795" s="10" t="n"/>
      <c r="G795" s="10" t="n"/>
      <c r="H795" s="10">
        <f>IF(F795="","",F795*IF(G795="",1,G795))</f>
        <v/>
      </c>
      <c r="I795" s="9" t="n"/>
      <c r="J795" s="9" t="n"/>
    </row>
    <row r="796" ht="22" customHeight="1">
      <c r="A796" s="9" t="n"/>
      <c r="B796" s="9" t="n"/>
      <c r="C796" s="9" t="n"/>
      <c r="D796" s="9" t="n"/>
      <c r="E796" s="9" t="n"/>
      <c r="F796" s="10" t="n"/>
      <c r="G796" s="10" t="n"/>
      <c r="H796" s="10">
        <f>IF(F796="","",F796*IF(G796="",1,G796))</f>
        <v/>
      </c>
      <c r="I796" s="9" t="n"/>
      <c r="J796" s="9" t="n"/>
    </row>
    <row r="797" ht="22" customHeight="1">
      <c r="A797" s="9" t="n"/>
      <c r="B797" s="9" t="n"/>
      <c r="C797" s="9" t="n"/>
      <c r="D797" s="9" t="n"/>
      <c r="E797" s="9" t="n"/>
      <c r="F797" s="10" t="n"/>
      <c r="G797" s="10" t="n"/>
      <c r="H797" s="10">
        <f>IF(F797="","",F797*IF(G797="",1,G797))</f>
        <v/>
      </c>
      <c r="I797" s="9" t="n"/>
      <c r="J797" s="9" t="n"/>
    </row>
    <row r="798" ht="22" customHeight="1">
      <c r="A798" s="9" t="n"/>
      <c r="B798" s="9" t="n"/>
      <c r="C798" s="9" t="n"/>
      <c r="D798" s="9" t="n"/>
      <c r="E798" s="9" t="n"/>
      <c r="F798" s="10" t="n"/>
      <c r="G798" s="10" t="n"/>
      <c r="H798" s="10">
        <f>IF(F798="","",F798*IF(G798="",1,G798))</f>
        <v/>
      </c>
      <c r="I798" s="9" t="n"/>
      <c r="J798" s="9" t="n"/>
    </row>
    <row r="799" ht="22" customHeight="1">
      <c r="A799" s="9" t="n"/>
      <c r="B799" s="9" t="n"/>
      <c r="C799" s="9" t="n"/>
      <c r="D799" s="9" t="n"/>
      <c r="E799" s="9" t="n"/>
      <c r="F799" s="10" t="n"/>
      <c r="G799" s="10" t="n"/>
      <c r="H799" s="10">
        <f>IF(F799="","",F799*IF(G799="",1,G799))</f>
        <v/>
      </c>
      <c r="I799" s="9" t="n"/>
      <c r="J799" s="9" t="n"/>
    </row>
    <row r="800" ht="22" customHeight="1">
      <c r="A800" s="9" t="n"/>
      <c r="B800" s="9" t="n"/>
      <c r="C800" s="9" t="n"/>
      <c r="D800" s="9" t="n"/>
      <c r="E800" s="9" t="n"/>
      <c r="F800" s="10" t="n"/>
      <c r="G800" s="10" t="n"/>
      <c r="H800" s="10">
        <f>IF(F800="","",F800*IF(G800="",1,G800))</f>
        <v/>
      </c>
      <c r="I800" s="9" t="n"/>
      <c r="J800" s="9" t="n"/>
    </row>
    <row r="801" ht="22" customHeight="1">
      <c r="A801" s="9" t="n"/>
      <c r="B801" s="9" t="n"/>
      <c r="C801" s="9" t="n"/>
      <c r="D801" s="9" t="n"/>
      <c r="E801" s="9" t="n"/>
      <c r="F801" s="10" t="n"/>
      <c r="G801" s="10" t="n"/>
      <c r="H801" s="10">
        <f>IF(F801="","",F801*IF(G801="",1,G801))</f>
        <v/>
      </c>
      <c r="I801" s="9" t="n"/>
      <c r="J801" s="9" t="n"/>
    </row>
    <row r="802" ht="22" customHeight="1">
      <c r="A802" s="9" t="n"/>
      <c r="B802" s="9" t="n"/>
      <c r="C802" s="9" t="n"/>
      <c r="D802" s="9" t="n"/>
      <c r="E802" s="9" t="n"/>
      <c r="F802" s="10" t="n"/>
      <c r="G802" s="10" t="n"/>
      <c r="H802" s="10">
        <f>IF(F802="","",F802*IF(G802="",1,G802))</f>
        <v/>
      </c>
      <c r="I802" s="9" t="n"/>
      <c r="J802" s="9" t="n"/>
    </row>
    <row r="803" ht="22" customHeight="1">
      <c r="A803" s="9" t="n"/>
      <c r="B803" s="9" t="n"/>
      <c r="C803" s="9" t="n"/>
      <c r="D803" s="9" t="n"/>
      <c r="E803" s="9" t="n"/>
      <c r="F803" s="10" t="n"/>
      <c r="G803" s="10" t="n"/>
      <c r="H803" s="10">
        <f>IF(F803="","",F803*IF(G803="",1,G803))</f>
        <v/>
      </c>
      <c r="I803" s="9" t="n"/>
      <c r="J803" s="9" t="n"/>
    </row>
    <row r="804" ht="22" customHeight="1">
      <c r="A804" s="9" t="n"/>
      <c r="B804" s="9" t="n"/>
      <c r="C804" s="9" t="n"/>
      <c r="D804" s="9" t="n"/>
      <c r="E804" s="9" t="n"/>
      <c r="F804" s="10" t="n"/>
      <c r="G804" s="10" t="n"/>
      <c r="H804" s="10">
        <f>IF(F804="","",F804*IF(G804="",1,G804))</f>
        <v/>
      </c>
      <c r="I804" s="9" t="n"/>
      <c r="J804" s="9" t="n"/>
    </row>
    <row r="805" ht="22" customHeight="1">
      <c r="A805" s="9" t="n"/>
      <c r="B805" s="9" t="n"/>
      <c r="C805" s="9" t="n"/>
      <c r="D805" s="9" t="n"/>
      <c r="E805" s="9" t="n"/>
      <c r="F805" s="10" t="n"/>
      <c r="G805" s="10" t="n"/>
      <c r="H805" s="10">
        <f>IF(F805="","",F805*IF(G805="",1,G805))</f>
        <v/>
      </c>
      <c r="I805" s="9" t="n"/>
      <c r="J805" s="9" t="n"/>
    </row>
    <row r="806" ht="22" customHeight="1">
      <c r="A806" s="9" t="n"/>
      <c r="B806" s="9" t="n"/>
      <c r="C806" s="9" t="n"/>
      <c r="D806" s="9" t="n"/>
      <c r="E806" s="9" t="n"/>
      <c r="F806" s="10" t="n"/>
      <c r="G806" s="10" t="n"/>
      <c r="H806" s="10">
        <f>IF(F806="","",F806*IF(G806="",1,G806))</f>
        <v/>
      </c>
      <c r="I806" s="9" t="n"/>
      <c r="J806" s="9" t="n"/>
    </row>
    <row r="807" ht="22" customHeight="1">
      <c r="A807" s="9" t="n"/>
      <c r="B807" s="9" t="n"/>
      <c r="C807" s="9" t="n"/>
      <c r="D807" s="9" t="n"/>
      <c r="E807" s="9" t="n"/>
      <c r="F807" s="10" t="n"/>
      <c r="G807" s="10" t="n"/>
      <c r="H807" s="10">
        <f>IF(F807="","",F807*IF(G807="",1,G807))</f>
        <v/>
      </c>
      <c r="I807" s="9" t="n"/>
      <c r="J807" s="9" t="n"/>
    </row>
    <row r="808" ht="22" customHeight="1">
      <c r="A808" s="9" t="n"/>
      <c r="B808" s="9" t="n"/>
      <c r="C808" s="9" t="n"/>
      <c r="D808" s="9" t="n"/>
      <c r="E808" s="9" t="n"/>
      <c r="F808" s="10" t="n"/>
      <c r="G808" s="10" t="n"/>
      <c r="H808" s="10">
        <f>IF(F808="","",F808*IF(G808="",1,G808))</f>
        <v/>
      </c>
      <c r="I808" s="9" t="n"/>
      <c r="J808" s="9" t="n"/>
    </row>
    <row r="809" ht="22" customHeight="1">
      <c r="A809" s="9" t="n"/>
      <c r="B809" s="9" t="n"/>
      <c r="C809" s="9" t="n"/>
      <c r="D809" s="9" t="n"/>
      <c r="E809" s="9" t="n"/>
      <c r="F809" s="10" t="n"/>
      <c r="G809" s="10" t="n"/>
      <c r="H809" s="10">
        <f>IF(F809="","",F809*IF(G809="",1,G809))</f>
        <v/>
      </c>
      <c r="I809" s="9" t="n"/>
      <c r="J809" s="9" t="n"/>
    </row>
    <row r="810" ht="22" customHeight="1">
      <c r="A810" s="9" t="n"/>
      <c r="B810" s="9" t="n"/>
      <c r="C810" s="9" t="n"/>
      <c r="D810" s="9" t="n"/>
      <c r="E810" s="9" t="n"/>
      <c r="F810" s="10" t="n"/>
      <c r="G810" s="10" t="n"/>
      <c r="H810" s="10">
        <f>IF(F810="","",F810*IF(G810="",1,G810))</f>
        <v/>
      </c>
      <c r="I810" s="9" t="n"/>
      <c r="J810" s="9" t="n"/>
    </row>
    <row r="811" ht="22" customHeight="1">
      <c r="A811" s="9" t="n"/>
      <c r="B811" s="9" t="n"/>
      <c r="C811" s="9" t="n"/>
      <c r="D811" s="9" t="n"/>
      <c r="E811" s="9" t="n"/>
      <c r="F811" s="10" t="n"/>
      <c r="G811" s="10" t="n"/>
      <c r="H811" s="10">
        <f>IF(F811="","",F811*IF(G811="",1,G811))</f>
        <v/>
      </c>
      <c r="I811" s="9" t="n"/>
      <c r="J811" s="9" t="n"/>
    </row>
    <row r="812" ht="22" customHeight="1">
      <c r="A812" s="9" t="n"/>
      <c r="B812" s="9" t="n"/>
      <c r="C812" s="9" t="n"/>
      <c r="D812" s="9" t="n"/>
      <c r="E812" s="9" t="n"/>
      <c r="F812" s="10" t="n"/>
      <c r="G812" s="10" t="n"/>
      <c r="H812" s="10">
        <f>IF(F812="","",F812*IF(G812="",1,G812))</f>
        <v/>
      </c>
      <c r="I812" s="9" t="n"/>
      <c r="J812" s="9" t="n"/>
    </row>
    <row r="813" ht="22" customHeight="1">
      <c r="A813" s="9" t="n"/>
      <c r="B813" s="9" t="n"/>
      <c r="C813" s="9" t="n"/>
      <c r="D813" s="9" t="n"/>
      <c r="E813" s="9" t="n"/>
      <c r="F813" s="10" t="n"/>
      <c r="G813" s="10" t="n"/>
      <c r="H813" s="10">
        <f>IF(F813="","",F813*IF(G813="",1,G813))</f>
        <v/>
      </c>
      <c r="I813" s="9" t="n"/>
      <c r="J813" s="9" t="n"/>
    </row>
    <row r="814" ht="22" customHeight="1">
      <c r="A814" s="9" t="n"/>
      <c r="B814" s="9" t="n"/>
      <c r="C814" s="9" t="n"/>
      <c r="D814" s="9" t="n"/>
      <c r="E814" s="9" t="n"/>
      <c r="F814" s="10" t="n"/>
      <c r="G814" s="10" t="n"/>
      <c r="H814" s="10">
        <f>IF(F814="","",F814*IF(G814="",1,G814))</f>
        <v/>
      </c>
      <c r="I814" s="9" t="n"/>
      <c r="J814" s="9" t="n"/>
    </row>
    <row r="815" ht="22" customHeight="1">
      <c r="A815" s="9" t="n"/>
      <c r="B815" s="9" t="n"/>
      <c r="C815" s="9" t="n"/>
      <c r="D815" s="9" t="n"/>
      <c r="E815" s="9" t="n"/>
      <c r="F815" s="10" t="n"/>
      <c r="G815" s="10" t="n"/>
      <c r="H815" s="10">
        <f>IF(F815="","",F815*IF(G815="",1,G815))</f>
        <v/>
      </c>
      <c r="I815" s="9" t="n"/>
      <c r="J815" s="9" t="n"/>
    </row>
    <row r="816" ht="22" customHeight="1">
      <c r="A816" s="9" t="n"/>
      <c r="B816" s="9" t="n"/>
      <c r="C816" s="9" t="n"/>
      <c r="D816" s="9" t="n"/>
      <c r="E816" s="9" t="n"/>
      <c r="F816" s="10" t="n"/>
      <c r="G816" s="10" t="n"/>
      <c r="H816" s="10">
        <f>IF(F816="","",F816*IF(G816="",1,G816))</f>
        <v/>
      </c>
      <c r="I816" s="9" t="n"/>
      <c r="J816" s="9" t="n"/>
    </row>
    <row r="817" ht="22" customHeight="1">
      <c r="A817" s="9" t="n"/>
      <c r="B817" s="9" t="n"/>
      <c r="C817" s="9" t="n"/>
      <c r="D817" s="9" t="n"/>
      <c r="E817" s="9" t="n"/>
      <c r="F817" s="10" t="n"/>
      <c r="G817" s="10" t="n"/>
      <c r="H817" s="10">
        <f>IF(F817="","",F817*IF(G817="",1,G817))</f>
        <v/>
      </c>
      <c r="I817" s="9" t="n"/>
      <c r="J817" s="9" t="n"/>
    </row>
    <row r="818" ht="22" customHeight="1">
      <c r="A818" s="9" t="n"/>
      <c r="B818" s="9" t="n"/>
      <c r="C818" s="9" t="n"/>
      <c r="D818" s="9" t="n"/>
      <c r="E818" s="9" t="n"/>
      <c r="F818" s="10" t="n"/>
      <c r="G818" s="10" t="n"/>
      <c r="H818" s="10">
        <f>IF(F818="","",F818*IF(G818="",1,G818))</f>
        <v/>
      </c>
      <c r="I818" s="9" t="n"/>
      <c r="J818" s="9" t="n"/>
    </row>
    <row r="819" ht="22" customHeight="1">
      <c r="A819" s="9" t="n"/>
      <c r="B819" s="9" t="n"/>
      <c r="C819" s="9" t="n"/>
      <c r="D819" s="9" t="n"/>
      <c r="E819" s="9" t="n"/>
      <c r="F819" s="10" t="n"/>
      <c r="G819" s="10" t="n"/>
      <c r="H819" s="10">
        <f>IF(F819="","",F819*IF(G819="",1,G819))</f>
        <v/>
      </c>
      <c r="I819" s="9" t="n"/>
      <c r="J819" s="9" t="n"/>
    </row>
    <row r="820" ht="22" customHeight="1">
      <c r="A820" s="9" t="n"/>
      <c r="B820" s="9" t="n"/>
      <c r="C820" s="9" t="n"/>
      <c r="D820" s="9" t="n"/>
      <c r="E820" s="9" t="n"/>
      <c r="F820" s="10" t="n"/>
      <c r="G820" s="10" t="n"/>
      <c r="H820" s="10">
        <f>IF(F820="","",F820*IF(G820="",1,G820))</f>
        <v/>
      </c>
      <c r="I820" s="9" t="n"/>
      <c r="J820" s="9" t="n"/>
    </row>
    <row r="821" ht="22" customHeight="1">
      <c r="A821" s="9" t="n"/>
      <c r="B821" s="9" t="n"/>
      <c r="C821" s="9" t="n"/>
      <c r="D821" s="9" t="n"/>
      <c r="E821" s="9" t="n"/>
      <c r="F821" s="10" t="n"/>
      <c r="G821" s="10" t="n"/>
      <c r="H821" s="10">
        <f>IF(F821="","",F821*IF(G821="",1,G821))</f>
        <v/>
      </c>
      <c r="I821" s="9" t="n"/>
      <c r="J821" s="9" t="n"/>
    </row>
    <row r="822" ht="22" customHeight="1">
      <c r="A822" s="9" t="n"/>
      <c r="B822" s="9" t="n"/>
      <c r="C822" s="9" t="n"/>
      <c r="D822" s="9" t="n"/>
      <c r="E822" s="9" t="n"/>
      <c r="F822" s="10" t="n"/>
      <c r="G822" s="10" t="n"/>
      <c r="H822" s="10">
        <f>IF(F822="","",F822*IF(G822="",1,G822))</f>
        <v/>
      </c>
      <c r="I822" s="9" t="n"/>
      <c r="J822" s="9" t="n"/>
    </row>
    <row r="823" ht="22" customHeight="1">
      <c r="A823" s="9" t="n"/>
      <c r="B823" s="9" t="n"/>
      <c r="C823" s="9" t="n"/>
      <c r="D823" s="9" t="n"/>
      <c r="E823" s="9" t="n"/>
      <c r="F823" s="10" t="n"/>
      <c r="G823" s="10" t="n"/>
      <c r="H823" s="10">
        <f>IF(F823="","",F823*IF(G823="",1,G823))</f>
        <v/>
      </c>
      <c r="I823" s="9" t="n"/>
      <c r="J823" s="9" t="n"/>
    </row>
    <row r="824" ht="22" customHeight="1">
      <c r="A824" s="9" t="n"/>
      <c r="B824" s="9" t="n"/>
      <c r="C824" s="9" t="n"/>
      <c r="D824" s="9" t="n"/>
      <c r="E824" s="9" t="n"/>
      <c r="F824" s="10" t="n"/>
      <c r="G824" s="10" t="n"/>
      <c r="H824" s="10">
        <f>IF(F824="","",F824*IF(G824="",1,G824))</f>
        <v/>
      </c>
      <c r="I824" s="9" t="n"/>
      <c r="J824" s="9" t="n"/>
    </row>
    <row r="825" ht="22" customHeight="1">
      <c r="A825" s="9" t="n"/>
      <c r="B825" s="9" t="n"/>
      <c r="C825" s="9" t="n"/>
      <c r="D825" s="9" t="n"/>
      <c r="E825" s="9" t="n"/>
      <c r="F825" s="10" t="n"/>
      <c r="G825" s="10" t="n"/>
      <c r="H825" s="10">
        <f>IF(F825="","",F825*IF(G825="",1,G825))</f>
        <v/>
      </c>
      <c r="I825" s="9" t="n"/>
      <c r="J825" s="9" t="n"/>
    </row>
    <row r="826" ht="22" customHeight="1">
      <c r="A826" s="9" t="n"/>
      <c r="B826" s="9" t="n"/>
      <c r="C826" s="9" t="n"/>
      <c r="D826" s="9" t="n"/>
      <c r="E826" s="9" t="n"/>
      <c r="F826" s="10" t="n"/>
      <c r="G826" s="10" t="n"/>
      <c r="H826" s="10">
        <f>IF(F826="","",F826*IF(G826="",1,G826))</f>
        <v/>
      </c>
      <c r="I826" s="9" t="n"/>
      <c r="J826" s="9" t="n"/>
    </row>
    <row r="827" ht="22" customHeight="1">
      <c r="A827" s="9" t="n"/>
      <c r="B827" s="9" t="n"/>
      <c r="C827" s="9" t="n"/>
      <c r="D827" s="9" t="n"/>
      <c r="E827" s="9" t="n"/>
      <c r="F827" s="10" t="n"/>
      <c r="G827" s="10" t="n"/>
      <c r="H827" s="10">
        <f>IF(F827="","",F827*IF(G827="",1,G827))</f>
        <v/>
      </c>
      <c r="I827" s="9" t="n"/>
      <c r="J827" s="9" t="n"/>
    </row>
    <row r="828" ht="22" customHeight="1">
      <c r="A828" s="9" t="n"/>
      <c r="B828" s="9" t="n"/>
      <c r="C828" s="9" t="n"/>
      <c r="D828" s="9" t="n"/>
      <c r="E828" s="9" t="n"/>
      <c r="F828" s="10" t="n"/>
      <c r="G828" s="10" t="n"/>
      <c r="H828" s="10">
        <f>IF(F828="","",F828*IF(G828="",1,G828))</f>
        <v/>
      </c>
      <c r="I828" s="9" t="n"/>
      <c r="J828" s="9" t="n"/>
    </row>
    <row r="829" ht="22" customHeight="1">
      <c r="A829" s="9" t="n"/>
      <c r="B829" s="9" t="n"/>
      <c r="C829" s="9" t="n"/>
      <c r="D829" s="9" t="n"/>
      <c r="E829" s="9" t="n"/>
      <c r="F829" s="10" t="n"/>
      <c r="G829" s="10" t="n"/>
      <c r="H829" s="10">
        <f>IF(F829="","",F829*IF(G829="",1,G829))</f>
        <v/>
      </c>
      <c r="I829" s="9" t="n"/>
      <c r="J829" s="9" t="n"/>
    </row>
    <row r="830" ht="22" customHeight="1">
      <c r="A830" s="9" t="n"/>
      <c r="B830" s="9" t="n"/>
      <c r="C830" s="9" t="n"/>
      <c r="D830" s="9" t="n"/>
      <c r="E830" s="9" t="n"/>
      <c r="F830" s="10" t="n"/>
      <c r="G830" s="10" t="n"/>
      <c r="H830" s="10">
        <f>IF(F830="","",F830*IF(G830="",1,G830))</f>
        <v/>
      </c>
      <c r="I830" s="9" t="n"/>
      <c r="J830" s="9" t="n"/>
    </row>
    <row r="831" ht="22" customHeight="1">
      <c r="A831" s="9" t="n"/>
      <c r="B831" s="9" t="n"/>
      <c r="C831" s="9" t="n"/>
      <c r="D831" s="9" t="n"/>
      <c r="E831" s="9" t="n"/>
      <c r="F831" s="10" t="n"/>
      <c r="G831" s="10" t="n"/>
      <c r="H831" s="10">
        <f>IF(F831="","",F831*IF(G831="",1,G831))</f>
        <v/>
      </c>
      <c r="I831" s="9" t="n"/>
      <c r="J831" s="9" t="n"/>
    </row>
    <row r="832" ht="22" customHeight="1">
      <c r="A832" s="9" t="n"/>
      <c r="B832" s="9" t="n"/>
      <c r="C832" s="9" t="n"/>
      <c r="D832" s="9" t="n"/>
      <c r="E832" s="9" t="n"/>
      <c r="F832" s="10" t="n"/>
      <c r="G832" s="10" t="n"/>
      <c r="H832" s="10">
        <f>IF(F832="","",F832*IF(G832="",1,G832))</f>
        <v/>
      </c>
      <c r="I832" s="9" t="n"/>
      <c r="J832" s="9" t="n"/>
    </row>
    <row r="833" ht="22" customHeight="1">
      <c r="A833" s="9" t="n"/>
      <c r="B833" s="9" t="n"/>
      <c r="C833" s="9" t="n"/>
      <c r="D833" s="9" t="n"/>
      <c r="E833" s="9" t="n"/>
      <c r="F833" s="10" t="n"/>
      <c r="G833" s="10" t="n"/>
      <c r="H833" s="10">
        <f>IF(F833="","",F833*IF(G833="",1,G833))</f>
        <v/>
      </c>
      <c r="I833" s="9" t="n"/>
      <c r="J833" s="9" t="n"/>
    </row>
    <row r="834" ht="22" customHeight="1">
      <c r="A834" s="9" t="n"/>
      <c r="B834" s="9" t="n"/>
      <c r="C834" s="9" t="n"/>
      <c r="D834" s="9" t="n"/>
      <c r="E834" s="9" t="n"/>
      <c r="F834" s="10" t="n"/>
      <c r="G834" s="10" t="n"/>
      <c r="H834" s="10">
        <f>IF(F834="","",F834*IF(G834="",1,G834))</f>
        <v/>
      </c>
      <c r="I834" s="9" t="n"/>
      <c r="J834" s="9" t="n"/>
    </row>
    <row r="835" ht="22" customHeight="1">
      <c r="A835" s="9" t="n"/>
      <c r="B835" s="9" t="n"/>
      <c r="C835" s="9" t="n"/>
      <c r="D835" s="9" t="n"/>
      <c r="E835" s="9" t="n"/>
      <c r="F835" s="10" t="n"/>
      <c r="G835" s="10" t="n"/>
      <c r="H835" s="10">
        <f>IF(F835="","",F835*IF(G835="",1,G835))</f>
        <v/>
      </c>
      <c r="I835" s="9" t="n"/>
      <c r="J835" s="9" t="n"/>
    </row>
    <row r="836" ht="22" customHeight="1">
      <c r="A836" s="9" t="n"/>
      <c r="B836" s="9" t="n"/>
      <c r="C836" s="9" t="n"/>
      <c r="D836" s="9" t="n"/>
      <c r="E836" s="9" t="n"/>
      <c r="F836" s="10" t="n"/>
      <c r="G836" s="10" t="n"/>
      <c r="H836" s="10">
        <f>IF(F836="","",F836*IF(G836="",1,G836))</f>
        <v/>
      </c>
      <c r="I836" s="9" t="n"/>
      <c r="J836" s="9" t="n"/>
    </row>
    <row r="837" ht="22" customHeight="1">
      <c r="A837" s="9" t="n"/>
      <c r="B837" s="9" t="n"/>
      <c r="C837" s="9" t="n"/>
      <c r="D837" s="9" t="n"/>
      <c r="E837" s="9" t="n"/>
      <c r="F837" s="10" t="n"/>
      <c r="G837" s="10" t="n"/>
      <c r="H837" s="10">
        <f>IF(F837="","",F837*IF(G837="",1,G837))</f>
        <v/>
      </c>
      <c r="I837" s="9" t="n"/>
      <c r="J837" s="9" t="n"/>
    </row>
    <row r="838" ht="22" customHeight="1">
      <c r="A838" s="9" t="n"/>
      <c r="B838" s="9" t="n"/>
      <c r="C838" s="9" t="n"/>
      <c r="D838" s="9" t="n"/>
      <c r="E838" s="9" t="n"/>
      <c r="F838" s="10" t="n"/>
      <c r="G838" s="10" t="n"/>
      <c r="H838" s="10">
        <f>IF(F838="","",F838*IF(G838="",1,G838))</f>
        <v/>
      </c>
      <c r="I838" s="9" t="n"/>
      <c r="J838" s="9" t="n"/>
    </row>
    <row r="839" ht="22" customHeight="1">
      <c r="A839" s="9" t="n"/>
      <c r="B839" s="9" t="n"/>
      <c r="C839" s="9" t="n"/>
      <c r="D839" s="9" t="n"/>
      <c r="E839" s="9" t="n"/>
      <c r="F839" s="10" t="n"/>
      <c r="G839" s="10" t="n"/>
      <c r="H839" s="10">
        <f>IF(F839="","",F839*IF(G839="",1,G839))</f>
        <v/>
      </c>
      <c r="I839" s="9" t="n"/>
      <c r="J839" s="9" t="n"/>
    </row>
    <row r="840" ht="22" customHeight="1">
      <c r="A840" s="9" t="n"/>
      <c r="B840" s="9" t="n"/>
      <c r="C840" s="9" t="n"/>
      <c r="D840" s="9" t="n"/>
      <c r="E840" s="9" t="n"/>
      <c r="F840" s="10" t="n"/>
      <c r="G840" s="10" t="n"/>
      <c r="H840" s="10">
        <f>IF(F840="","",F840*IF(G840="",1,G840))</f>
        <v/>
      </c>
      <c r="I840" s="9" t="n"/>
      <c r="J840" s="9" t="n"/>
    </row>
    <row r="841" ht="22" customHeight="1">
      <c r="A841" s="9" t="n"/>
      <c r="B841" s="9" t="n"/>
      <c r="C841" s="9" t="n"/>
      <c r="D841" s="9" t="n"/>
      <c r="E841" s="9" t="n"/>
      <c r="F841" s="10" t="n"/>
      <c r="G841" s="10" t="n"/>
      <c r="H841" s="10">
        <f>IF(F841="","",F841*IF(G841="",1,G841))</f>
        <v/>
      </c>
      <c r="I841" s="9" t="n"/>
      <c r="J841" s="9" t="n"/>
    </row>
    <row r="842" ht="22" customHeight="1">
      <c r="A842" s="9" t="n"/>
      <c r="B842" s="9" t="n"/>
      <c r="C842" s="9" t="n"/>
      <c r="D842" s="9" t="n"/>
      <c r="E842" s="9" t="n"/>
      <c r="F842" s="10" t="n"/>
      <c r="G842" s="10" t="n"/>
      <c r="H842" s="10">
        <f>IF(F842="","",F842*IF(G842="",1,G842))</f>
        <v/>
      </c>
      <c r="I842" s="9" t="n"/>
      <c r="J842" s="9" t="n"/>
    </row>
    <row r="843" ht="22" customHeight="1">
      <c r="A843" s="9" t="n"/>
      <c r="B843" s="9" t="n"/>
      <c r="C843" s="9" t="n"/>
      <c r="D843" s="9" t="n"/>
      <c r="E843" s="9" t="n"/>
      <c r="F843" s="10" t="n"/>
      <c r="G843" s="10" t="n"/>
      <c r="H843" s="10">
        <f>IF(F843="","",F843*IF(G843="",1,G843))</f>
        <v/>
      </c>
      <c r="I843" s="9" t="n"/>
      <c r="J843" s="9" t="n"/>
    </row>
    <row r="844" ht="22" customHeight="1">
      <c r="A844" s="9" t="n"/>
      <c r="B844" s="9" t="n"/>
      <c r="C844" s="9" t="n"/>
      <c r="D844" s="9" t="n"/>
      <c r="E844" s="9" t="n"/>
      <c r="F844" s="10" t="n"/>
      <c r="G844" s="10" t="n"/>
      <c r="H844" s="10">
        <f>IF(F844="","",F844*IF(G844="",1,G844))</f>
        <v/>
      </c>
      <c r="I844" s="9" t="n"/>
      <c r="J844" s="9" t="n"/>
    </row>
    <row r="845" ht="22" customHeight="1">
      <c r="A845" s="9" t="n"/>
      <c r="B845" s="9" t="n"/>
      <c r="C845" s="9" t="n"/>
      <c r="D845" s="9" t="n"/>
      <c r="E845" s="9" t="n"/>
      <c r="F845" s="10" t="n"/>
      <c r="G845" s="10" t="n"/>
      <c r="H845" s="10">
        <f>IF(F845="","",F845*IF(G845="",1,G845))</f>
        <v/>
      </c>
      <c r="I845" s="9" t="n"/>
      <c r="J845" s="9" t="n"/>
    </row>
    <row r="846" ht="22" customHeight="1">
      <c r="A846" s="9" t="n"/>
      <c r="B846" s="9" t="n"/>
      <c r="C846" s="9" t="n"/>
      <c r="D846" s="9" t="n"/>
      <c r="E846" s="9" t="n"/>
      <c r="F846" s="10" t="n"/>
      <c r="G846" s="10" t="n"/>
      <c r="H846" s="10">
        <f>IF(F846="","",F846*IF(G846="",1,G846))</f>
        <v/>
      </c>
      <c r="I846" s="9" t="n"/>
      <c r="J846" s="9" t="n"/>
    </row>
    <row r="847" ht="22" customHeight="1">
      <c r="A847" s="9" t="n"/>
      <c r="B847" s="9" t="n"/>
      <c r="C847" s="9" t="n"/>
      <c r="D847" s="9" t="n"/>
      <c r="E847" s="9" t="n"/>
      <c r="F847" s="10" t="n"/>
      <c r="G847" s="10" t="n"/>
      <c r="H847" s="10">
        <f>IF(F847="","",F847*IF(G847="",1,G847))</f>
        <v/>
      </c>
      <c r="I847" s="9" t="n"/>
      <c r="J847" s="9" t="n"/>
    </row>
    <row r="848" ht="22" customHeight="1">
      <c r="A848" s="9" t="n"/>
      <c r="B848" s="9" t="n"/>
      <c r="C848" s="9" t="n"/>
      <c r="D848" s="9" t="n"/>
      <c r="E848" s="9" t="n"/>
      <c r="F848" s="10" t="n"/>
      <c r="G848" s="10" t="n"/>
      <c r="H848" s="10">
        <f>IF(F848="","",F848*IF(G848="",1,G848))</f>
        <v/>
      </c>
      <c r="I848" s="9" t="n"/>
      <c r="J848" s="9" t="n"/>
    </row>
    <row r="849" ht="22" customHeight="1">
      <c r="A849" s="9" t="n"/>
      <c r="B849" s="9" t="n"/>
      <c r="C849" s="9" t="n"/>
      <c r="D849" s="9" t="n"/>
      <c r="E849" s="9" t="n"/>
      <c r="F849" s="10" t="n"/>
      <c r="G849" s="10" t="n"/>
      <c r="H849" s="10">
        <f>IF(F849="","",F849*IF(G849="",1,G849))</f>
        <v/>
      </c>
      <c r="I849" s="9" t="n"/>
      <c r="J849" s="9" t="n"/>
    </row>
    <row r="850" ht="22" customHeight="1">
      <c r="A850" s="9" t="n"/>
      <c r="B850" s="9" t="n"/>
      <c r="C850" s="9" t="n"/>
      <c r="D850" s="9" t="n"/>
      <c r="E850" s="9" t="n"/>
      <c r="F850" s="10" t="n"/>
      <c r="G850" s="10" t="n"/>
      <c r="H850" s="10">
        <f>IF(F850="","",F850*IF(G850="",1,G850))</f>
        <v/>
      </c>
      <c r="I850" s="9" t="n"/>
      <c r="J850" s="9" t="n"/>
    </row>
    <row r="851" ht="22" customHeight="1">
      <c r="A851" s="9" t="n"/>
      <c r="B851" s="9" t="n"/>
      <c r="C851" s="9" t="n"/>
      <c r="D851" s="9" t="n"/>
      <c r="E851" s="9" t="n"/>
      <c r="F851" s="10" t="n"/>
      <c r="G851" s="10" t="n"/>
      <c r="H851" s="10">
        <f>IF(F851="","",F851*IF(G851="",1,G851))</f>
        <v/>
      </c>
      <c r="I851" s="9" t="n"/>
      <c r="J851" s="9" t="n"/>
    </row>
    <row r="852" ht="22" customHeight="1">
      <c r="A852" s="9" t="n"/>
      <c r="B852" s="9" t="n"/>
      <c r="C852" s="9" t="n"/>
      <c r="D852" s="9" t="n"/>
      <c r="E852" s="9" t="n"/>
      <c r="F852" s="10" t="n"/>
      <c r="G852" s="10" t="n"/>
      <c r="H852" s="10">
        <f>IF(F852="","",F852*IF(G852="",1,G852))</f>
        <v/>
      </c>
      <c r="I852" s="9" t="n"/>
      <c r="J852" s="9" t="n"/>
    </row>
    <row r="853" ht="22" customHeight="1">
      <c r="A853" s="9" t="n"/>
      <c r="B853" s="9" t="n"/>
      <c r="C853" s="9" t="n"/>
      <c r="D853" s="9" t="n"/>
      <c r="E853" s="9" t="n"/>
      <c r="F853" s="10" t="n"/>
      <c r="G853" s="10" t="n"/>
      <c r="H853" s="10">
        <f>IF(F853="","",F853*IF(G853="",1,G853))</f>
        <v/>
      </c>
      <c r="I853" s="9" t="n"/>
      <c r="J853" s="9" t="n"/>
    </row>
    <row r="854" ht="22" customHeight="1">
      <c r="A854" s="9" t="n"/>
      <c r="B854" s="9" t="n"/>
      <c r="C854" s="9" t="n"/>
      <c r="D854" s="9" t="n"/>
      <c r="E854" s="9" t="n"/>
      <c r="F854" s="10" t="n"/>
      <c r="G854" s="10" t="n"/>
      <c r="H854" s="10">
        <f>IF(F854="","",F854*IF(G854="",1,G854))</f>
        <v/>
      </c>
      <c r="I854" s="9" t="n"/>
      <c r="J854" s="9" t="n"/>
    </row>
    <row r="855" ht="22" customHeight="1">
      <c r="A855" s="9" t="n"/>
      <c r="B855" s="9" t="n"/>
      <c r="C855" s="9" t="n"/>
      <c r="D855" s="9" t="n"/>
      <c r="E855" s="9" t="n"/>
      <c r="F855" s="10" t="n"/>
      <c r="G855" s="10" t="n"/>
      <c r="H855" s="10">
        <f>IF(F855="","",F855*IF(G855="",1,G855))</f>
        <v/>
      </c>
      <c r="I855" s="9" t="n"/>
      <c r="J855" s="9" t="n"/>
    </row>
    <row r="856" ht="22" customHeight="1">
      <c r="A856" s="9" t="n"/>
      <c r="B856" s="9" t="n"/>
      <c r="C856" s="9" t="n"/>
      <c r="D856" s="9" t="n"/>
      <c r="E856" s="9" t="n"/>
      <c r="F856" s="10" t="n"/>
      <c r="G856" s="10" t="n"/>
      <c r="H856" s="10">
        <f>IF(F856="","",F856*IF(G856="",1,G856))</f>
        <v/>
      </c>
      <c r="I856" s="9" t="n"/>
      <c r="J856" s="9" t="n"/>
    </row>
    <row r="857" ht="22" customHeight="1">
      <c r="A857" s="9" t="n"/>
      <c r="B857" s="9" t="n"/>
      <c r="C857" s="9" t="n"/>
      <c r="D857" s="9" t="n"/>
      <c r="E857" s="9" t="n"/>
      <c r="F857" s="10" t="n"/>
      <c r="G857" s="10" t="n"/>
      <c r="H857" s="10">
        <f>IF(F857="","",F857*IF(G857="",1,G857))</f>
        <v/>
      </c>
      <c r="I857" s="9" t="n"/>
      <c r="J857" s="9" t="n"/>
    </row>
    <row r="858" ht="22" customHeight="1">
      <c r="A858" s="9" t="n"/>
      <c r="B858" s="9" t="n"/>
      <c r="C858" s="9" t="n"/>
      <c r="D858" s="9" t="n"/>
      <c r="E858" s="9" t="n"/>
      <c r="F858" s="10" t="n"/>
      <c r="G858" s="10" t="n"/>
      <c r="H858" s="10">
        <f>IF(F858="","",F858*IF(G858="",1,G858))</f>
        <v/>
      </c>
      <c r="I858" s="9" t="n"/>
      <c r="J858" s="9" t="n"/>
    </row>
    <row r="859" ht="22" customHeight="1">
      <c r="A859" s="9" t="n"/>
      <c r="B859" s="9" t="n"/>
      <c r="C859" s="9" t="n"/>
      <c r="D859" s="9" t="n"/>
      <c r="E859" s="9" t="n"/>
      <c r="F859" s="10" t="n"/>
      <c r="G859" s="10" t="n"/>
      <c r="H859" s="10">
        <f>IF(F859="","",F859*IF(G859="",1,G859))</f>
        <v/>
      </c>
      <c r="I859" s="9" t="n"/>
      <c r="J859" s="9" t="n"/>
    </row>
    <row r="860" ht="22" customHeight="1">
      <c r="A860" s="9" t="n"/>
      <c r="B860" s="9" t="n"/>
      <c r="C860" s="9" t="n"/>
      <c r="D860" s="9" t="n"/>
      <c r="E860" s="9" t="n"/>
      <c r="F860" s="10" t="n"/>
      <c r="G860" s="10" t="n"/>
      <c r="H860" s="10">
        <f>IF(F860="","",F860*IF(G860="",1,G860))</f>
        <v/>
      </c>
      <c r="I860" s="9" t="n"/>
      <c r="J860" s="9" t="n"/>
    </row>
    <row r="861" ht="22" customHeight="1">
      <c r="A861" s="9" t="n"/>
      <c r="B861" s="9" t="n"/>
      <c r="C861" s="9" t="n"/>
      <c r="D861" s="9" t="n"/>
      <c r="E861" s="9" t="n"/>
      <c r="F861" s="10" t="n"/>
      <c r="G861" s="10" t="n"/>
      <c r="H861" s="10">
        <f>IF(F861="","",F861*IF(G861="",1,G861))</f>
        <v/>
      </c>
      <c r="I861" s="9" t="n"/>
      <c r="J861" s="9" t="n"/>
    </row>
    <row r="862" ht="22" customHeight="1">
      <c r="A862" s="9" t="n"/>
      <c r="B862" s="9" t="n"/>
      <c r="C862" s="9" t="n"/>
      <c r="D862" s="9" t="n"/>
      <c r="E862" s="9" t="n"/>
      <c r="F862" s="10" t="n"/>
      <c r="G862" s="10" t="n"/>
      <c r="H862" s="10">
        <f>IF(F862="","",F862*IF(G862="",1,G862))</f>
        <v/>
      </c>
      <c r="I862" s="9" t="n"/>
      <c r="J862" s="9" t="n"/>
    </row>
    <row r="863" ht="22" customHeight="1">
      <c r="A863" s="9" t="n"/>
      <c r="B863" s="9" t="n"/>
      <c r="C863" s="9" t="n"/>
      <c r="D863" s="9" t="n"/>
      <c r="E863" s="9" t="n"/>
      <c r="F863" s="10" t="n"/>
      <c r="G863" s="10" t="n"/>
      <c r="H863" s="10">
        <f>IF(F863="","",F863*IF(G863="",1,G863))</f>
        <v/>
      </c>
      <c r="I863" s="9" t="n"/>
      <c r="J863" s="9" t="n"/>
    </row>
    <row r="864" ht="22" customHeight="1">
      <c r="A864" s="9" t="n"/>
      <c r="B864" s="9" t="n"/>
      <c r="C864" s="9" t="n"/>
      <c r="D864" s="9" t="n"/>
      <c r="E864" s="9" t="n"/>
      <c r="F864" s="10" t="n"/>
      <c r="G864" s="10" t="n"/>
      <c r="H864" s="10">
        <f>IF(F864="","",F864*IF(G864="",1,G864))</f>
        <v/>
      </c>
      <c r="I864" s="9" t="n"/>
      <c r="J864" s="9" t="n"/>
    </row>
    <row r="865" ht="22" customHeight="1">
      <c r="A865" s="9" t="n"/>
      <c r="B865" s="9" t="n"/>
      <c r="C865" s="9" t="n"/>
      <c r="D865" s="9" t="n"/>
      <c r="E865" s="9" t="n"/>
      <c r="F865" s="10" t="n"/>
      <c r="G865" s="10" t="n"/>
      <c r="H865" s="10">
        <f>IF(F865="","",F865*IF(G865="",1,G865))</f>
        <v/>
      </c>
      <c r="I865" s="9" t="n"/>
      <c r="J865" s="9" t="n"/>
    </row>
    <row r="866" ht="22" customHeight="1">
      <c r="A866" s="9" t="n"/>
      <c r="B866" s="9" t="n"/>
      <c r="C866" s="9" t="n"/>
      <c r="D866" s="9" t="n"/>
      <c r="E866" s="9" t="n"/>
      <c r="F866" s="10" t="n"/>
      <c r="G866" s="10" t="n"/>
      <c r="H866" s="10">
        <f>IF(F866="","",F866*IF(G866="",1,G866))</f>
        <v/>
      </c>
      <c r="I866" s="9" t="n"/>
      <c r="J866" s="9" t="n"/>
    </row>
    <row r="867" ht="22" customHeight="1">
      <c r="A867" s="9" t="n"/>
      <c r="B867" s="9" t="n"/>
      <c r="C867" s="9" t="n"/>
      <c r="D867" s="9" t="n"/>
      <c r="E867" s="9" t="n"/>
      <c r="F867" s="10" t="n"/>
      <c r="G867" s="10" t="n"/>
      <c r="H867" s="10">
        <f>IF(F867="","",F867*IF(G867="",1,G867))</f>
        <v/>
      </c>
      <c r="I867" s="9" t="n"/>
      <c r="J867" s="9" t="n"/>
    </row>
    <row r="868" ht="22" customHeight="1">
      <c r="A868" s="9" t="n"/>
      <c r="B868" s="9" t="n"/>
      <c r="C868" s="9" t="n"/>
      <c r="D868" s="9" t="n"/>
      <c r="E868" s="9" t="n"/>
      <c r="F868" s="10" t="n"/>
      <c r="G868" s="10" t="n"/>
      <c r="H868" s="10">
        <f>IF(F868="","",F868*IF(G868="",1,G868))</f>
        <v/>
      </c>
      <c r="I868" s="9" t="n"/>
      <c r="J868" s="9" t="n"/>
    </row>
    <row r="869" ht="22" customHeight="1">
      <c r="A869" s="9" t="n"/>
      <c r="B869" s="9" t="n"/>
      <c r="C869" s="9" t="n"/>
      <c r="D869" s="9" t="n"/>
      <c r="E869" s="9" t="n"/>
      <c r="F869" s="10" t="n"/>
      <c r="G869" s="10" t="n"/>
      <c r="H869" s="10">
        <f>IF(F869="","",F869*IF(G869="",1,G869))</f>
        <v/>
      </c>
      <c r="I869" s="9" t="n"/>
      <c r="J869" s="9" t="n"/>
    </row>
    <row r="870" ht="22" customHeight="1">
      <c r="A870" s="9" t="n"/>
      <c r="B870" s="9" t="n"/>
      <c r="C870" s="9" t="n"/>
      <c r="D870" s="9" t="n"/>
      <c r="E870" s="9" t="n"/>
      <c r="F870" s="10" t="n"/>
      <c r="G870" s="10" t="n"/>
      <c r="H870" s="10">
        <f>IF(F870="","",F870*IF(G870="",1,G870))</f>
        <v/>
      </c>
      <c r="I870" s="9" t="n"/>
      <c r="J870" s="9" t="n"/>
    </row>
    <row r="871" ht="22" customHeight="1">
      <c r="A871" s="9" t="n"/>
      <c r="B871" s="9" t="n"/>
      <c r="C871" s="9" t="n"/>
      <c r="D871" s="9" t="n"/>
      <c r="E871" s="9" t="n"/>
      <c r="F871" s="10" t="n"/>
      <c r="G871" s="10" t="n"/>
      <c r="H871" s="10">
        <f>IF(F871="","",F871*IF(G871="",1,G871))</f>
        <v/>
      </c>
      <c r="I871" s="9" t="n"/>
      <c r="J871" s="9" t="n"/>
    </row>
    <row r="872" ht="22" customHeight="1">
      <c r="A872" s="9" t="n"/>
      <c r="B872" s="9" t="n"/>
      <c r="C872" s="9" t="n"/>
      <c r="D872" s="9" t="n"/>
      <c r="E872" s="9" t="n"/>
      <c r="F872" s="10" t="n"/>
      <c r="G872" s="10" t="n"/>
      <c r="H872" s="10">
        <f>IF(F872="","",F872*IF(G872="",1,G872))</f>
        <v/>
      </c>
      <c r="I872" s="9" t="n"/>
      <c r="J872" s="9" t="n"/>
    </row>
    <row r="873" ht="22" customHeight="1">
      <c r="A873" s="9" t="n"/>
      <c r="B873" s="9" t="n"/>
      <c r="C873" s="9" t="n"/>
      <c r="D873" s="9" t="n"/>
      <c r="E873" s="9" t="n"/>
      <c r="F873" s="10" t="n"/>
      <c r="G873" s="10" t="n"/>
      <c r="H873" s="10">
        <f>IF(F873="","",F873*IF(G873="",1,G873))</f>
        <v/>
      </c>
      <c r="I873" s="9" t="n"/>
      <c r="J873" s="9" t="n"/>
    </row>
    <row r="874" ht="22" customHeight="1">
      <c r="A874" s="9" t="n"/>
      <c r="B874" s="9" t="n"/>
      <c r="C874" s="9" t="n"/>
      <c r="D874" s="9" t="n"/>
      <c r="E874" s="9" t="n"/>
      <c r="F874" s="10" t="n"/>
      <c r="G874" s="10" t="n"/>
      <c r="H874" s="10">
        <f>IF(F874="","",F874*IF(G874="",1,G874))</f>
        <v/>
      </c>
      <c r="I874" s="9" t="n"/>
      <c r="J874" s="9" t="n"/>
    </row>
    <row r="875" ht="22" customHeight="1">
      <c r="A875" s="9" t="n"/>
      <c r="B875" s="9" t="n"/>
      <c r="C875" s="9" t="n"/>
      <c r="D875" s="9" t="n"/>
      <c r="E875" s="9" t="n"/>
      <c r="F875" s="10" t="n"/>
      <c r="G875" s="10" t="n"/>
      <c r="H875" s="10">
        <f>IF(F875="","",F875*IF(G875="",1,G875))</f>
        <v/>
      </c>
      <c r="I875" s="9" t="n"/>
      <c r="J875" s="9" t="n"/>
    </row>
    <row r="876" ht="22" customHeight="1">
      <c r="A876" s="9" t="n"/>
      <c r="B876" s="9" t="n"/>
      <c r="C876" s="9" t="n"/>
      <c r="D876" s="9" t="n"/>
      <c r="E876" s="9" t="n"/>
      <c r="F876" s="10" t="n"/>
      <c r="G876" s="10" t="n"/>
      <c r="H876" s="10">
        <f>IF(F876="","",F876*IF(G876="",1,G876))</f>
        <v/>
      </c>
      <c r="I876" s="9" t="n"/>
      <c r="J876" s="9" t="n"/>
    </row>
    <row r="877" ht="22" customHeight="1">
      <c r="A877" s="9" t="n"/>
      <c r="B877" s="9" t="n"/>
      <c r="C877" s="9" t="n"/>
      <c r="D877" s="9" t="n"/>
      <c r="E877" s="9" t="n"/>
      <c r="F877" s="10" t="n"/>
      <c r="G877" s="10" t="n"/>
      <c r="H877" s="10">
        <f>IF(F877="","",F877*IF(G877="",1,G877))</f>
        <v/>
      </c>
      <c r="I877" s="9" t="n"/>
      <c r="J877" s="9" t="n"/>
    </row>
    <row r="878" ht="22" customHeight="1">
      <c r="A878" s="9" t="n"/>
      <c r="B878" s="9" t="n"/>
      <c r="C878" s="9" t="n"/>
      <c r="D878" s="9" t="n"/>
      <c r="E878" s="9" t="n"/>
      <c r="F878" s="10" t="n"/>
      <c r="G878" s="10" t="n"/>
      <c r="H878" s="10">
        <f>IF(F878="","",F878*IF(G878="",1,G878))</f>
        <v/>
      </c>
      <c r="I878" s="9" t="n"/>
      <c r="J878" s="9" t="n"/>
    </row>
    <row r="879" ht="22" customHeight="1">
      <c r="A879" s="9" t="n"/>
      <c r="B879" s="9" t="n"/>
      <c r="C879" s="9" t="n"/>
      <c r="D879" s="9" t="n"/>
      <c r="E879" s="9" t="n"/>
      <c r="F879" s="10" t="n"/>
      <c r="G879" s="10" t="n"/>
      <c r="H879" s="10">
        <f>IF(F879="","",F879*IF(G879="",1,G879))</f>
        <v/>
      </c>
      <c r="I879" s="9" t="n"/>
      <c r="J879" s="9" t="n"/>
    </row>
    <row r="880" ht="22" customHeight="1">
      <c r="A880" s="9" t="n"/>
      <c r="B880" s="9" t="n"/>
      <c r="C880" s="9" t="n"/>
      <c r="D880" s="9" t="n"/>
      <c r="E880" s="9" t="n"/>
      <c r="F880" s="10" t="n"/>
      <c r="G880" s="10" t="n"/>
      <c r="H880" s="10">
        <f>IF(F880="","",F880*IF(G880="",1,G880))</f>
        <v/>
      </c>
      <c r="I880" s="9" t="n"/>
      <c r="J880" s="9" t="n"/>
    </row>
    <row r="881" ht="22" customHeight="1">
      <c r="A881" s="9" t="n"/>
      <c r="B881" s="9" t="n"/>
      <c r="C881" s="9" t="n"/>
      <c r="D881" s="9" t="n"/>
      <c r="E881" s="9" t="n"/>
      <c r="F881" s="10" t="n"/>
      <c r="G881" s="10" t="n"/>
      <c r="H881" s="10">
        <f>IF(F881="","",F881*IF(G881="",1,G881))</f>
        <v/>
      </c>
      <c r="I881" s="9" t="n"/>
      <c r="J881" s="9" t="n"/>
    </row>
    <row r="882" ht="22" customHeight="1">
      <c r="A882" s="9" t="n"/>
      <c r="B882" s="9" t="n"/>
      <c r="C882" s="9" t="n"/>
      <c r="D882" s="9" t="n"/>
      <c r="E882" s="9" t="n"/>
      <c r="F882" s="10" t="n"/>
      <c r="G882" s="10" t="n"/>
      <c r="H882" s="10">
        <f>IF(F882="","",F882*IF(G882="",1,G882))</f>
        <v/>
      </c>
      <c r="I882" s="9" t="n"/>
      <c r="J882" s="9" t="n"/>
    </row>
    <row r="883" ht="22" customHeight="1">
      <c r="A883" s="9" t="n"/>
      <c r="B883" s="9" t="n"/>
      <c r="C883" s="9" t="n"/>
      <c r="D883" s="9" t="n"/>
      <c r="E883" s="9" t="n"/>
      <c r="F883" s="10" t="n"/>
      <c r="G883" s="10" t="n"/>
      <c r="H883" s="10">
        <f>IF(F883="","",F883*IF(G883="",1,G883))</f>
        <v/>
      </c>
      <c r="I883" s="9" t="n"/>
      <c r="J883" s="9" t="n"/>
    </row>
    <row r="884" ht="22" customHeight="1">
      <c r="A884" s="9" t="n"/>
      <c r="B884" s="9" t="n"/>
      <c r="C884" s="9" t="n"/>
      <c r="D884" s="9" t="n"/>
      <c r="E884" s="9" t="n"/>
      <c r="F884" s="10" t="n"/>
      <c r="G884" s="10" t="n"/>
      <c r="H884" s="10">
        <f>IF(F884="","",F884*IF(G884="",1,G884))</f>
        <v/>
      </c>
      <c r="I884" s="9" t="n"/>
      <c r="J884" s="9" t="n"/>
    </row>
    <row r="885" ht="22" customHeight="1">
      <c r="A885" s="9" t="n"/>
      <c r="B885" s="9" t="n"/>
      <c r="C885" s="9" t="n"/>
      <c r="D885" s="9" t="n"/>
      <c r="E885" s="9" t="n"/>
      <c r="F885" s="10" t="n"/>
      <c r="G885" s="10" t="n"/>
      <c r="H885" s="10">
        <f>IF(F885="","",F885*IF(G885="",1,G885))</f>
        <v/>
      </c>
      <c r="I885" s="9" t="n"/>
      <c r="J885" s="9" t="n"/>
    </row>
    <row r="886" ht="22" customHeight="1">
      <c r="A886" s="9" t="n"/>
      <c r="B886" s="9" t="n"/>
      <c r="C886" s="9" t="n"/>
      <c r="D886" s="9" t="n"/>
      <c r="E886" s="9" t="n"/>
      <c r="F886" s="10" t="n"/>
      <c r="G886" s="10" t="n"/>
      <c r="H886" s="10">
        <f>IF(F886="","",F886*IF(G886="",1,G886))</f>
        <v/>
      </c>
      <c r="I886" s="9" t="n"/>
      <c r="J886" s="9" t="n"/>
    </row>
    <row r="887" ht="22" customHeight="1">
      <c r="A887" s="9" t="n"/>
      <c r="B887" s="9" t="n"/>
      <c r="C887" s="9" t="n"/>
      <c r="D887" s="9" t="n"/>
      <c r="E887" s="9" t="n"/>
      <c r="F887" s="10" t="n"/>
      <c r="G887" s="10" t="n"/>
      <c r="H887" s="10">
        <f>IF(F887="","",F887*IF(G887="",1,G887))</f>
        <v/>
      </c>
      <c r="I887" s="9" t="n"/>
      <c r="J887" s="9" t="n"/>
    </row>
    <row r="888" ht="22" customHeight="1">
      <c r="A888" s="9" t="n"/>
      <c r="B888" s="9" t="n"/>
      <c r="C888" s="9" t="n"/>
      <c r="D888" s="9" t="n"/>
      <c r="E888" s="9" t="n"/>
      <c r="F888" s="10" t="n"/>
      <c r="G888" s="10" t="n"/>
      <c r="H888" s="10">
        <f>IF(F888="","",F888*IF(G888="",1,G888))</f>
        <v/>
      </c>
      <c r="I888" s="9" t="n"/>
      <c r="J888" s="9" t="n"/>
    </row>
    <row r="889" ht="22" customHeight="1">
      <c r="A889" s="9" t="n"/>
      <c r="B889" s="9" t="n"/>
      <c r="C889" s="9" t="n"/>
      <c r="D889" s="9" t="n"/>
      <c r="E889" s="9" t="n"/>
      <c r="F889" s="10" t="n"/>
      <c r="G889" s="10" t="n"/>
      <c r="H889" s="10">
        <f>IF(F889="","",F889*IF(G889="",1,G889))</f>
        <v/>
      </c>
      <c r="I889" s="9" t="n"/>
      <c r="J889" s="9" t="n"/>
    </row>
    <row r="890" ht="22" customHeight="1">
      <c r="A890" s="9" t="n"/>
      <c r="B890" s="9" t="n"/>
      <c r="C890" s="9" t="n"/>
      <c r="D890" s="9" t="n"/>
      <c r="E890" s="9" t="n"/>
      <c r="F890" s="10" t="n"/>
      <c r="G890" s="10" t="n"/>
      <c r="H890" s="10">
        <f>IF(F890="","",F890*IF(G890="",1,G890))</f>
        <v/>
      </c>
      <c r="I890" s="9" t="n"/>
      <c r="J890" s="9" t="n"/>
    </row>
    <row r="891" ht="22" customHeight="1">
      <c r="A891" s="9" t="n"/>
      <c r="B891" s="9" t="n"/>
      <c r="C891" s="9" t="n"/>
      <c r="D891" s="9" t="n"/>
      <c r="E891" s="9" t="n"/>
      <c r="F891" s="10" t="n"/>
      <c r="G891" s="10" t="n"/>
      <c r="H891" s="10">
        <f>IF(F891="","",F891*IF(G891="",1,G891))</f>
        <v/>
      </c>
      <c r="I891" s="9" t="n"/>
      <c r="J891" s="9" t="n"/>
    </row>
    <row r="892" ht="22" customHeight="1">
      <c r="A892" s="9" t="n"/>
      <c r="B892" s="9" t="n"/>
      <c r="C892" s="9" t="n"/>
      <c r="D892" s="9" t="n"/>
      <c r="E892" s="9" t="n"/>
      <c r="F892" s="10" t="n"/>
      <c r="G892" s="10" t="n"/>
      <c r="H892" s="10">
        <f>IF(F892="","",F892*IF(G892="",1,G892))</f>
        <v/>
      </c>
      <c r="I892" s="9" t="n"/>
      <c r="J892" s="9" t="n"/>
    </row>
    <row r="893" ht="22" customHeight="1">
      <c r="A893" s="9" t="n"/>
      <c r="B893" s="9" t="n"/>
      <c r="C893" s="9" t="n"/>
      <c r="D893" s="9" t="n"/>
      <c r="E893" s="9" t="n"/>
      <c r="F893" s="10" t="n"/>
      <c r="G893" s="10" t="n"/>
      <c r="H893" s="10">
        <f>IF(F893="","",F893*IF(G893="",1,G893))</f>
        <v/>
      </c>
      <c r="I893" s="9" t="n"/>
      <c r="J893" s="9" t="n"/>
    </row>
    <row r="894" ht="22" customHeight="1">
      <c r="A894" s="9" t="n"/>
      <c r="B894" s="9" t="n"/>
      <c r="C894" s="9" t="n"/>
      <c r="D894" s="9" t="n"/>
      <c r="E894" s="9" t="n"/>
      <c r="F894" s="10" t="n"/>
      <c r="G894" s="10" t="n"/>
      <c r="H894" s="10">
        <f>IF(F894="","",F894*IF(G894="",1,G894))</f>
        <v/>
      </c>
      <c r="I894" s="9" t="n"/>
      <c r="J894" s="9" t="n"/>
    </row>
    <row r="895" ht="22" customHeight="1">
      <c r="A895" s="9" t="n"/>
      <c r="B895" s="9" t="n"/>
      <c r="C895" s="9" t="n"/>
      <c r="D895" s="9" t="n"/>
      <c r="E895" s="9" t="n"/>
      <c r="F895" s="10" t="n"/>
      <c r="G895" s="10" t="n"/>
      <c r="H895" s="10">
        <f>IF(F895="","",F895*IF(G895="",1,G895))</f>
        <v/>
      </c>
      <c r="I895" s="9" t="n"/>
      <c r="J895" s="9" t="n"/>
    </row>
    <row r="896" ht="22" customHeight="1">
      <c r="A896" s="9" t="n"/>
      <c r="B896" s="9" t="n"/>
      <c r="C896" s="9" t="n"/>
      <c r="D896" s="9" t="n"/>
      <c r="E896" s="9" t="n"/>
      <c r="F896" s="10" t="n"/>
      <c r="G896" s="10" t="n"/>
      <c r="H896" s="10">
        <f>IF(F896="","",F896*IF(G896="",1,G896))</f>
        <v/>
      </c>
      <c r="I896" s="9" t="n"/>
      <c r="J896" s="9" t="n"/>
    </row>
    <row r="897" ht="22" customHeight="1">
      <c r="A897" s="9" t="n"/>
      <c r="B897" s="9" t="n"/>
      <c r="C897" s="9" t="n"/>
      <c r="D897" s="9" t="n"/>
      <c r="E897" s="9" t="n"/>
      <c r="F897" s="10" t="n"/>
      <c r="G897" s="10" t="n"/>
      <c r="H897" s="10">
        <f>IF(F897="","",F897*IF(G897="",1,G897))</f>
        <v/>
      </c>
      <c r="I897" s="9" t="n"/>
      <c r="J897" s="9" t="n"/>
    </row>
    <row r="898" ht="22" customHeight="1">
      <c r="A898" s="9" t="n"/>
      <c r="B898" s="9" t="n"/>
      <c r="C898" s="9" t="n"/>
      <c r="D898" s="9" t="n"/>
      <c r="E898" s="9" t="n"/>
      <c r="F898" s="10" t="n"/>
      <c r="G898" s="10" t="n"/>
      <c r="H898" s="10">
        <f>IF(F898="","",F898*IF(G898="",1,G898))</f>
        <v/>
      </c>
      <c r="I898" s="9" t="n"/>
      <c r="J898" s="9" t="n"/>
    </row>
    <row r="899" ht="22" customHeight="1">
      <c r="A899" s="9" t="n"/>
      <c r="B899" s="9" t="n"/>
      <c r="C899" s="9" t="n"/>
      <c r="D899" s="9" t="n"/>
      <c r="E899" s="9" t="n"/>
      <c r="F899" s="10" t="n"/>
      <c r="G899" s="10" t="n"/>
      <c r="H899" s="10">
        <f>IF(F899="","",F899*IF(G899="",1,G899))</f>
        <v/>
      </c>
      <c r="I899" s="9" t="n"/>
      <c r="J899" s="9" t="n"/>
    </row>
    <row r="900" ht="22" customHeight="1">
      <c r="A900" s="9" t="n"/>
      <c r="B900" s="9" t="n"/>
      <c r="C900" s="9" t="n"/>
      <c r="D900" s="9" t="n"/>
      <c r="E900" s="9" t="n"/>
      <c r="F900" s="10" t="n"/>
      <c r="G900" s="10" t="n"/>
      <c r="H900" s="10">
        <f>IF(F900="","",F900*IF(G900="",1,G900))</f>
        <v/>
      </c>
      <c r="I900" s="9" t="n"/>
      <c r="J900" s="9" t="n"/>
    </row>
    <row r="901" ht="22" customHeight="1">
      <c r="A901" s="9" t="n"/>
      <c r="B901" s="9" t="n"/>
      <c r="C901" s="9" t="n"/>
      <c r="D901" s="9" t="n"/>
      <c r="E901" s="9" t="n"/>
      <c r="F901" s="10" t="n"/>
      <c r="G901" s="10" t="n"/>
      <c r="H901" s="10">
        <f>IF(F901="","",F901*IF(G901="",1,G901))</f>
        <v/>
      </c>
      <c r="I901" s="9" t="n"/>
      <c r="J901" s="9" t="n"/>
    </row>
    <row r="902" ht="22" customHeight="1">
      <c r="A902" s="9" t="n"/>
      <c r="B902" s="9" t="n"/>
      <c r="C902" s="9" t="n"/>
      <c r="D902" s="9" t="n"/>
      <c r="E902" s="9" t="n"/>
      <c r="F902" s="10" t="n"/>
      <c r="G902" s="10" t="n"/>
      <c r="H902" s="10">
        <f>IF(F902="","",F902*IF(G902="",1,G902))</f>
        <v/>
      </c>
      <c r="I902" s="9" t="n"/>
      <c r="J902" s="9" t="n"/>
    </row>
    <row r="903" ht="22" customHeight="1">
      <c r="A903" s="9" t="n"/>
      <c r="B903" s="9" t="n"/>
      <c r="C903" s="9" t="n"/>
      <c r="D903" s="9" t="n"/>
      <c r="E903" s="9" t="n"/>
      <c r="F903" s="10" t="n"/>
      <c r="G903" s="10" t="n"/>
      <c r="H903" s="10">
        <f>IF(F903="","",F903*IF(G903="",1,G903))</f>
        <v/>
      </c>
      <c r="I903" s="9" t="n"/>
      <c r="J903" s="9" t="n"/>
    </row>
    <row r="904" ht="22" customHeight="1">
      <c r="A904" s="9" t="n"/>
      <c r="B904" s="9" t="n"/>
      <c r="C904" s="9" t="n"/>
      <c r="D904" s="9" t="n"/>
      <c r="E904" s="9" t="n"/>
      <c r="F904" s="10" t="n"/>
      <c r="G904" s="10" t="n"/>
      <c r="H904" s="10">
        <f>IF(F904="","",F904*IF(G904="",1,G904))</f>
        <v/>
      </c>
      <c r="I904" s="9" t="n"/>
      <c r="J904" s="9" t="n"/>
    </row>
    <row r="905" ht="22" customHeight="1">
      <c r="A905" s="9" t="n"/>
      <c r="B905" s="9" t="n"/>
      <c r="C905" s="9" t="n"/>
      <c r="D905" s="9" t="n"/>
      <c r="E905" s="9" t="n"/>
      <c r="F905" s="10" t="n"/>
      <c r="G905" s="10" t="n"/>
      <c r="H905" s="10">
        <f>IF(F905="","",F905*IF(G905="",1,G905))</f>
        <v/>
      </c>
      <c r="I905" s="9" t="n"/>
      <c r="J905" s="9" t="n"/>
    </row>
    <row r="906" ht="22" customHeight="1">
      <c r="A906" s="9" t="n"/>
      <c r="B906" s="9" t="n"/>
      <c r="C906" s="9" t="n"/>
      <c r="D906" s="9" t="n"/>
      <c r="E906" s="9" t="n"/>
      <c r="F906" s="10" t="n"/>
      <c r="G906" s="10" t="n"/>
      <c r="H906" s="10">
        <f>IF(F906="","",F906*IF(G906="",1,G906))</f>
        <v/>
      </c>
      <c r="I906" s="9" t="n"/>
      <c r="J906" s="9" t="n"/>
    </row>
    <row r="907" ht="22" customHeight="1">
      <c r="A907" s="9" t="n"/>
      <c r="B907" s="9" t="n"/>
      <c r="C907" s="9" t="n"/>
      <c r="D907" s="9" t="n"/>
      <c r="E907" s="9" t="n"/>
      <c r="F907" s="10" t="n"/>
      <c r="G907" s="10" t="n"/>
      <c r="H907" s="10">
        <f>IF(F907="","",F907*IF(G907="",1,G907))</f>
        <v/>
      </c>
      <c r="I907" s="9" t="n"/>
      <c r="J907" s="9" t="n"/>
    </row>
    <row r="908" ht="22" customHeight="1">
      <c r="A908" s="9" t="n"/>
      <c r="B908" s="9" t="n"/>
      <c r="C908" s="9" t="n"/>
      <c r="D908" s="9" t="n"/>
      <c r="E908" s="9" t="n"/>
      <c r="F908" s="10" t="n"/>
      <c r="G908" s="10" t="n"/>
      <c r="H908" s="10">
        <f>IF(F908="","",F908*IF(G908="",1,G908))</f>
        <v/>
      </c>
      <c r="I908" s="9" t="n"/>
      <c r="J908" s="9" t="n"/>
    </row>
    <row r="909" ht="22" customHeight="1">
      <c r="A909" s="9" t="n"/>
      <c r="B909" s="9" t="n"/>
      <c r="C909" s="9" t="n"/>
      <c r="D909" s="9" t="n"/>
      <c r="E909" s="9" t="n"/>
      <c r="F909" s="10" t="n"/>
      <c r="G909" s="10" t="n"/>
      <c r="H909" s="10">
        <f>IF(F909="","",F909*IF(G909="",1,G909))</f>
        <v/>
      </c>
      <c r="I909" s="9" t="n"/>
      <c r="J909" s="9" t="n"/>
    </row>
    <row r="910" ht="22" customHeight="1">
      <c r="A910" s="9" t="n"/>
      <c r="B910" s="9" t="n"/>
      <c r="C910" s="9" t="n"/>
      <c r="D910" s="9" t="n"/>
      <c r="E910" s="9" t="n"/>
      <c r="F910" s="10" t="n"/>
      <c r="G910" s="10" t="n"/>
      <c r="H910" s="10">
        <f>IF(F910="","",F910*IF(G910="",1,G910))</f>
        <v/>
      </c>
      <c r="I910" s="9" t="n"/>
      <c r="J910" s="9" t="n"/>
    </row>
    <row r="911" ht="22" customHeight="1">
      <c r="A911" s="9" t="n"/>
      <c r="B911" s="9" t="n"/>
      <c r="C911" s="9" t="n"/>
      <c r="D911" s="9" t="n"/>
      <c r="E911" s="9" t="n"/>
      <c r="F911" s="10" t="n"/>
      <c r="G911" s="10" t="n"/>
      <c r="H911" s="10">
        <f>IF(F911="","",F911*IF(G911="",1,G911))</f>
        <v/>
      </c>
      <c r="I911" s="9" t="n"/>
      <c r="J911" s="9" t="n"/>
    </row>
    <row r="912" ht="22" customHeight="1">
      <c r="A912" s="9" t="n"/>
      <c r="B912" s="9" t="n"/>
      <c r="C912" s="9" t="n"/>
      <c r="D912" s="9" t="n"/>
      <c r="E912" s="9" t="n"/>
      <c r="F912" s="10" t="n"/>
      <c r="G912" s="10" t="n"/>
      <c r="H912" s="10">
        <f>IF(F912="","",F912*IF(G912="",1,G912))</f>
        <v/>
      </c>
      <c r="I912" s="9" t="n"/>
      <c r="J912" s="9" t="n"/>
    </row>
    <row r="913" ht="22" customHeight="1">
      <c r="A913" s="9" t="n"/>
      <c r="B913" s="9" t="n"/>
      <c r="C913" s="9" t="n"/>
      <c r="D913" s="9" t="n"/>
      <c r="E913" s="9" t="n"/>
      <c r="F913" s="10" t="n"/>
      <c r="G913" s="10" t="n"/>
      <c r="H913" s="10">
        <f>IF(F913="","",F913*IF(G913="",1,G913))</f>
        <v/>
      </c>
      <c r="I913" s="9" t="n"/>
      <c r="J913" s="9" t="n"/>
    </row>
    <row r="914" ht="22" customHeight="1">
      <c r="A914" s="9" t="n"/>
      <c r="B914" s="9" t="n"/>
      <c r="C914" s="9" t="n"/>
      <c r="D914" s="9" t="n"/>
      <c r="E914" s="9" t="n"/>
      <c r="F914" s="10" t="n"/>
      <c r="G914" s="10" t="n"/>
      <c r="H914" s="10">
        <f>IF(F914="","",F914*IF(G914="",1,G914))</f>
        <v/>
      </c>
      <c r="I914" s="9" t="n"/>
      <c r="J914" s="9" t="n"/>
    </row>
    <row r="915" ht="22" customHeight="1">
      <c r="A915" s="9" t="n"/>
      <c r="B915" s="9" t="n"/>
      <c r="C915" s="9" t="n"/>
      <c r="D915" s="9" t="n"/>
      <c r="E915" s="9" t="n"/>
      <c r="F915" s="10" t="n"/>
      <c r="G915" s="10" t="n"/>
      <c r="H915" s="10">
        <f>IF(F915="","",F915*IF(G915="",1,G915))</f>
        <v/>
      </c>
      <c r="I915" s="9" t="n"/>
      <c r="J915" s="9" t="n"/>
    </row>
    <row r="916" ht="22" customHeight="1">
      <c r="A916" s="9" t="n"/>
      <c r="B916" s="9" t="n"/>
      <c r="C916" s="9" t="n"/>
      <c r="D916" s="9" t="n"/>
      <c r="E916" s="9" t="n"/>
      <c r="F916" s="10" t="n"/>
      <c r="G916" s="10" t="n"/>
      <c r="H916" s="10">
        <f>IF(F916="","",F916*IF(G916="",1,G916))</f>
        <v/>
      </c>
      <c r="I916" s="9" t="n"/>
      <c r="J916" s="9" t="n"/>
    </row>
    <row r="917" ht="22" customHeight="1">
      <c r="A917" s="9" t="n"/>
      <c r="B917" s="9" t="n"/>
      <c r="C917" s="9" t="n"/>
      <c r="D917" s="9" t="n"/>
      <c r="E917" s="9" t="n"/>
      <c r="F917" s="10" t="n"/>
      <c r="G917" s="10" t="n"/>
      <c r="H917" s="10">
        <f>IF(F917="","",F917*IF(G917="",1,G917))</f>
        <v/>
      </c>
      <c r="I917" s="9" t="n"/>
      <c r="J917" s="9" t="n"/>
    </row>
    <row r="918" ht="22" customHeight="1">
      <c r="A918" s="9" t="n"/>
      <c r="B918" s="9" t="n"/>
      <c r="C918" s="9" t="n"/>
      <c r="D918" s="9" t="n"/>
      <c r="E918" s="9" t="n"/>
      <c r="F918" s="10" t="n"/>
      <c r="G918" s="10" t="n"/>
      <c r="H918" s="10">
        <f>IF(F918="","",F918*IF(G918="",1,G918))</f>
        <v/>
      </c>
      <c r="I918" s="9" t="n"/>
      <c r="J918" s="9" t="n"/>
    </row>
    <row r="919" ht="22" customHeight="1">
      <c r="A919" s="9" t="n"/>
      <c r="B919" s="9" t="n"/>
      <c r="C919" s="9" t="n"/>
      <c r="D919" s="9" t="n"/>
      <c r="E919" s="9" t="n"/>
      <c r="F919" s="10" t="n"/>
      <c r="G919" s="10" t="n"/>
      <c r="H919" s="10">
        <f>IF(F919="","",F919*IF(G919="",1,G919))</f>
        <v/>
      </c>
      <c r="I919" s="9" t="n"/>
      <c r="J919" s="9" t="n"/>
    </row>
    <row r="920" ht="22" customHeight="1">
      <c r="A920" s="9" t="n"/>
      <c r="B920" s="9" t="n"/>
      <c r="C920" s="9" t="n"/>
      <c r="D920" s="9" t="n"/>
      <c r="E920" s="9" t="n"/>
      <c r="F920" s="10" t="n"/>
      <c r="G920" s="10" t="n"/>
      <c r="H920" s="10">
        <f>IF(F920="","",F920*IF(G920="",1,G920))</f>
        <v/>
      </c>
      <c r="I920" s="9" t="n"/>
      <c r="J920" s="9" t="n"/>
    </row>
    <row r="921" ht="22" customHeight="1">
      <c r="A921" s="9" t="n"/>
      <c r="B921" s="9" t="n"/>
      <c r="C921" s="9" t="n"/>
      <c r="D921" s="9" t="n"/>
      <c r="E921" s="9" t="n"/>
      <c r="F921" s="10" t="n"/>
      <c r="G921" s="10" t="n"/>
      <c r="H921" s="10">
        <f>IF(F921="","",F921*IF(G921="",1,G921))</f>
        <v/>
      </c>
      <c r="I921" s="9" t="n"/>
      <c r="J921" s="9" t="n"/>
    </row>
    <row r="922" ht="22" customHeight="1">
      <c r="A922" s="9" t="n"/>
      <c r="B922" s="9" t="n"/>
      <c r="C922" s="9" t="n"/>
      <c r="D922" s="9" t="n"/>
      <c r="E922" s="9" t="n"/>
      <c r="F922" s="10" t="n"/>
      <c r="G922" s="10" t="n"/>
      <c r="H922" s="10">
        <f>IF(F922="","",F922*IF(G922="",1,G922))</f>
        <v/>
      </c>
      <c r="I922" s="9" t="n"/>
      <c r="J922" s="9" t="n"/>
    </row>
    <row r="923" ht="22" customHeight="1">
      <c r="A923" s="9" t="n"/>
      <c r="B923" s="9" t="n"/>
      <c r="C923" s="9" t="n"/>
      <c r="D923" s="9" t="n"/>
      <c r="E923" s="9" t="n"/>
      <c r="F923" s="10" t="n"/>
      <c r="G923" s="10" t="n"/>
      <c r="H923" s="10">
        <f>IF(F923="","",F923*IF(G923="",1,G923))</f>
        <v/>
      </c>
      <c r="I923" s="9" t="n"/>
      <c r="J923" s="9" t="n"/>
    </row>
    <row r="924" ht="22" customHeight="1">
      <c r="A924" s="9" t="n"/>
      <c r="B924" s="9" t="n"/>
      <c r="C924" s="9" t="n"/>
      <c r="D924" s="9" t="n"/>
      <c r="E924" s="9" t="n"/>
      <c r="F924" s="10" t="n"/>
      <c r="G924" s="10" t="n"/>
      <c r="H924" s="10">
        <f>IF(F924="","",F924*IF(G924="",1,G924))</f>
        <v/>
      </c>
      <c r="I924" s="9" t="n"/>
      <c r="J924" s="9" t="n"/>
    </row>
    <row r="925" ht="22" customHeight="1">
      <c r="A925" s="9" t="n"/>
      <c r="B925" s="9" t="n"/>
      <c r="C925" s="9" t="n"/>
      <c r="D925" s="9" t="n"/>
      <c r="E925" s="9" t="n"/>
      <c r="F925" s="10" t="n"/>
      <c r="G925" s="10" t="n"/>
      <c r="H925" s="10">
        <f>IF(F925="","",F925*IF(G925="",1,G925))</f>
        <v/>
      </c>
      <c r="I925" s="9" t="n"/>
      <c r="J925" s="9" t="n"/>
    </row>
    <row r="926" ht="22" customHeight="1">
      <c r="A926" s="9" t="n"/>
      <c r="B926" s="9" t="n"/>
      <c r="C926" s="9" t="n"/>
      <c r="D926" s="9" t="n"/>
      <c r="E926" s="9" t="n"/>
      <c r="F926" s="10" t="n"/>
      <c r="G926" s="10" t="n"/>
      <c r="H926" s="10">
        <f>IF(F926="","",F926*IF(G926="",1,G926))</f>
        <v/>
      </c>
      <c r="I926" s="9" t="n"/>
      <c r="J926" s="9" t="n"/>
    </row>
    <row r="927" ht="22" customHeight="1">
      <c r="A927" s="9" t="n"/>
      <c r="B927" s="9" t="n"/>
      <c r="C927" s="9" t="n"/>
      <c r="D927" s="9" t="n"/>
      <c r="E927" s="9" t="n"/>
      <c r="F927" s="10" t="n"/>
      <c r="G927" s="10" t="n"/>
      <c r="H927" s="10">
        <f>IF(F927="","",F927*IF(G927="",1,G927))</f>
        <v/>
      </c>
      <c r="I927" s="9" t="n"/>
      <c r="J927" s="9" t="n"/>
    </row>
    <row r="928" ht="22" customHeight="1">
      <c r="A928" s="9" t="n"/>
      <c r="B928" s="9" t="n"/>
      <c r="C928" s="9" t="n"/>
      <c r="D928" s="9" t="n"/>
      <c r="E928" s="9" t="n"/>
      <c r="F928" s="10" t="n"/>
      <c r="G928" s="10" t="n"/>
      <c r="H928" s="10">
        <f>IF(F928="","",F928*IF(G928="",1,G928))</f>
        <v/>
      </c>
      <c r="I928" s="9" t="n"/>
      <c r="J928" s="9" t="n"/>
    </row>
    <row r="929" ht="22" customHeight="1">
      <c r="A929" s="9" t="n"/>
      <c r="B929" s="9" t="n"/>
      <c r="C929" s="9" t="n"/>
      <c r="D929" s="9" t="n"/>
      <c r="E929" s="9" t="n"/>
      <c r="F929" s="10" t="n"/>
      <c r="G929" s="10" t="n"/>
      <c r="H929" s="10">
        <f>IF(F929="","",F929*IF(G929="",1,G929))</f>
        <v/>
      </c>
      <c r="I929" s="9" t="n"/>
      <c r="J929" s="9" t="n"/>
    </row>
    <row r="930" ht="22" customHeight="1">
      <c r="A930" s="9" t="n"/>
      <c r="B930" s="9" t="n"/>
      <c r="C930" s="9" t="n"/>
      <c r="D930" s="9" t="n"/>
      <c r="E930" s="9" t="n"/>
      <c r="F930" s="10" t="n"/>
      <c r="G930" s="10" t="n"/>
      <c r="H930" s="10">
        <f>IF(F930="","",F930*IF(G930="",1,G930))</f>
        <v/>
      </c>
      <c r="I930" s="9" t="n"/>
      <c r="J930" s="9" t="n"/>
    </row>
    <row r="931" ht="22" customHeight="1">
      <c r="A931" s="9" t="n"/>
      <c r="B931" s="9" t="n"/>
      <c r="C931" s="9" t="n"/>
      <c r="D931" s="9" t="n"/>
      <c r="E931" s="9" t="n"/>
      <c r="F931" s="10" t="n"/>
      <c r="G931" s="10" t="n"/>
      <c r="H931" s="10">
        <f>IF(F931="","",F931*IF(G931="",1,G931))</f>
        <v/>
      </c>
      <c r="I931" s="9" t="n"/>
      <c r="J931" s="9" t="n"/>
    </row>
    <row r="932" ht="22" customHeight="1">
      <c r="A932" s="9" t="n"/>
      <c r="B932" s="9" t="n"/>
      <c r="C932" s="9" t="n"/>
      <c r="D932" s="9" t="n"/>
      <c r="E932" s="9" t="n"/>
      <c r="F932" s="10" t="n"/>
      <c r="G932" s="10" t="n"/>
      <c r="H932" s="10">
        <f>IF(F932="","",F932*IF(G932="",1,G932))</f>
        <v/>
      </c>
      <c r="I932" s="9" t="n"/>
      <c r="J932" s="9" t="n"/>
    </row>
    <row r="933" ht="22" customHeight="1">
      <c r="A933" s="9" t="n"/>
      <c r="B933" s="9" t="n"/>
      <c r="C933" s="9" t="n"/>
      <c r="D933" s="9" t="n"/>
      <c r="E933" s="9" t="n"/>
      <c r="F933" s="10" t="n"/>
      <c r="G933" s="10" t="n"/>
      <c r="H933" s="10">
        <f>IF(F933="","",F933*IF(G933="",1,G933))</f>
        <v/>
      </c>
      <c r="I933" s="9" t="n"/>
      <c r="J933" s="9" t="n"/>
    </row>
    <row r="934" ht="22" customHeight="1">
      <c r="A934" s="9" t="n"/>
      <c r="B934" s="9" t="n"/>
      <c r="C934" s="9" t="n"/>
      <c r="D934" s="9" t="n"/>
      <c r="E934" s="9" t="n"/>
      <c r="F934" s="10" t="n"/>
      <c r="G934" s="10" t="n"/>
      <c r="H934" s="10">
        <f>IF(F934="","",F934*IF(G934="",1,G934))</f>
        <v/>
      </c>
      <c r="I934" s="9" t="n"/>
      <c r="J934" s="9" t="n"/>
    </row>
    <row r="935" ht="22" customHeight="1">
      <c r="A935" s="9" t="n"/>
      <c r="B935" s="9" t="n"/>
      <c r="C935" s="9" t="n"/>
      <c r="D935" s="9" t="n"/>
      <c r="E935" s="9" t="n"/>
      <c r="F935" s="10" t="n"/>
      <c r="G935" s="10" t="n"/>
      <c r="H935" s="10">
        <f>IF(F935="","",F935*IF(G935="",1,G935))</f>
        <v/>
      </c>
      <c r="I935" s="9" t="n"/>
      <c r="J935" s="9" t="n"/>
    </row>
    <row r="936" ht="22" customHeight="1">
      <c r="A936" s="9" t="n"/>
      <c r="B936" s="9" t="n"/>
      <c r="C936" s="9" t="n"/>
      <c r="D936" s="9" t="n"/>
      <c r="E936" s="9" t="n"/>
      <c r="F936" s="10" t="n"/>
      <c r="G936" s="10" t="n"/>
      <c r="H936" s="10">
        <f>IF(F936="","",F936*IF(G936="",1,G936))</f>
        <v/>
      </c>
      <c r="I936" s="9" t="n"/>
      <c r="J936" s="9" t="n"/>
    </row>
    <row r="937" ht="22" customHeight="1">
      <c r="A937" s="9" t="n"/>
      <c r="B937" s="9" t="n"/>
      <c r="C937" s="9" t="n"/>
      <c r="D937" s="9" t="n"/>
      <c r="E937" s="9" t="n"/>
      <c r="F937" s="10" t="n"/>
      <c r="G937" s="10" t="n"/>
      <c r="H937" s="10">
        <f>IF(F937="","",F937*IF(G937="",1,G937))</f>
        <v/>
      </c>
      <c r="I937" s="9" t="n"/>
      <c r="J937" s="9" t="n"/>
    </row>
    <row r="938" ht="22" customHeight="1">
      <c r="A938" s="9" t="n"/>
      <c r="B938" s="9" t="n"/>
      <c r="C938" s="9" t="n"/>
      <c r="D938" s="9" t="n"/>
      <c r="E938" s="9" t="n"/>
      <c r="F938" s="10" t="n"/>
      <c r="G938" s="10" t="n"/>
      <c r="H938" s="10">
        <f>IF(F938="","",F938*IF(G938="",1,G938))</f>
        <v/>
      </c>
      <c r="I938" s="9" t="n"/>
      <c r="J938" s="9" t="n"/>
    </row>
    <row r="939" ht="22" customHeight="1">
      <c r="A939" s="9" t="n"/>
      <c r="B939" s="9" t="n"/>
      <c r="C939" s="9" t="n"/>
      <c r="D939" s="9" t="n"/>
      <c r="E939" s="9" t="n"/>
      <c r="F939" s="10" t="n"/>
      <c r="G939" s="10" t="n"/>
      <c r="H939" s="10">
        <f>IF(F939="","",F939*IF(G939="",1,G939))</f>
        <v/>
      </c>
      <c r="I939" s="9" t="n"/>
      <c r="J939" s="9" t="n"/>
    </row>
    <row r="940" ht="22" customHeight="1">
      <c r="A940" s="9" t="n"/>
      <c r="B940" s="9" t="n"/>
      <c r="C940" s="9" t="n"/>
      <c r="D940" s="9" t="n"/>
      <c r="E940" s="9" t="n"/>
      <c r="F940" s="10" t="n"/>
      <c r="G940" s="10" t="n"/>
      <c r="H940" s="10">
        <f>IF(F940="","",F940*IF(G940="",1,G940))</f>
        <v/>
      </c>
      <c r="I940" s="9" t="n"/>
      <c r="J940" s="9" t="n"/>
    </row>
    <row r="941" ht="22" customHeight="1">
      <c r="A941" s="9" t="n"/>
      <c r="B941" s="9" t="n"/>
      <c r="C941" s="9" t="n"/>
      <c r="D941" s="9" t="n"/>
      <c r="E941" s="9" t="n"/>
      <c r="F941" s="10" t="n"/>
      <c r="G941" s="10" t="n"/>
      <c r="H941" s="10">
        <f>IF(F941="","",F941*IF(G941="",1,G941))</f>
        <v/>
      </c>
      <c r="I941" s="9" t="n"/>
      <c r="J941" s="9" t="n"/>
    </row>
    <row r="942" ht="22" customHeight="1">
      <c r="A942" s="9" t="n"/>
      <c r="B942" s="9" t="n"/>
      <c r="C942" s="9" t="n"/>
      <c r="D942" s="9" t="n"/>
      <c r="E942" s="9" t="n"/>
      <c r="F942" s="10" t="n"/>
      <c r="G942" s="10" t="n"/>
      <c r="H942" s="10">
        <f>IF(F942="","",F942*IF(G942="",1,G942))</f>
        <v/>
      </c>
      <c r="I942" s="9" t="n"/>
      <c r="J942" s="9" t="n"/>
    </row>
    <row r="943" ht="22" customHeight="1">
      <c r="A943" s="9" t="n"/>
      <c r="B943" s="9" t="n"/>
      <c r="C943" s="9" t="n"/>
      <c r="D943" s="9" t="n"/>
      <c r="E943" s="9" t="n"/>
      <c r="F943" s="10" t="n"/>
      <c r="G943" s="10" t="n"/>
      <c r="H943" s="10">
        <f>IF(F943="","",F943*IF(G943="",1,G943))</f>
        <v/>
      </c>
      <c r="I943" s="9" t="n"/>
      <c r="J943" s="9" t="n"/>
    </row>
    <row r="944" ht="22" customHeight="1">
      <c r="A944" s="9" t="n"/>
      <c r="B944" s="9" t="n"/>
      <c r="C944" s="9" t="n"/>
      <c r="D944" s="9" t="n"/>
      <c r="E944" s="9" t="n"/>
      <c r="F944" s="10" t="n"/>
      <c r="G944" s="10" t="n"/>
      <c r="H944" s="10">
        <f>IF(F944="","",F944*IF(G944="",1,G944))</f>
        <v/>
      </c>
      <c r="I944" s="9" t="n"/>
      <c r="J944" s="9" t="n"/>
    </row>
    <row r="945" ht="22" customHeight="1">
      <c r="A945" s="9" t="n"/>
      <c r="B945" s="9" t="n"/>
      <c r="C945" s="9" t="n"/>
      <c r="D945" s="9" t="n"/>
      <c r="E945" s="9" t="n"/>
      <c r="F945" s="10" t="n"/>
      <c r="G945" s="10" t="n"/>
      <c r="H945" s="10">
        <f>IF(F945="","",F945*IF(G945="",1,G945))</f>
        <v/>
      </c>
      <c r="I945" s="9" t="n"/>
      <c r="J945" s="9" t="n"/>
    </row>
    <row r="946" ht="22" customHeight="1">
      <c r="A946" s="9" t="n"/>
      <c r="B946" s="9" t="n"/>
      <c r="C946" s="9" t="n"/>
      <c r="D946" s="9" t="n"/>
      <c r="E946" s="9" t="n"/>
      <c r="F946" s="10" t="n"/>
      <c r="G946" s="10" t="n"/>
      <c r="H946" s="10">
        <f>IF(F946="","",F946*IF(G946="",1,G946))</f>
        <v/>
      </c>
      <c r="I946" s="9" t="n"/>
      <c r="J946" s="9" t="n"/>
    </row>
    <row r="947" ht="22" customHeight="1">
      <c r="A947" s="9" t="n"/>
      <c r="B947" s="9" t="n"/>
      <c r="C947" s="9" t="n"/>
      <c r="D947" s="9" t="n"/>
      <c r="E947" s="9" t="n"/>
      <c r="F947" s="10" t="n"/>
      <c r="G947" s="10" t="n"/>
      <c r="H947" s="10">
        <f>IF(F947="","",F947*IF(G947="",1,G947))</f>
        <v/>
      </c>
      <c r="I947" s="9" t="n"/>
      <c r="J947" s="9" t="n"/>
    </row>
    <row r="948" ht="22" customHeight="1">
      <c r="A948" s="9" t="n"/>
      <c r="B948" s="9" t="n"/>
      <c r="C948" s="9" t="n"/>
      <c r="D948" s="9" t="n"/>
      <c r="E948" s="9" t="n"/>
      <c r="F948" s="10" t="n"/>
      <c r="G948" s="10" t="n"/>
      <c r="H948" s="10">
        <f>IF(F948="","",F948*IF(G948="",1,G948))</f>
        <v/>
      </c>
      <c r="I948" s="9" t="n"/>
      <c r="J948" s="9" t="n"/>
    </row>
    <row r="949" ht="22" customHeight="1">
      <c r="A949" s="9" t="n"/>
      <c r="B949" s="9" t="n"/>
      <c r="C949" s="9" t="n"/>
      <c r="D949" s="9" t="n"/>
      <c r="E949" s="9" t="n"/>
      <c r="F949" s="10" t="n"/>
      <c r="G949" s="10" t="n"/>
      <c r="H949" s="10">
        <f>IF(F949="","",F949*IF(G949="",1,G949))</f>
        <v/>
      </c>
      <c r="I949" s="9" t="n"/>
      <c r="J949" s="9" t="n"/>
    </row>
    <row r="950" ht="22" customHeight="1">
      <c r="A950" s="9" t="n"/>
      <c r="B950" s="9" t="n"/>
      <c r="C950" s="9" t="n"/>
      <c r="D950" s="9" t="n"/>
      <c r="E950" s="9" t="n"/>
      <c r="F950" s="10" t="n"/>
      <c r="G950" s="10" t="n"/>
      <c r="H950" s="10">
        <f>IF(F950="","",F950*IF(G950="",1,G950))</f>
        <v/>
      </c>
      <c r="I950" s="9" t="n"/>
      <c r="J950" s="9" t="n"/>
    </row>
    <row r="951" ht="22" customHeight="1">
      <c r="A951" s="9" t="n"/>
      <c r="B951" s="9" t="n"/>
      <c r="C951" s="9" t="n"/>
      <c r="D951" s="9" t="n"/>
      <c r="E951" s="9" t="n"/>
      <c r="F951" s="10" t="n"/>
      <c r="G951" s="10" t="n"/>
      <c r="H951" s="10">
        <f>IF(F951="","",F951*IF(G951="",1,G951))</f>
        <v/>
      </c>
      <c r="I951" s="9" t="n"/>
      <c r="J951" s="9" t="n"/>
    </row>
    <row r="952" ht="22" customHeight="1">
      <c r="A952" s="9" t="n"/>
      <c r="B952" s="9" t="n"/>
      <c r="C952" s="9" t="n"/>
      <c r="D952" s="9" t="n"/>
      <c r="E952" s="9" t="n"/>
      <c r="F952" s="10" t="n"/>
      <c r="G952" s="10" t="n"/>
      <c r="H952" s="10">
        <f>IF(F952="","",F952*IF(G952="",1,G952))</f>
        <v/>
      </c>
      <c r="I952" s="9" t="n"/>
      <c r="J952" s="9" t="n"/>
    </row>
    <row r="953" ht="22" customHeight="1">
      <c r="A953" s="9" t="n"/>
      <c r="B953" s="9" t="n"/>
      <c r="C953" s="9" t="n"/>
      <c r="D953" s="9" t="n"/>
      <c r="E953" s="9" t="n"/>
      <c r="F953" s="10" t="n"/>
      <c r="G953" s="10" t="n"/>
      <c r="H953" s="10">
        <f>IF(F953="","",F953*IF(G953="",1,G953))</f>
        <v/>
      </c>
      <c r="I953" s="9" t="n"/>
      <c r="J953" s="9" t="n"/>
    </row>
    <row r="954" ht="22" customHeight="1">
      <c r="A954" s="9" t="n"/>
      <c r="B954" s="9" t="n"/>
      <c r="C954" s="9" t="n"/>
      <c r="D954" s="9" t="n"/>
      <c r="E954" s="9" t="n"/>
      <c r="F954" s="10" t="n"/>
      <c r="G954" s="10" t="n"/>
      <c r="H954" s="10">
        <f>IF(F954="","",F954*IF(G954="",1,G954))</f>
        <v/>
      </c>
      <c r="I954" s="9" t="n"/>
      <c r="J954" s="9" t="n"/>
    </row>
    <row r="955" ht="22" customHeight="1">
      <c r="A955" s="9" t="n"/>
      <c r="B955" s="9" t="n"/>
      <c r="C955" s="9" t="n"/>
      <c r="D955" s="9" t="n"/>
      <c r="E955" s="9" t="n"/>
      <c r="F955" s="10" t="n"/>
      <c r="G955" s="10" t="n"/>
      <c r="H955" s="10">
        <f>IF(F955="","",F955*IF(G955="",1,G955))</f>
        <v/>
      </c>
      <c r="I955" s="9" t="n"/>
      <c r="J955" s="9" t="n"/>
    </row>
    <row r="956" ht="22" customHeight="1">
      <c r="A956" s="9" t="n"/>
      <c r="B956" s="9" t="n"/>
      <c r="C956" s="9" t="n"/>
      <c r="D956" s="9" t="n"/>
      <c r="E956" s="9" t="n"/>
      <c r="F956" s="10" t="n"/>
      <c r="G956" s="10" t="n"/>
      <c r="H956" s="10">
        <f>IF(F956="","",F956*IF(G956="",1,G956))</f>
        <v/>
      </c>
      <c r="I956" s="9" t="n"/>
      <c r="J956" s="9" t="n"/>
    </row>
    <row r="957" ht="22" customHeight="1">
      <c r="A957" s="9" t="n"/>
      <c r="B957" s="9" t="n"/>
      <c r="C957" s="9" t="n"/>
      <c r="D957" s="9" t="n"/>
      <c r="E957" s="9" t="n"/>
      <c r="F957" s="10" t="n"/>
      <c r="G957" s="10" t="n"/>
      <c r="H957" s="10">
        <f>IF(F957="","",F957*IF(G957="",1,G957))</f>
        <v/>
      </c>
      <c r="I957" s="9" t="n"/>
      <c r="J957" s="9" t="n"/>
    </row>
    <row r="958" ht="22" customHeight="1">
      <c r="A958" s="9" t="n"/>
      <c r="B958" s="9" t="n"/>
      <c r="C958" s="9" t="n"/>
      <c r="D958" s="9" t="n"/>
      <c r="E958" s="9" t="n"/>
      <c r="F958" s="10" t="n"/>
      <c r="G958" s="10" t="n"/>
      <c r="H958" s="10">
        <f>IF(F958="","",F958*IF(G958="",1,G958))</f>
        <v/>
      </c>
      <c r="I958" s="9" t="n"/>
      <c r="J958" s="9" t="n"/>
    </row>
    <row r="959" ht="22" customHeight="1">
      <c r="A959" s="9" t="n"/>
      <c r="B959" s="9" t="n"/>
      <c r="C959" s="9" t="n"/>
      <c r="D959" s="9" t="n"/>
      <c r="E959" s="9" t="n"/>
      <c r="F959" s="10" t="n"/>
      <c r="G959" s="10" t="n"/>
      <c r="H959" s="10">
        <f>IF(F959="","",F959*IF(G959="",1,G959))</f>
        <v/>
      </c>
      <c r="I959" s="9" t="n"/>
      <c r="J959" s="9" t="n"/>
    </row>
    <row r="960" ht="22" customHeight="1">
      <c r="A960" s="9" t="n"/>
      <c r="B960" s="9" t="n"/>
      <c r="C960" s="9" t="n"/>
      <c r="D960" s="9" t="n"/>
      <c r="E960" s="9" t="n"/>
      <c r="F960" s="10" t="n"/>
      <c r="G960" s="10" t="n"/>
      <c r="H960" s="10">
        <f>IF(F960="","",F960*IF(G960="",1,G960))</f>
        <v/>
      </c>
      <c r="I960" s="9" t="n"/>
      <c r="J960" s="9" t="n"/>
    </row>
    <row r="961" ht="22" customHeight="1">
      <c r="A961" s="9" t="n"/>
      <c r="B961" s="9" t="n"/>
      <c r="C961" s="9" t="n"/>
      <c r="D961" s="9" t="n"/>
      <c r="E961" s="9" t="n"/>
      <c r="F961" s="10" t="n"/>
      <c r="G961" s="10" t="n"/>
      <c r="H961" s="10">
        <f>IF(F961="","",F961*IF(G961="",1,G961))</f>
        <v/>
      </c>
      <c r="I961" s="9" t="n"/>
      <c r="J961" s="9" t="n"/>
    </row>
    <row r="962" ht="22" customHeight="1">
      <c r="A962" s="9" t="n"/>
      <c r="B962" s="9" t="n"/>
      <c r="C962" s="9" t="n"/>
      <c r="D962" s="9" t="n"/>
      <c r="E962" s="9" t="n"/>
      <c r="F962" s="10" t="n"/>
      <c r="G962" s="10" t="n"/>
      <c r="H962" s="10">
        <f>IF(F962="","",F962*IF(G962="",1,G962))</f>
        <v/>
      </c>
      <c r="I962" s="9" t="n"/>
      <c r="J962" s="9" t="n"/>
    </row>
    <row r="963" ht="22" customHeight="1">
      <c r="A963" s="9" t="n"/>
      <c r="B963" s="9" t="n"/>
      <c r="C963" s="9" t="n"/>
      <c r="D963" s="9" t="n"/>
      <c r="E963" s="9" t="n"/>
      <c r="F963" s="10" t="n"/>
      <c r="G963" s="10" t="n"/>
      <c r="H963" s="10">
        <f>IF(F963="","",F963*IF(G963="",1,G963))</f>
        <v/>
      </c>
      <c r="I963" s="9" t="n"/>
      <c r="J963" s="9" t="n"/>
    </row>
    <row r="964" ht="22" customHeight="1">
      <c r="A964" s="9" t="n"/>
      <c r="B964" s="9" t="n"/>
      <c r="C964" s="9" t="n"/>
      <c r="D964" s="9" t="n"/>
      <c r="E964" s="9" t="n"/>
      <c r="F964" s="10" t="n"/>
      <c r="G964" s="10" t="n"/>
      <c r="H964" s="10">
        <f>IF(F964="","",F964*IF(G964="",1,G964))</f>
        <v/>
      </c>
      <c r="I964" s="9" t="n"/>
      <c r="J964" s="9" t="n"/>
    </row>
    <row r="965" ht="22" customHeight="1">
      <c r="A965" s="9" t="n"/>
      <c r="B965" s="9" t="n"/>
      <c r="C965" s="9" t="n"/>
      <c r="D965" s="9" t="n"/>
      <c r="E965" s="9" t="n"/>
      <c r="F965" s="10" t="n"/>
      <c r="G965" s="10" t="n"/>
      <c r="H965" s="10">
        <f>IF(F965="","",F965*IF(G965="",1,G965))</f>
        <v/>
      </c>
      <c r="I965" s="9" t="n"/>
      <c r="J965" s="9" t="n"/>
    </row>
    <row r="966" ht="22" customHeight="1">
      <c r="A966" s="9" t="n"/>
      <c r="B966" s="9" t="n"/>
      <c r="C966" s="9" t="n"/>
      <c r="D966" s="9" t="n"/>
      <c r="E966" s="9" t="n"/>
      <c r="F966" s="10" t="n"/>
      <c r="G966" s="10" t="n"/>
      <c r="H966" s="10">
        <f>IF(F966="","",F966*IF(G966="",1,G966))</f>
        <v/>
      </c>
      <c r="I966" s="9" t="n"/>
      <c r="J966" s="9" t="n"/>
    </row>
    <row r="967" ht="22" customHeight="1">
      <c r="A967" s="9" t="n"/>
      <c r="B967" s="9" t="n"/>
      <c r="C967" s="9" t="n"/>
      <c r="D967" s="9" t="n"/>
      <c r="E967" s="9" t="n"/>
      <c r="F967" s="10" t="n"/>
      <c r="G967" s="10" t="n"/>
      <c r="H967" s="10">
        <f>IF(F967="","",F967*IF(G967="",1,G967))</f>
        <v/>
      </c>
      <c r="I967" s="9" t="n"/>
      <c r="J967" s="9" t="n"/>
    </row>
    <row r="968" ht="22" customHeight="1">
      <c r="A968" s="9" t="n"/>
      <c r="B968" s="9" t="n"/>
      <c r="C968" s="9" t="n"/>
      <c r="D968" s="9" t="n"/>
      <c r="E968" s="9" t="n"/>
      <c r="F968" s="10" t="n"/>
      <c r="G968" s="10" t="n"/>
      <c r="H968" s="10">
        <f>IF(F968="","",F968*IF(G968="",1,G968))</f>
        <v/>
      </c>
      <c r="I968" s="9" t="n"/>
      <c r="J968" s="9" t="n"/>
    </row>
    <row r="969" ht="22" customHeight="1">
      <c r="A969" s="9" t="n"/>
      <c r="B969" s="9" t="n"/>
      <c r="C969" s="9" t="n"/>
      <c r="D969" s="9" t="n"/>
      <c r="E969" s="9" t="n"/>
      <c r="F969" s="10" t="n"/>
      <c r="G969" s="10" t="n"/>
      <c r="H969" s="10">
        <f>IF(F969="","",F969*IF(G969="",1,G969))</f>
        <v/>
      </c>
      <c r="I969" s="9" t="n"/>
      <c r="J969" s="9" t="n"/>
    </row>
    <row r="970" ht="22" customHeight="1">
      <c r="A970" s="9" t="n"/>
      <c r="B970" s="9" t="n"/>
      <c r="C970" s="9" t="n"/>
      <c r="D970" s="9" t="n"/>
      <c r="E970" s="9" t="n"/>
      <c r="F970" s="10" t="n"/>
      <c r="G970" s="10" t="n"/>
      <c r="H970" s="10">
        <f>IF(F970="","",F970*IF(G970="",1,G970))</f>
        <v/>
      </c>
      <c r="I970" s="9" t="n"/>
      <c r="J970" s="9" t="n"/>
    </row>
    <row r="971" ht="22" customHeight="1">
      <c r="A971" s="9" t="n"/>
      <c r="B971" s="9" t="n"/>
      <c r="C971" s="9" t="n"/>
      <c r="D971" s="9" t="n"/>
      <c r="E971" s="9" t="n"/>
      <c r="F971" s="10" t="n"/>
      <c r="G971" s="10" t="n"/>
      <c r="H971" s="10">
        <f>IF(F971="","",F971*IF(G971="",1,G971))</f>
        <v/>
      </c>
      <c r="I971" s="9" t="n"/>
      <c r="J971" s="9" t="n"/>
    </row>
    <row r="972" ht="22" customHeight="1">
      <c r="A972" s="9" t="n"/>
      <c r="B972" s="9" t="n"/>
      <c r="C972" s="9" t="n"/>
      <c r="D972" s="9" t="n"/>
      <c r="E972" s="9" t="n"/>
      <c r="F972" s="10" t="n"/>
      <c r="G972" s="10" t="n"/>
      <c r="H972" s="10">
        <f>IF(F972="","",F972*IF(G972="",1,G972))</f>
        <v/>
      </c>
      <c r="I972" s="9" t="n"/>
      <c r="J972" s="9" t="n"/>
    </row>
    <row r="973" ht="22" customHeight="1">
      <c r="A973" s="9" t="n"/>
      <c r="B973" s="9" t="n"/>
      <c r="C973" s="9" t="n"/>
      <c r="D973" s="9" t="n"/>
      <c r="E973" s="9" t="n"/>
      <c r="F973" s="10" t="n"/>
      <c r="G973" s="10" t="n"/>
      <c r="H973" s="10">
        <f>IF(F973="","",F973*IF(G973="",1,G973))</f>
        <v/>
      </c>
      <c r="I973" s="9" t="n"/>
      <c r="J973" s="9" t="n"/>
    </row>
    <row r="974" ht="22" customHeight="1">
      <c r="A974" s="9" t="n"/>
      <c r="B974" s="9" t="n"/>
      <c r="C974" s="9" t="n"/>
      <c r="D974" s="9" t="n"/>
      <c r="E974" s="9" t="n"/>
      <c r="F974" s="10" t="n"/>
      <c r="G974" s="10" t="n"/>
      <c r="H974" s="10">
        <f>IF(F974="","",F974*IF(G974="",1,G974))</f>
        <v/>
      </c>
      <c r="I974" s="9" t="n"/>
      <c r="J974" s="9" t="n"/>
    </row>
    <row r="975" ht="22" customHeight="1">
      <c r="A975" s="9" t="n"/>
      <c r="B975" s="9" t="n"/>
      <c r="C975" s="9" t="n"/>
      <c r="D975" s="9" t="n"/>
      <c r="E975" s="9" t="n"/>
      <c r="F975" s="10" t="n"/>
      <c r="G975" s="10" t="n"/>
      <c r="H975" s="10">
        <f>IF(F975="","",F975*IF(G975="",1,G975))</f>
        <v/>
      </c>
      <c r="I975" s="9" t="n"/>
      <c r="J975" s="9" t="n"/>
    </row>
    <row r="976" ht="22" customHeight="1">
      <c r="A976" s="9" t="n"/>
      <c r="B976" s="9" t="n"/>
      <c r="C976" s="9" t="n"/>
      <c r="D976" s="9" t="n"/>
      <c r="E976" s="9" t="n"/>
      <c r="F976" s="10" t="n"/>
      <c r="G976" s="10" t="n"/>
      <c r="H976" s="10">
        <f>IF(F976="","",F976*IF(G976="",1,G976))</f>
        <v/>
      </c>
      <c r="I976" s="9" t="n"/>
      <c r="J976" s="9" t="n"/>
    </row>
    <row r="977" ht="22" customHeight="1">
      <c r="A977" s="9" t="n"/>
      <c r="B977" s="9" t="n"/>
      <c r="C977" s="9" t="n"/>
      <c r="D977" s="9" t="n"/>
      <c r="E977" s="9" t="n"/>
      <c r="F977" s="10" t="n"/>
      <c r="G977" s="10" t="n"/>
      <c r="H977" s="10">
        <f>IF(F977="","",F977*IF(G977="",1,G977))</f>
        <v/>
      </c>
      <c r="I977" s="9" t="n"/>
      <c r="J977" s="9" t="n"/>
    </row>
    <row r="978" ht="22" customHeight="1">
      <c r="A978" s="9" t="n"/>
      <c r="B978" s="9" t="n"/>
      <c r="C978" s="9" t="n"/>
      <c r="D978" s="9" t="n"/>
      <c r="E978" s="9" t="n"/>
      <c r="F978" s="10" t="n"/>
      <c r="G978" s="10" t="n"/>
      <c r="H978" s="10">
        <f>IF(F978="","",F978*IF(G978="",1,G978))</f>
        <v/>
      </c>
      <c r="I978" s="9" t="n"/>
      <c r="J978" s="9" t="n"/>
    </row>
    <row r="979" ht="22" customHeight="1">
      <c r="A979" s="9" t="n"/>
      <c r="B979" s="9" t="n"/>
      <c r="C979" s="9" t="n"/>
      <c r="D979" s="9" t="n"/>
      <c r="E979" s="9" t="n"/>
      <c r="F979" s="10" t="n"/>
      <c r="G979" s="10" t="n"/>
      <c r="H979" s="10">
        <f>IF(F979="","",F979*IF(G979="",1,G979))</f>
        <v/>
      </c>
      <c r="I979" s="9" t="n"/>
      <c r="J979" s="9" t="n"/>
    </row>
    <row r="980" ht="22" customHeight="1">
      <c r="A980" s="9" t="n"/>
      <c r="B980" s="9" t="n"/>
      <c r="C980" s="9" t="n"/>
      <c r="D980" s="9" t="n"/>
      <c r="E980" s="9" t="n"/>
      <c r="F980" s="10" t="n"/>
      <c r="G980" s="10" t="n"/>
      <c r="H980" s="10">
        <f>IF(F980="","",F980*IF(G980="",1,G980))</f>
        <v/>
      </c>
      <c r="I980" s="9" t="n"/>
      <c r="J980" s="9" t="n"/>
    </row>
    <row r="981" ht="22" customHeight="1">
      <c r="A981" s="9" t="n"/>
      <c r="B981" s="9" t="n"/>
      <c r="C981" s="9" t="n"/>
      <c r="D981" s="9" t="n"/>
      <c r="E981" s="9" t="n"/>
      <c r="F981" s="10" t="n"/>
      <c r="G981" s="10" t="n"/>
      <c r="H981" s="10">
        <f>IF(F981="","",F981*IF(G981="",1,G981))</f>
        <v/>
      </c>
      <c r="I981" s="9" t="n"/>
      <c r="J981" s="9" t="n"/>
    </row>
    <row r="982" ht="22" customHeight="1">
      <c r="A982" s="9" t="n"/>
      <c r="B982" s="9" t="n"/>
      <c r="C982" s="9" t="n"/>
      <c r="D982" s="9" t="n"/>
      <c r="E982" s="9" t="n"/>
      <c r="F982" s="10" t="n"/>
      <c r="G982" s="10" t="n"/>
      <c r="H982" s="10">
        <f>IF(F982="","",F982*IF(G982="",1,G982))</f>
        <v/>
      </c>
      <c r="I982" s="9" t="n"/>
      <c r="J982" s="9" t="n"/>
    </row>
    <row r="983" ht="22" customHeight="1">
      <c r="A983" s="9" t="n"/>
      <c r="B983" s="9" t="n"/>
      <c r="C983" s="9" t="n"/>
      <c r="D983" s="9" t="n"/>
      <c r="E983" s="9" t="n"/>
      <c r="F983" s="10" t="n"/>
      <c r="G983" s="10" t="n"/>
      <c r="H983" s="10">
        <f>IF(F983="","",F983*IF(G983="",1,G983))</f>
        <v/>
      </c>
      <c r="I983" s="9" t="n"/>
      <c r="J983" s="9" t="n"/>
    </row>
    <row r="984" ht="22" customHeight="1">
      <c r="A984" s="9" t="n"/>
      <c r="B984" s="9" t="n"/>
      <c r="C984" s="9" t="n"/>
      <c r="D984" s="9" t="n"/>
      <c r="E984" s="9" t="n"/>
      <c r="F984" s="10" t="n"/>
      <c r="G984" s="10" t="n"/>
      <c r="H984" s="10">
        <f>IF(F984="","",F984*IF(G984="",1,G984))</f>
        <v/>
      </c>
      <c r="I984" s="9" t="n"/>
      <c r="J984" s="9" t="n"/>
    </row>
    <row r="985" ht="22" customHeight="1">
      <c r="A985" s="9" t="n"/>
      <c r="B985" s="9" t="n"/>
      <c r="C985" s="9" t="n"/>
      <c r="D985" s="9" t="n"/>
      <c r="E985" s="9" t="n"/>
      <c r="F985" s="10" t="n"/>
      <c r="G985" s="10" t="n"/>
      <c r="H985" s="10">
        <f>IF(F985="","",F985*IF(G985="",1,G985))</f>
        <v/>
      </c>
      <c r="I985" s="9" t="n"/>
      <c r="J985" s="9" t="n"/>
    </row>
    <row r="986" ht="22" customHeight="1">
      <c r="A986" s="9" t="n"/>
      <c r="B986" s="9" t="n"/>
      <c r="C986" s="9" t="n"/>
      <c r="D986" s="9" t="n"/>
      <c r="E986" s="9" t="n"/>
      <c r="F986" s="10" t="n"/>
      <c r="G986" s="10" t="n"/>
      <c r="H986" s="10">
        <f>IF(F986="","",F986*IF(G986="",1,G986))</f>
        <v/>
      </c>
      <c r="I986" s="9" t="n"/>
      <c r="J986" s="9" t="n"/>
    </row>
    <row r="987" ht="22" customHeight="1">
      <c r="A987" s="9" t="n"/>
      <c r="B987" s="9" t="n"/>
      <c r="C987" s="9" t="n"/>
      <c r="D987" s="9" t="n"/>
      <c r="E987" s="9" t="n"/>
      <c r="F987" s="10" t="n"/>
      <c r="G987" s="10" t="n"/>
      <c r="H987" s="10">
        <f>IF(F987="","",F987*IF(G987="",1,G987))</f>
        <v/>
      </c>
      <c r="I987" s="9" t="n"/>
      <c r="J987" s="9" t="n"/>
    </row>
    <row r="988" ht="22" customHeight="1">
      <c r="A988" s="9" t="n"/>
      <c r="B988" s="9" t="n"/>
      <c r="C988" s="9" t="n"/>
      <c r="D988" s="9" t="n"/>
      <c r="E988" s="9" t="n"/>
      <c r="F988" s="10" t="n"/>
      <c r="G988" s="10" t="n"/>
      <c r="H988" s="10">
        <f>IF(F988="","",F988*IF(G988="",1,G988))</f>
        <v/>
      </c>
      <c r="I988" s="9" t="n"/>
      <c r="J988" s="9" t="n"/>
    </row>
    <row r="989" ht="22" customHeight="1">
      <c r="A989" s="9" t="n"/>
      <c r="B989" s="9" t="n"/>
      <c r="C989" s="9" t="n"/>
      <c r="D989" s="9" t="n"/>
      <c r="E989" s="9" t="n"/>
      <c r="F989" s="10" t="n"/>
      <c r="G989" s="10" t="n"/>
      <c r="H989" s="10">
        <f>IF(F989="","",F989*IF(G989="",1,G989))</f>
        <v/>
      </c>
      <c r="I989" s="9" t="n"/>
      <c r="J989" s="9" t="n"/>
    </row>
    <row r="990" ht="22" customHeight="1">
      <c r="A990" s="9" t="n"/>
      <c r="B990" s="9" t="n"/>
      <c r="C990" s="9" t="n"/>
      <c r="D990" s="9" t="n"/>
      <c r="E990" s="9" t="n"/>
      <c r="F990" s="10" t="n"/>
      <c r="G990" s="10" t="n"/>
      <c r="H990" s="10">
        <f>IF(F990="","",F990*IF(G990="",1,G990))</f>
        <v/>
      </c>
      <c r="I990" s="9" t="n"/>
      <c r="J990" s="9" t="n"/>
    </row>
    <row r="991" ht="22" customHeight="1">
      <c r="A991" s="9" t="n"/>
      <c r="B991" s="9" t="n"/>
      <c r="C991" s="9" t="n"/>
      <c r="D991" s="9" t="n"/>
      <c r="E991" s="9" t="n"/>
      <c r="F991" s="10" t="n"/>
      <c r="G991" s="10" t="n"/>
      <c r="H991" s="10">
        <f>IF(F991="","",F991*IF(G991="",1,G991))</f>
        <v/>
      </c>
      <c r="I991" s="9" t="n"/>
      <c r="J991" s="9" t="n"/>
    </row>
    <row r="992" ht="22" customHeight="1">
      <c r="A992" s="9" t="n"/>
      <c r="B992" s="9" t="n"/>
      <c r="C992" s="9" t="n"/>
      <c r="D992" s="9" t="n"/>
      <c r="E992" s="9" t="n"/>
      <c r="F992" s="10" t="n"/>
      <c r="G992" s="10" t="n"/>
      <c r="H992" s="10">
        <f>IF(F992="","",F992*IF(G992="",1,G992))</f>
        <v/>
      </c>
      <c r="I992" s="9" t="n"/>
      <c r="J992" s="9" t="n"/>
    </row>
    <row r="993" ht="22" customHeight="1">
      <c r="A993" s="9" t="n"/>
      <c r="B993" s="9" t="n"/>
      <c r="C993" s="9" t="n"/>
      <c r="D993" s="9" t="n"/>
      <c r="E993" s="9" t="n"/>
      <c r="F993" s="10" t="n"/>
      <c r="G993" s="10" t="n"/>
      <c r="H993" s="10">
        <f>IF(F993="","",F993*IF(G993="",1,G993))</f>
        <v/>
      </c>
      <c r="I993" s="9" t="n"/>
      <c r="J993" s="9" t="n"/>
    </row>
    <row r="994" ht="22" customHeight="1">
      <c r="A994" s="9" t="n"/>
      <c r="B994" s="9" t="n"/>
      <c r="C994" s="9" t="n"/>
      <c r="D994" s="9" t="n"/>
      <c r="E994" s="9" t="n"/>
      <c r="F994" s="10" t="n"/>
      <c r="G994" s="10" t="n"/>
      <c r="H994" s="10">
        <f>IF(F994="","",F994*IF(G994="",1,G994))</f>
        <v/>
      </c>
      <c r="I994" s="9" t="n"/>
      <c r="J994" s="9" t="n"/>
    </row>
    <row r="995" ht="22" customHeight="1">
      <c r="A995" s="9" t="n"/>
      <c r="B995" s="9" t="n"/>
      <c r="C995" s="9" t="n"/>
      <c r="D995" s="9" t="n"/>
      <c r="E995" s="9" t="n"/>
      <c r="F995" s="10" t="n"/>
      <c r="G995" s="10" t="n"/>
      <c r="H995" s="10">
        <f>IF(F995="","",F995*IF(G995="",1,G995))</f>
        <v/>
      </c>
      <c r="I995" s="9" t="n"/>
      <c r="J995" s="9" t="n"/>
    </row>
    <row r="996" ht="22" customHeight="1">
      <c r="A996" s="9" t="n"/>
      <c r="B996" s="9" t="n"/>
      <c r="C996" s="9" t="n"/>
      <c r="D996" s="9" t="n"/>
      <c r="E996" s="9" t="n"/>
      <c r="F996" s="10" t="n"/>
      <c r="G996" s="10" t="n"/>
      <c r="H996" s="10">
        <f>IF(F996="","",F996*IF(G996="",1,G996))</f>
        <v/>
      </c>
      <c r="I996" s="9" t="n"/>
      <c r="J996" s="9" t="n"/>
    </row>
    <row r="997" ht="22" customHeight="1">
      <c r="A997" s="9" t="n"/>
      <c r="B997" s="9" t="n"/>
      <c r="C997" s="9" t="n"/>
      <c r="D997" s="9" t="n"/>
      <c r="E997" s="9" t="n"/>
      <c r="F997" s="10" t="n"/>
      <c r="G997" s="10" t="n"/>
      <c r="H997" s="10">
        <f>IF(F997="","",F997*IF(G997="",1,G997))</f>
        <v/>
      </c>
      <c r="I997" s="9" t="n"/>
      <c r="J997" s="9" t="n"/>
    </row>
    <row r="998" ht="22" customHeight="1">
      <c r="A998" s="9" t="n"/>
      <c r="B998" s="9" t="n"/>
      <c r="C998" s="9" t="n"/>
      <c r="D998" s="9" t="n"/>
      <c r="E998" s="9" t="n"/>
      <c r="F998" s="10" t="n"/>
      <c r="G998" s="10" t="n"/>
      <c r="H998" s="10">
        <f>IF(F998="","",F998*IF(G998="",1,G998))</f>
        <v/>
      </c>
      <c r="I998" s="9" t="n"/>
      <c r="J998" s="9" t="n"/>
    </row>
    <row r="999" ht="22" customHeight="1">
      <c r="A999" s="9" t="n"/>
      <c r="B999" s="9" t="n"/>
      <c r="C999" s="9" t="n"/>
      <c r="D999" s="9" t="n"/>
      <c r="E999" s="9" t="n"/>
      <c r="F999" s="10" t="n"/>
      <c r="G999" s="10" t="n"/>
      <c r="H999" s="10">
        <f>IF(F999="","",F999*IF(G999="",1,G999))</f>
        <v/>
      </c>
      <c r="I999" s="9" t="n"/>
      <c r="J999" s="9" t="n"/>
    </row>
    <row r="1000" ht="22" customHeight="1">
      <c r="A1000" s="9" t="n"/>
      <c r="B1000" s="9" t="n"/>
      <c r="C1000" s="9" t="n"/>
      <c r="D1000" s="9" t="n"/>
      <c r="E1000" s="9" t="n"/>
      <c r="F1000" s="10" t="n"/>
      <c r="G1000" s="10" t="n"/>
      <c r="H1000" s="10">
        <f>IF(F1000="","",F1000*IF(G1000="",1,G1000))</f>
        <v/>
      </c>
      <c r="I1000" s="9" t="n"/>
      <c r="J1000" s="9" t="n"/>
    </row>
    <row r="1001" ht="22" customHeight="1">
      <c r="A1001" s="9" t="n"/>
      <c r="B1001" s="9" t="n"/>
      <c r="C1001" s="9" t="n"/>
      <c r="D1001" s="9" t="n"/>
      <c r="E1001" s="9" t="n"/>
      <c r="F1001" s="10" t="n"/>
      <c r="G1001" s="10" t="n"/>
      <c r="H1001" s="10">
        <f>IF(F1001="","",F1001*IF(G1001="",1,G1001))</f>
        <v/>
      </c>
      <c r="I1001" s="9" t="n"/>
      <c r="J1001" s="9" t="n"/>
    </row>
    <row r="1002" ht="22" customHeight="1">
      <c r="A1002" s="9" t="n"/>
      <c r="B1002" s="9" t="n"/>
      <c r="C1002" s="9" t="n"/>
      <c r="D1002" s="9" t="n"/>
      <c r="E1002" s="9" t="n"/>
      <c r="F1002" s="10" t="n"/>
      <c r="G1002" s="10" t="n"/>
      <c r="H1002" s="10">
        <f>IF(F1002="","",F1002*IF(G1002="",1,G1002))</f>
        <v/>
      </c>
      <c r="I1002" s="9" t="n"/>
      <c r="J1002" s="9" t="n"/>
    </row>
  </sheetData>
  <autoFilter ref="A2:J1002"/>
  <dataValidations count="3">
    <dataValidation sqref="B3:B1002" showDropDown="0" showInputMessage="0" showErrorMessage="0" allowBlank="1" type="list">
      <formula1>=基础数据!$B$2:$B$164</formula1>
    </dataValidation>
    <dataValidation sqref="E3:E1002" showDropDown="0" showInputMessage="0" showErrorMessage="0" allowBlank="1" type="list">
      <formula1>=基础数据!$K$2:$K$5</formula1>
    </dataValidation>
    <dataValidation sqref="I3:I1002" showDropDown="0" showInputMessage="0" showErrorMessage="0" allowBlank="1" type="list">
      <formula1>=基础数据!$M$2:$M$5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 ht="22" customHeight="1">
      <c r="A1" s="1" t="inlineStr">
        <is>
          <t>客户应收汇总</t>
        </is>
      </c>
    </row>
    <row r="2" ht="34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</row>
    <row r="3" ht="22" customHeight="1">
      <c r="A3" s="9">
        <f>IFERROR(INDEX(基础数据!$B$2:$B$500,ROW(A1)),"")</f>
        <v/>
      </c>
      <c r="B3" s="10">
        <f>IF(A3="","",SUMIFS(每日收货出货登记!$Q:$Q,每日收货出货登记!$D:$D,A3))</f>
        <v/>
      </c>
      <c r="C3" s="10">
        <f>IF(A3="","",SUMIFS(每日收货出货登记!$V:$V,每日收货出货登记!$D:$D,A3))</f>
        <v/>
      </c>
      <c r="D3" s="10">
        <f>IF(A3="","",SUMIFS(每日收货出货登记!$W:$W,每日收货出货登记!$D:$D,A3))</f>
        <v/>
      </c>
      <c r="E3" s="10">
        <f>IF(A3="","",COUNTIFS(每日收货出货登记!$D:$D,A3,每日收货出货登记!$G:$G,"&lt;&gt;"))</f>
        <v/>
      </c>
      <c r="F3" s="10">
        <f>IF(A3="","",COUNTIFS(每日收货出货登记!$D:$D,A3,每日收货出货登记!$W:$W,"&gt;0"))</f>
        <v/>
      </c>
      <c r="G3" s="9">
        <f>IF(A3="","",MAXIFS(每日收货出货登记!$A:$A,每日收货出货登记!$D:$D,A3))</f>
        <v/>
      </c>
    </row>
    <row r="4" ht="22" customHeight="1">
      <c r="A4" s="9">
        <f>IFERROR(INDEX(基础数据!$B$2:$B$500,ROW(A2)),"")</f>
        <v/>
      </c>
      <c r="B4" s="10">
        <f>IF(A4="","",SUMIFS(每日收货出货登记!$Q:$Q,每日收货出货登记!$D:$D,A4))</f>
        <v/>
      </c>
      <c r="C4" s="10">
        <f>IF(A4="","",SUMIFS(每日收货出货登记!$V:$V,每日收货出货登记!$D:$D,A4))</f>
        <v/>
      </c>
      <c r="D4" s="10">
        <f>IF(A4="","",SUMIFS(每日收货出货登记!$W:$W,每日收货出货登记!$D:$D,A4))</f>
        <v/>
      </c>
      <c r="E4" s="10">
        <f>IF(A4="","",COUNTIFS(每日收货出货登记!$D:$D,A4,每日收货出货登记!$G:$G,"&lt;&gt;"))</f>
        <v/>
      </c>
      <c r="F4" s="10">
        <f>IF(A4="","",COUNTIFS(每日收货出货登记!$D:$D,A4,每日收货出货登记!$W:$W,"&gt;0"))</f>
        <v/>
      </c>
      <c r="G4" s="9">
        <f>IF(A4="","",MAXIFS(每日收货出货登记!$A:$A,每日收货出货登记!$D:$D,A4))</f>
        <v/>
      </c>
    </row>
    <row r="5" ht="22" customHeight="1">
      <c r="A5" s="9">
        <f>IFERROR(INDEX(基础数据!$B$2:$B$500,ROW(A3)),"")</f>
        <v/>
      </c>
      <c r="B5" s="10">
        <f>IF(A5="","",SUMIFS(每日收货出货登记!$Q:$Q,每日收货出货登记!$D:$D,A5))</f>
        <v/>
      </c>
      <c r="C5" s="10">
        <f>IF(A5="","",SUMIFS(每日收货出货登记!$V:$V,每日收货出货登记!$D:$D,A5))</f>
        <v/>
      </c>
      <c r="D5" s="10">
        <f>IF(A5="","",SUMIFS(每日收货出货登记!$W:$W,每日收货出货登记!$D:$D,A5))</f>
        <v/>
      </c>
      <c r="E5" s="10">
        <f>IF(A5="","",COUNTIFS(每日收货出货登记!$D:$D,A5,每日收货出货登记!$G:$G,"&lt;&gt;"))</f>
        <v/>
      </c>
      <c r="F5" s="10">
        <f>IF(A5="","",COUNTIFS(每日收货出货登记!$D:$D,A5,每日收货出货登记!$W:$W,"&gt;0"))</f>
        <v/>
      </c>
      <c r="G5" s="9">
        <f>IF(A5="","",MAXIFS(每日收货出货登记!$A:$A,每日收货出货登记!$D:$D,A5))</f>
        <v/>
      </c>
    </row>
    <row r="6" ht="22" customHeight="1">
      <c r="A6" s="9">
        <f>IFERROR(INDEX(基础数据!$B$2:$B$500,ROW(A4)),"")</f>
        <v/>
      </c>
      <c r="B6" s="10">
        <f>IF(A6="","",SUMIFS(每日收货出货登记!$Q:$Q,每日收货出货登记!$D:$D,A6))</f>
        <v/>
      </c>
      <c r="C6" s="10">
        <f>IF(A6="","",SUMIFS(每日收货出货登记!$V:$V,每日收货出货登记!$D:$D,A6))</f>
        <v/>
      </c>
      <c r="D6" s="10">
        <f>IF(A6="","",SUMIFS(每日收货出货登记!$W:$W,每日收货出货登记!$D:$D,A6))</f>
        <v/>
      </c>
      <c r="E6" s="10">
        <f>IF(A6="","",COUNTIFS(每日收货出货登记!$D:$D,A6,每日收货出货登记!$G:$G,"&lt;&gt;"))</f>
        <v/>
      </c>
      <c r="F6" s="10">
        <f>IF(A6="","",COUNTIFS(每日收货出货登记!$D:$D,A6,每日收货出货登记!$W:$W,"&gt;0"))</f>
        <v/>
      </c>
      <c r="G6" s="9">
        <f>IF(A6="","",MAXIFS(每日收货出货登记!$A:$A,每日收货出货登记!$D:$D,A6))</f>
        <v/>
      </c>
    </row>
    <row r="7" ht="22" customHeight="1">
      <c r="A7" s="9">
        <f>IFERROR(INDEX(基础数据!$B$2:$B$500,ROW(A5)),"")</f>
        <v/>
      </c>
      <c r="B7" s="10">
        <f>IF(A7="","",SUMIFS(每日收货出货登记!$Q:$Q,每日收货出货登记!$D:$D,A7))</f>
        <v/>
      </c>
      <c r="C7" s="10">
        <f>IF(A7="","",SUMIFS(每日收货出货登记!$V:$V,每日收货出货登记!$D:$D,A7))</f>
        <v/>
      </c>
      <c r="D7" s="10">
        <f>IF(A7="","",SUMIFS(每日收货出货登记!$W:$W,每日收货出货登记!$D:$D,A7))</f>
        <v/>
      </c>
      <c r="E7" s="10">
        <f>IF(A7="","",COUNTIFS(每日收货出货登记!$D:$D,A7,每日收货出货登记!$G:$G,"&lt;&gt;"))</f>
        <v/>
      </c>
      <c r="F7" s="10">
        <f>IF(A7="","",COUNTIFS(每日收货出货登记!$D:$D,A7,每日收货出货登记!$W:$W,"&gt;0"))</f>
        <v/>
      </c>
      <c r="G7" s="9">
        <f>IF(A7="","",MAXIFS(每日收货出货登记!$A:$A,每日收货出货登记!$D:$D,A7))</f>
        <v/>
      </c>
    </row>
    <row r="8" ht="22" customHeight="1">
      <c r="A8" s="9">
        <f>IFERROR(INDEX(基础数据!$B$2:$B$500,ROW(A6)),"")</f>
        <v/>
      </c>
      <c r="B8" s="10">
        <f>IF(A8="","",SUMIFS(每日收货出货登记!$Q:$Q,每日收货出货登记!$D:$D,A8))</f>
        <v/>
      </c>
      <c r="C8" s="10">
        <f>IF(A8="","",SUMIFS(每日收货出货登记!$V:$V,每日收货出货登记!$D:$D,A8))</f>
        <v/>
      </c>
      <c r="D8" s="10">
        <f>IF(A8="","",SUMIFS(每日收货出货登记!$W:$W,每日收货出货登记!$D:$D,A8))</f>
        <v/>
      </c>
      <c r="E8" s="10">
        <f>IF(A8="","",COUNTIFS(每日收货出货登记!$D:$D,A8,每日收货出货登记!$G:$G,"&lt;&gt;"))</f>
        <v/>
      </c>
      <c r="F8" s="10">
        <f>IF(A8="","",COUNTIFS(每日收货出货登记!$D:$D,A8,每日收货出货登记!$W:$W,"&gt;0"))</f>
        <v/>
      </c>
      <c r="G8" s="9">
        <f>IF(A8="","",MAXIFS(每日收货出货登记!$A:$A,每日收货出货登记!$D:$D,A8))</f>
        <v/>
      </c>
    </row>
    <row r="9" ht="22" customHeight="1">
      <c r="A9" s="9">
        <f>IFERROR(INDEX(基础数据!$B$2:$B$500,ROW(A7)),"")</f>
        <v/>
      </c>
      <c r="B9" s="10">
        <f>IF(A9="","",SUMIFS(每日收货出货登记!$Q:$Q,每日收货出货登记!$D:$D,A9))</f>
        <v/>
      </c>
      <c r="C9" s="10">
        <f>IF(A9="","",SUMIFS(每日收货出货登记!$V:$V,每日收货出货登记!$D:$D,A9))</f>
        <v/>
      </c>
      <c r="D9" s="10">
        <f>IF(A9="","",SUMIFS(每日收货出货登记!$W:$W,每日收货出货登记!$D:$D,A9))</f>
        <v/>
      </c>
      <c r="E9" s="10">
        <f>IF(A9="","",COUNTIFS(每日收货出货登记!$D:$D,A9,每日收货出货登记!$G:$G,"&lt;&gt;"))</f>
        <v/>
      </c>
      <c r="F9" s="10">
        <f>IF(A9="","",COUNTIFS(每日收货出货登记!$D:$D,A9,每日收货出货登记!$W:$W,"&gt;0"))</f>
        <v/>
      </c>
      <c r="G9" s="9">
        <f>IF(A9="","",MAXIFS(每日收货出货登记!$A:$A,每日收货出货登记!$D:$D,A9))</f>
        <v/>
      </c>
    </row>
    <row r="10" ht="22" customHeight="1">
      <c r="A10" s="9">
        <f>IFERROR(INDEX(基础数据!$B$2:$B$500,ROW(A8)),"")</f>
        <v/>
      </c>
      <c r="B10" s="10">
        <f>IF(A10="","",SUMIFS(每日收货出货登记!$Q:$Q,每日收货出货登记!$D:$D,A10))</f>
        <v/>
      </c>
      <c r="C10" s="10">
        <f>IF(A10="","",SUMIFS(每日收货出货登记!$V:$V,每日收货出货登记!$D:$D,A10))</f>
        <v/>
      </c>
      <c r="D10" s="10">
        <f>IF(A10="","",SUMIFS(每日收货出货登记!$W:$W,每日收货出货登记!$D:$D,A10))</f>
        <v/>
      </c>
      <c r="E10" s="10">
        <f>IF(A10="","",COUNTIFS(每日收货出货登记!$D:$D,A10,每日收货出货登记!$G:$G,"&lt;&gt;"))</f>
        <v/>
      </c>
      <c r="F10" s="10">
        <f>IF(A10="","",COUNTIFS(每日收货出货登记!$D:$D,A10,每日收货出货登记!$W:$W,"&gt;0"))</f>
        <v/>
      </c>
      <c r="G10" s="9">
        <f>IF(A10="","",MAXIFS(每日收货出货登记!$A:$A,每日收货出货登记!$D:$D,A10))</f>
        <v/>
      </c>
    </row>
    <row r="11" ht="22" customHeight="1">
      <c r="A11" s="9">
        <f>IFERROR(INDEX(基础数据!$B$2:$B$500,ROW(A9)),"")</f>
        <v/>
      </c>
      <c r="B11" s="10">
        <f>IF(A11="","",SUMIFS(每日收货出货登记!$Q:$Q,每日收货出货登记!$D:$D,A11))</f>
        <v/>
      </c>
      <c r="C11" s="10">
        <f>IF(A11="","",SUMIFS(每日收货出货登记!$V:$V,每日收货出货登记!$D:$D,A11))</f>
        <v/>
      </c>
      <c r="D11" s="10">
        <f>IF(A11="","",SUMIFS(每日收货出货登记!$W:$W,每日收货出货登记!$D:$D,A11))</f>
        <v/>
      </c>
      <c r="E11" s="10">
        <f>IF(A11="","",COUNTIFS(每日收货出货登记!$D:$D,A11,每日收货出货登记!$G:$G,"&lt;&gt;"))</f>
        <v/>
      </c>
      <c r="F11" s="10">
        <f>IF(A11="","",COUNTIFS(每日收货出货登记!$D:$D,A11,每日收货出货登记!$W:$W,"&gt;0"))</f>
        <v/>
      </c>
      <c r="G11" s="9">
        <f>IF(A11="","",MAXIFS(每日收货出货登记!$A:$A,每日收货出货登记!$D:$D,A11))</f>
        <v/>
      </c>
    </row>
    <row r="12" ht="22" customHeight="1">
      <c r="A12" s="9">
        <f>IFERROR(INDEX(基础数据!$B$2:$B$500,ROW(A10)),"")</f>
        <v/>
      </c>
      <c r="B12" s="10">
        <f>IF(A12="","",SUMIFS(每日收货出货登记!$Q:$Q,每日收货出货登记!$D:$D,A12))</f>
        <v/>
      </c>
      <c r="C12" s="10">
        <f>IF(A12="","",SUMIFS(每日收货出货登记!$V:$V,每日收货出货登记!$D:$D,A12))</f>
        <v/>
      </c>
      <c r="D12" s="10">
        <f>IF(A12="","",SUMIFS(每日收货出货登记!$W:$W,每日收货出货登记!$D:$D,A12))</f>
        <v/>
      </c>
      <c r="E12" s="10">
        <f>IF(A12="","",COUNTIFS(每日收货出货登记!$D:$D,A12,每日收货出货登记!$G:$G,"&lt;&gt;"))</f>
        <v/>
      </c>
      <c r="F12" s="10">
        <f>IF(A12="","",COUNTIFS(每日收货出货登记!$D:$D,A12,每日收货出货登记!$W:$W,"&gt;0"))</f>
        <v/>
      </c>
      <c r="G12" s="9">
        <f>IF(A12="","",MAXIFS(每日收货出货登记!$A:$A,每日收货出货登记!$D:$D,A12))</f>
        <v/>
      </c>
    </row>
    <row r="13" ht="22" customHeight="1">
      <c r="A13" s="9">
        <f>IFERROR(INDEX(基础数据!$B$2:$B$500,ROW(A11)),"")</f>
        <v/>
      </c>
      <c r="B13" s="10">
        <f>IF(A13="","",SUMIFS(每日收货出货登记!$Q:$Q,每日收货出货登记!$D:$D,A13))</f>
        <v/>
      </c>
      <c r="C13" s="10">
        <f>IF(A13="","",SUMIFS(每日收货出货登记!$V:$V,每日收货出货登记!$D:$D,A13))</f>
        <v/>
      </c>
      <c r="D13" s="10">
        <f>IF(A13="","",SUMIFS(每日收货出货登记!$W:$W,每日收货出货登记!$D:$D,A13))</f>
        <v/>
      </c>
      <c r="E13" s="10">
        <f>IF(A13="","",COUNTIFS(每日收货出货登记!$D:$D,A13,每日收货出货登记!$G:$G,"&lt;&gt;"))</f>
        <v/>
      </c>
      <c r="F13" s="10">
        <f>IF(A13="","",COUNTIFS(每日收货出货登记!$D:$D,A13,每日收货出货登记!$W:$W,"&gt;0"))</f>
        <v/>
      </c>
      <c r="G13" s="9">
        <f>IF(A13="","",MAXIFS(每日收货出货登记!$A:$A,每日收货出货登记!$D:$D,A13))</f>
        <v/>
      </c>
    </row>
    <row r="14" ht="22" customHeight="1">
      <c r="A14" s="9">
        <f>IFERROR(INDEX(基础数据!$B$2:$B$500,ROW(A12)),"")</f>
        <v/>
      </c>
      <c r="B14" s="10">
        <f>IF(A14="","",SUMIFS(每日收货出货登记!$Q:$Q,每日收货出货登记!$D:$D,A14))</f>
        <v/>
      </c>
      <c r="C14" s="10">
        <f>IF(A14="","",SUMIFS(每日收货出货登记!$V:$V,每日收货出货登记!$D:$D,A14))</f>
        <v/>
      </c>
      <c r="D14" s="10">
        <f>IF(A14="","",SUMIFS(每日收货出货登记!$W:$W,每日收货出货登记!$D:$D,A14))</f>
        <v/>
      </c>
      <c r="E14" s="10">
        <f>IF(A14="","",COUNTIFS(每日收货出货登记!$D:$D,A14,每日收货出货登记!$G:$G,"&lt;&gt;"))</f>
        <v/>
      </c>
      <c r="F14" s="10">
        <f>IF(A14="","",COUNTIFS(每日收货出货登记!$D:$D,A14,每日收货出货登记!$W:$W,"&gt;0"))</f>
        <v/>
      </c>
      <c r="G14" s="9">
        <f>IF(A14="","",MAXIFS(每日收货出货登记!$A:$A,每日收货出货登记!$D:$D,A14))</f>
        <v/>
      </c>
    </row>
    <row r="15" ht="22" customHeight="1">
      <c r="A15" s="9">
        <f>IFERROR(INDEX(基础数据!$B$2:$B$500,ROW(A13)),"")</f>
        <v/>
      </c>
      <c r="B15" s="10">
        <f>IF(A15="","",SUMIFS(每日收货出货登记!$Q:$Q,每日收货出货登记!$D:$D,A15))</f>
        <v/>
      </c>
      <c r="C15" s="10">
        <f>IF(A15="","",SUMIFS(每日收货出货登记!$V:$V,每日收货出货登记!$D:$D,A15))</f>
        <v/>
      </c>
      <c r="D15" s="10">
        <f>IF(A15="","",SUMIFS(每日收货出货登记!$W:$W,每日收货出货登记!$D:$D,A15))</f>
        <v/>
      </c>
      <c r="E15" s="10">
        <f>IF(A15="","",COUNTIFS(每日收货出货登记!$D:$D,A15,每日收货出货登记!$G:$G,"&lt;&gt;"))</f>
        <v/>
      </c>
      <c r="F15" s="10">
        <f>IF(A15="","",COUNTIFS(每日收货出货登记!$D:$D,A15,每日收货出货登记!$W:$W,"&gt;0"))</f>
        <v/>
      </c>
      <c r="G15" s="9">
        <f>IF(A15="","",MAXIFS(每日收货出货登记!$A:$A,每日收货出货登记!$D:$D,A15))</f>
        <v/>
      </c>
    </row>
    <row r="16" ht="22" customHeight="1">
      <c r="A16" s="9">
        <f>IFERROR(INDEX(基础数据!$B$2:$B$500,ROW(A14)),"")</f>
        <v/>
      </c>
      <c r="B16" s="10">
        <f>IF(A16="","",SUMIFS(每日收货出货登记!$Q:$Q,每日收货出货登记!$D:$D,A16))</f>
        <v/>
      </c>
      <c r="C16" s="10">
        <f>IF(A16="","",SUMIFS(每日收货出货登记!$V:$V,每日收货出货登记!$D:$D,A16))</f>
        <v/>
      </c>
      <c r="D16" s="10">
        <f>IF(A16="","",SUMIFS(每日收货出货登记!$W:$W,每日收货出货登记!$D:$D,A16))</f>
        <v/>
      </c>
      <c r="E16" s="10">
        <f>IF(A16="","",COUNTIFS(每日收货出货登记!$D:$D,A16,每日收货出货登记!$G:$G,"&lt;&gt;"))</f>
        <v/>
      </c>
      <c r="F16" s="10">
        <f>IF(A16="","",COUNTIFS(每日收货出货登记!$D:$D,A16,每日收货出货登记!$W:$W,"&gt;0"))</f>
        <v/>
      </c>
      <c r="G16" s="9">
        <f>IF(A16="","",MAXIFS(每日收货出货登记!$A:$A,每日收货出货登记!$D:$D,A16))</f>
        <v/>
      </c>
    </row>
    <row r="17" ht="22" customHeight="1">
      <c r="A17" s="9">
        <f>IFERROR(INDEX(基础数据!$B$2:$B$500,ROW(A15)),"")</f>
        <v/>
      </c>
      <c r="B17" s="10">
        <f>IF(A17="","",SUMIFS(每日收货出货登记!$Q:$Q,每日收货出货登记!$D:$D,A17))</f>
        <v/>
      </c>
      <c r="C17" s="10">
        <f>IF(A17="","",SUMIFS(每日收货出货登记!$V:$V,每日收货出货登记!$D:$D,A17))</f>
        <v/>
      </c>
      <c r="D17" s="10">
        <f>IF(A17="","",SUMIFS(每日收货出货登记!$W:$W,每日收货出货登记!$D:$D,A17))</f>
        <v/>
      </c>
      <c r="E17" s="10">
        <f>IF(A17="","",COUNTIFS(每日收货出货登记!$D:$D,A17,每日收货出货登记!$G:$G,"&lt;&gt;"))</f>
        <v/>
      </c>
      <c r="F17" s="10">
        <f>IF(A17="","",COUNTIFS(每日收货出货登记!$D:$D,A17,每日收货出货登记!$W:$W,"&gt;0"))</f>
        <v/>
      </c>
      <c r="G17" s="9">
        <f>IF(A17="","",MAXIFS(每日收货出货登记!$A:$A,每日收货出货登记!$D:$D,A17))</f>
        <v/>
      </c>
    </row>
    <row r="18" ht="22" customHeight="1">
      <c r="A18" s="9">
        <f>IFERROR(INDEX(基础数据!$B$2:$B$500,ROW(A16)),"")</f>
        <v/>
      </c>
      <c r="B18" s="10">
        <f>IF(A18="","",SUMIFS(每日收货出货登记!$Q:$Q,每日收货出货登记!$D:$D,A18))</f>
        <v/>
      </c>
      <c r="C18" s="10">
        <f>IF(A18="","",SUMIFS(每日收货出货登记!$V:$V,每日收货出货登记!$D:$D,A18))</f>
        <v/>
      </c>
      <c r="D18" s="10">
        <f>IF(A18="","",SUMIFS(每日收货出货登记!$W:$W,每日收货出货登记!$D:$D,A18))</f>
        <v/>
      </c>
      <c r="E18" s="10">
        <f>IF(A18="","",COUNTIFS(每日收货出货登记!$D:$D,A18,每日收货出货登记!$G:$G,"&lt;&gt;"))</f>
        <v/>
      </c>
      <c r="F18" s="10">
        <f>IF(A18="","",COUNTIFS(每日收货出货登记!$D:$D,A18,每日收货出货登记!$W:$W,"&gt;0"))</f>
        <v/>
      </c>
      <c r="G18" s="9">
        <f>IF(A18="","",MAXIFS(每日收货出货登记!$A:$A,每日收货出货登记!$D:$D,A18))</f>
        <v/>
      </c>
    </row>
    <row r="19" ht="22" customHeight="1">
      <c r="A19" s="9">
        <f>IFERROR(INDEX(基础数据!$B$2:$B$500,ROW(A17)),"")</f>
        <v/>
      </c>
      <c r="B19" s="10">
        <f>IF(A19="","",SUMIFS(每日收货出货登记!$Q:$Q,每日收货出货登记!$D:$D,A19))</f>
        <v/>
      </c>
      <c r="C19" s="10">
        <f>IF(A19="","",SUMIFS(每日收货出货登记!$V:$V,每日收货出货登记!$D:$D,A19))</f>
        <v/>
      </c>
      <c r="D19" s="10">
        <f>IF(A19="","",SUMIFS(每日收货出货登记!$W:$W,每日收货出货登记!$D:$D,A19))</f>
        <v/>
      </c>
      <c r="E19" s="10">
        <f>IF(A19="","",COUNTIFS(每日收货出货登记!$D:$D,A19,每日收货出货登记!$G:$G,"&lt;&gt;"))</f>
        <v/>
      </c>
      <c r="F19" s="10">
        <f>IF(A19="","",COUNTIFS(每日收货出货登记!$D:$D,A19,每日收货出货登记!$W:$W,"&gt;0"))</f>
        <v/>
      </c>
      <c r="G19" s="9">
        <f>IF(A19="","",MAXIFS(每日收货出货登记!$A:$A,每日收货出货登记!$D:$D,A19))</f>
        <v/>
      </c>
    </row>
    <row r="20" ht="22" customHeight="1">
      <c r="A20" s="9">
        <f>IFERROR(INDEX(基础数据!$B$2:$B$500,ROW(A18)),"")</f>
        <v/>
      </c>
      <c r="B20" s="10">
        <f>IF(A20="","",SUMIFS(每日收货出货登记!$Q:$Q,每日收货出货登记!$D:$D,A20))</f>
        <v/>
      </c>
      <c r="C20" s="10">
        <f>IF(A20="","",SUMIFS(每日收货出货登记!$V:$V,每日收货出货登记!$D:$D,A20))</f>
        <v/>
      </c>
      <c r="D20" s="10">
        <f>IF(A20="","",SUMIFS(每日收货出货登记!$W:$W,每日收货出货登记!$D:$D,A20))</f>
        <v/>
      </c>
      <c r="E20" s="10">
        <f>IF(A20="","",COUNTIFS(每日收货出货登记!$D:$D,A20,每日收货出货登记!$G:$G,"&lt;&gt;"))</f>
        <v/>
      </c>
      <c r="F20" s="10">
        <f>IF(A20="","",COUNTIFS(每日收货出货登记!$D:$D,A20,每日收货出货登记!$W:$W,"&gt;0"))</f>
        <v/>
      </c>
      <c r="G20" s="9">
        <f>IF(A20="","",MAXIFS(每日收货出货登记!$A:$A,每日收货出货登记!$D:$D,A20))</f>
        <v/>
      </c>
    </row>
    <row r="21" ht="22" customHeight="1">
      <c r="A21" s="9">
        <f>IFERROR(INDEX(基础数据!$B$2:$B$500,ROW(A19)),"")</f>
        <v/>
      </c>
      <c r="B21" s="10">
        <f>IF(A21="","",SUMIFS(每日收货出货登记!$Q:$Q,每日收货出货登记!$D:$D,A21))</f>
        <v/>
      </c>
      <c r="C21" s="10">
        <f>IF(A21="","",SUMIFS(每日收货出货登记!$V:$V,每日收货出货登记!$D:$D,A21))</f>
        <v/>
      </c>
      <c r="D21" s="10">
        <f>IF(A21="","",SUMIFS(每日收货出货登记!$W:$W,每日收货出货登记!$D:$D,A21))</f>
        <v/>
      </c>
      <c r="E21" s="10">
        <f>IF(A21="","",COUNTIFS(每日收货出货登记!$D:$D,A21,每日收货出货登记!$G:$G,"&lt;&gt;"))</f>
        <v/>
      </c>
      <c r="F21" s="10">
        <f>IF(A21="","",COUNTIFS(每日收货出货登记!$D:$D,A21,每日收货出货登记!$W:$W,"&gt;0"))</f>
        <v/>
      </c>
      <c r="G21" s="9">
        <f>IF(A21="","",MAXIFS(每日收货出货登记!$A:$A,每日收货出货登记!$D:$D,A21))</f>
        <v/>
      </c>
    </row>
    <row r="22" ht="22" customHeight="1">
      <c r="A22" s="9">
        <f>IFERROR(INDEX(基础数据!$B$2:$B$500,ROW(A20)),"")</f>
        <v/>
      </c>
      <c r="B22" s="10">
        <f>IF(A22="","",SUMIFS(每日收货出货登记!$Q:$Q,每日收货出货登记!$D:$D,A22))</f>
        <v/>
      </c>
      <c r="C22" s="10">
        <f>IF(A22="","",SUMIFS(每日收货出货登记!$V:$V,每日收货出货登记!$D:$D,A22))</f>
        <v/>
      </c>
      <c r="D22" s="10">
        <f>IF(A22="","",SUMIFS(每日收货出货登记!$W:$W,每日收货出货登记!$D:$D,A22))</f>
        <v/>
      </c>
      <c r="E22" s="10">
        <f>IF(A22="","",COUNTIFS(每日收货出货登记!$D:$D,A22,每日收货出货登记!$G:$G,"&lt;&gt;"))</f>
        <v/>
      </c>
      <c r="F22" s="10">
        <f>IF(A22="","",COUNTIFS(每日收货出货登记!$D:$D,A22,每日收货出货登记!$W:$W,"&gt;0"))</f>
        <v/>
      </c>
      <c r="G22" s="9">
        <f>IF(A22="","",MAXIFS(每日收货出货登记!$A:$A,每日收货出货登记!$D:$D,A22))</f>
        <v/>
      </c>
    </row>
    <row r="23" ht="22" customHeight="1">
      <c r="A23" s="9">
        <f>IFERROR(INDEX(基础数据!$B$2:$B$500,ROW(A21)),"")</f>
        <v/>
      </c>
      <c r="B23" s="10">
        <f>IF(A23="","",SUMIFS(每日收货出货登记!$Q:$Q,每日收货出货登记!$D:$D,A23))</f>
        <v/>
      </c>
      <c r="C23" s="10">
        <f>IF(A23="","",SUMIFS(每日收货出货登记!$V:$V,每日收货出货登记!$D:$D,A23))</f>
        <v/>
      </c>
      <c r="D23" s="10">
        <f>IF(A23="","",SUMIFS(每日收货出货登记!$W:$W,每日收货出货登记!$D:$D,A23))</f>
        <v/>
      </c>
      <c r="E23" s="10">
        <f>IF(A23="","",COUNTIFS(每日收货出货登记!$D:$D,A23,每日收货出货登记!$G:$G,"&lt;&gt;"))</f>
        <v/>
      </c>
      <c r="F23" s="10">
        <f>IF(A23="","",COUNTIFS(每日收货出货登记!$D:$D,A23,每日收货出货登记!$W:$W,"&gt;0"))</f>
        <v/>
      </c>
      <c r="G23" s="9">
        <f>IF(A23="","",MAXIFS(每日收货出货登记!$A:$A,每日收货出货登记!$D:$D,A23))</f>
        <v/>
      </c>
    </row>
    <row r="24" ht="22" customHeight="1">
      <c r="A24" s="9">
        <f>IFERROR(INDEX(基础数据!$B$2:$B$500,ROW(A22)),"")</f>
        <v/>
      </c>
      <c r="B24" s="10">
        <f>IF(A24="","",SUMIFS(每日收货出货登记!$Q:$Q,每日收货出货登记!$D:$D,A24))</f>
        <v/>
      </c>
      <c r="C24" s="10">
        <f>IF(A24="","",SUMIFS(每日收货出货登记!$V:$V,每日收货出货登记!$D:$D,A24))</f>
        <v/>
      </c>
      <c r="D24" s="10">
        <f>IF(A24="","",SUMIFS(每日收货出货登记!$W:$W,每日收货出货登记!$D:$D,A24))</f>
        <v/>
      </c>
      <c r="E24" s="10">
        <f>IF(A24="","",COUNTIFS(每日收货出货登记!$D:$D,A24,每日收货出货登记!$G:$G,"&lt;&gt;"))</f>
        <v/>
      </c>
      <c r="F24" s="10">
        <f>IF(A24="","",COUNTIFS(每日收货出货登记!$D:$D,A24,每日收货出货登记!$W:$W,"&gt;0"))</f>
        <v/>
      </c>
      <c r="G24" s="9">
        <f>IF(A24="","",MAXIFS(每日收货出货登记!$A:$A,每日收货出货登记!$D:$D,A24))</f>
        <v/>
      </c>
    </row>
    <row r="25" ht="22" customHeight="1">
      <c r="A25" s="9">
        <f>IFERROR(INDEX(基础数据!$B$2:$B$500,ROW(A23)),"")</f>
        <v/>
      </c>
      <c r="B25" s="10">
        <f>IF(A25="","",SUMIFS(每日收货出货登记!$Q:$Q,每日收货出货登记!$D:$D,A25))</f>
        <v/>
      </c>
      <c r="C25" s="10">
        <f>IF(A25="","",SUMIFS(每日收货出货登记!$V:$V,每日收货出货登记!$D:$D,A25))</f>
        <v/>
      </c>
      <c r="D25" s="10">
        <f>IF(A25="","",SUMIFS(每日收货出货登记!$W:$W,每日收货出货登记!$D:$D,A25))</f>
        <v/>
      </c>
      <c r="E25" s="10">
        <f>IF(A25="","",COUNTIFS(每日收货出货登记!$D:$D,A25,每日收货出货登记!$G:$G,"&lt;&gt;"))</f>
        <v/>
      </c>
      <c r="F25" s="10">
        <f>IF(A25="","",COUNTIFS(每日收货出货登记!$D:$D,A25,每日收货出货登记!$W:$W,"&gt;0"))</f>
        <v/>
      </c>
      <c r="G25" s="9">
        <f>IF(A25="","",MAXIFS(每日收货出货登记!$A:$A,每日收货出货登记!$D:$D,A25))</f>
        <v/>
      </c>
    </row>
    <row r="26" ht="22" customHeight="1">
      <c r="A26" s="9">
        <f>IFERROR(INDEX(基础数据!$B$2:$B$500,ROW(A24)),"")</f>
        <v/>
      </c>
      <c r="B26" s="10">
        <f>IF(A26="","",SUMIFS(每日收货出货登记!$Q:$Q,每日收货出货登记!$D:$D,A26))</f>
        <v/>
      </c>
      <c r="C26" s="10">
        <f>IF(A26="","",SUMIFS(每日收货出货登记!$V:$V,每日收货出货登记!$D:$D,A26))</f>
        <v/>
      </c>
      <c r="D26" s="10">
        <f>IF(A26="","",SUMIFS(每日收货出货登记!$W:$W,每日收货出货登记!$D:$D,A26))</f>
        <v/>
      </c>
      <c r="E26" s="10">
        <f>IF(A26="","",COUNTIFS(每日收货出货登记!$D:$D,A26,每日收货出货登记!$G:$G,"&lt;&gt;"))</f>
        <v/>
      </c>
      <c r="F26" s="10">
        <f>IF(A26="","",COUNTIFS(每日收货出货登记!$D:$D,A26,每日收货出货登记!$W:$W,"&gt;0"))</f>
        <v/>
      </c>
      <c r="G26" s="9">
        <f>IF(A26="","",MAXIFS(每日收货出货登记!$A:$A,每日收货出货登记!$D:$D,A26))</f>
        <v/>
      </c>
    </row>
    <row r="27" ht="22" customHeight="1">
      <c r="A27" s="9">
        <f>IFERROR(INDEX(基础数据!$B$2:$B$500,ROW(A25)),"")</f>
        <v/>
      </c>
      <c r="B27" s="10">
        <f>IF(A27="","",SUMIFS(每日收货出货登记!$Q:$Q,每日收货出货登记!$D:$D,A27))</f>
        <v/>
      </c>
      <c r="C27" s="10">
        <f>IF(A27="","",SUMIFS(每日收货出货登记!$V:$V,每日收货出货登记!$D:$D,A27))</f>
        <v/>
      </c>
      <c r="D27" s="10">
        <f>IF(A27="","",SUMIFS(每日收货出货登记!$W:$W,每日收货出货登记!$D:$D,A27))</f>
        <v/>
      </c>
      <c r="E27" s="10">
        <f>IF(A27="","",COUNTIFS(每日收货出货登记!$D:$D,A27,每日收货出货登记!$G:$G,"&lt;&gt;"))</f>
        <v/>
      </c>
      <c r="F27" s="10">
        <f>IF(A27="","",COUNTIFS(每日收货出货登记!$D:$D,A27,每日收货出货登记!$W:$W,"&gt;0"))</f>
        <v/>
      </c>
      <c r="G27" s="9">
        <f>IF(A27="","",MAXIFS(每日收货出货登记!$A:$A,每日收货出货登记!$D:$D,A27))</f>
        <v/>
      </c>
    </row>
    <row r="28" ht="22" customHeight="1">
      <c r="A28" s="9">
        <f>IFERROR(INDEX(基础数据!$B$2:$B$500,ROW(A26)),"")</f>
        <v/>
      </c>
      <c r="B28" s="10">
        <f>IF(A28="","",SUMIFS(每日收货出货登记!$Q:$Q,每日收货出货登记!$D:$D,A28))</f>
        <v/>
      </c>
      <c r="C28" s="10">
        <f>IF(A28="","",SUMIFS(每日收货出货登记!$V:$V,每日收货出货登记!$D:$D,A28))</f>
        <v/>
      </c>
      <c r="D28" s="10">
        <f>IF(A28="","",SUMIFS(每日收货出货登记!$W:$W,每日收货出货登记!$D:$D,A28))</f>
        <v/>
      </c>
      <c r="E28" s="10">
        <f>IF(A28="","",COUNTIFS(每日收货出货登记!$D:$D,A28,每日收货出货登记!$G:$G,"&lt;&gt;"))</f>
        <v/>
      </c>
      <c r="F28" s="10">
        <f>IF(A28="","",COUNTIFS(每日收货出货登记!$D:$D,A28,每日收货出货登记!$W:$W,"&gt;0"))</f>
        <v/>
      </c>
      <c r="G28" s="9">
        <f>IF(A28="","",MAXIFS(每日收货出货登记!$A:$A,每日收货出货登记!$D:$D,A28))</f>
        <v/>
      </c>
    </row>
    <row r="29" ht="22" customHeight="1">
      <c r="A29" s="9">
        <f>IFERROR(INDEX(基础数据!$B$2:$B$500,ROW(A27)),"")</f>
        <v/>
      </c>
      <c r="B29" s="10">
        <f>IF(A29="","",SUMIFS(每日收货出货登记!$Q:$Q,每日收货出货登记!$D:$D,A29))</f>
        <v/>
      </c>
      <c r="C29" s="10">
        <f>IF(A29="","",SUMIFS(每日收货出货登记!$V:$V,每日收货出货登记!$D:$D,A29))</f>
        <v/>
      </c>
      <c r="D29" s="10">
        <f>IF(A29="","",SUMIFS(每日收货出货登记!$W:$W,每日收货出货登记!$D:$D,A29))</f>
        <v/>
      </c>
      <c r="E29" s="10">
        <f>IF(A29="","",COUNTIFS(每日收货出货登记!$D:$D,A29,每日收货出货登记!$G:$G,"&lt;&gt;"))</f>
        <v/>
      </c>
      <c r="F29" s="10">
        <f>IF(A29="","",COUNTIFS(每日收货出货登记!$D:$D,A29,每日收货出货登记!$W:$W,"&gt;0"))</f>
        <v/>
      </c>
      <c r="G29" s="9">
        <f>IF(A29="","",MAXIFS(每日收货出货登记!$A:$A,每日收货出货登记!$D:$D,A29))</f>
        <v/>
      </c>
    </row>
    <row r="30" ht="22" customHeight="1">
      <c r="A30" s="9">
        <f>IFERROR(INDEX(基础数据!$B$2:$B$500,ROW(A28)),"")</f>
        <v/>
      </c>
      <c r="B30" s="10">
        <f>IF(A30="","",SUMIFS(每日收货出货登记!$Q:$Q,每日收货出货登记!$D:$D,A30))</f>
        <v/>
      </c>
      <c r="C30" s="10">
        <f>IF(A30="","",SUMIFS(每日收货出货登记!$V:$V,每日收货出货登记!$D:$D,A30))</f>
        <v/>
      </c>
      <c r="D30" s="10">
        <f>IF(A30="","",SUMIFS(每日收货出货登记!$W:$W,每日收货出货登记!$D:$D,A30))</f>
        <v/>
      </c>
      <c r="E30" s="10">
        <f>IF(A30="","",COUNTIFS(每日收货出货登记!$D:$D,A30,每日收货出货登记!$G:$G,"&lt;&gt;"))</f>
        <v/>
      </c>
      <c r="F30" s="10">
        <f>IF(A30="","",COUNTIFS(每日收货出货登记!$D:$D,A30,每日收货出货登记!$W:$W,"&gt;0"))</f>
        <v/>
      </c>
      <c r="G30" s="9">
        <f>IF(A30="","",MAXIFS(每日收货出货登记!$A:$A,每日收货出货登记!$D:$D,A30))</f>
        <v/>
      </c>
    </row>
    <row r="31" ht="22" customHeight="1">
      <c r="A31" s="9">
        <f>IFERROR(INDEX(基础数据!$B$2:$B$500,ROW(A29)),"")</f>
        <v/>
      </c>
      <c r="B31" s="10">
        <f>IF(A31="","",SUMIFS(每日收货出货登记!$Q:$Q,每日收货出货登记!$D:$D,A31))</f>
        <v/>
      </c>
      <c r="C31" s="10">
        <f>IF(A31="","",SUMIFS(每日收货出货登记!$V:$V,每日收货出货登记!$D:$D,A31))</f>
        <v/>
      </c>
      <c r="D31" s="10">
        <f>IF(A31="","",SUMIFS(每日收货出货登记!$W:$W,每日收货出货登记!$D:$D,A31))</f>
        <v/>
      </c>
      <c r="E31" s="10">
        <f>IF(A31="","",COUNTIFS(每日收货出货登记!$D:$D,A31,每日收货出货登记!$G:$G,"&lt;&gt;"))</f>
        <v/>
      </c>
      <c r="F31" s="10">
        <f>IF(A31="","",COUNTIFS(每日收货出货登记!$D:$D,A31,每日收货出货登记!$W:$W,"&gt;0"))</f>
        <v/>
      </c>
      <c r="G31" s="9">
        <f>IF(A31="","",MAXIFS(每日收货出货登记!$A:$A,每日收货出货登记!$D:$D,A31))</f>
        <v/>
      </c>
    </row>
    <row r="32" ht="22" customHeight="1">
      <c r="A32" s="9">
        <f>IFERROR(INDEX(基础数据!$B$2:$B$500,ROW(A30)),"")</f>
        <v/>
      </c>
      <c r="B32" s="10">
        <f>IF(A32="","",SUMIFS(每日收货出货登记!$Q:$Q,每日收货出货登记!$D:$D,A32))</f>
        <v/>
      </c>
      <c r="C32" s="10">
        <f>IF(A32="","",SUMIFS(每日收货出货登记!$V:$V,每日收货出货登记!$D:$D,A32))</f>
        <v/>
      </c>
      <c r="D32" s="10">
        <f>IF(A32="","",SUMIFS(每日收货出货登记!$W:$W,每日收货出货登记!$D:$D,A32))</f>
        <v/>
      </c>
      <c r="E32" s="10">
        <f>IF(A32="","",COUNTIFS(每日收货出货登记!$D:$D,A32,每日收货出货登记!$G:$G,"&lt;&gt;"))</f>
        <v/>
      </c>
      <c r="F32" s="10">
        <f>IF(A32="","",COUNTIFS(每日收货出货登记!$D:$D,A32,每日收货出货登记!$W:$W,"&gt;0"))</f>
        <v/>
      </c>
      <c r="G32" s="9">
        <f>IF(A32="","",MAXIFS(每日收货出货登记!$A:$A,每日收货出货登记!$D:$D,A32))</f>
        <v/>
      </c>
    </row>
    <row r="33" ht="22" customHeight="1">
      <c r="A33" s="9">
        <f>IFERROR(INDEX(基础数据!$B$2:$B$500,ROW(A31)),"")</f>
        <v/>
      </c>
      <c r="B33" s="10">
        <f>IF(A33="","",SUMIFS(每日收货出货登记!$Q:$Q,每日收货出货登记!$D:$D,A33))</f>
        <v/>
      </c>
      <c r="C33" s="10">
        <f>IF(A33="","",SUMIFS(每日收货出货登记!$V:$V,每日收货出货登记!$D:$D,A33))</f>
        <v/>
      </c>
      <c r="D33" s="10">
        <f>IF(A33="","",SUMIFS(每日收货出货登记!$W:$W,每日收货出货登记!$D:$D,A33))</f>
        <v/>
      </c>
      <c r="E33" s="10">
        <f>IF(A33="","",COUNTIFS(每日收货出货登记!$D:$D,A33,每日收货出货登记!$G:$G,"&lt;&gt;"))</f>
        <v/>
      </c>
      <c r="F33" s="10">
        <f>IF(A33="","",COUNTIFS(每日收货出货登记!$D:$D,A33,每日收货出货登记!$W:$W,"&gt;0"))</f>
        <v/>
      </c>
      <c r="G33" s="9">
        <f>IF(A33="","",MAXIFS(每日收货出货登记!$A:$A,每日收货出货登记!$D:$D,A33))</f>
        <v/>
      </c>
    </row>
    <row r="34" ht="22" customHeight="1">
      <c r="A34" s="9">
        <f>IFERROR(INDEX(基础数据!$B$2:$B$500,ROW(A32)),"")</f>
        <v/>
      </c>
      <c r="B34" s="10">
        <f>IF(A34="","",SUMIFS(每日收货出货登记!$Q:$Q,每日收货出货登记!$D:$D,A34))</f>
        <v/>
      </c>
      <c r="C34" s="10">
        <f>IF(A34="","",SUMIFS(每日收货出货登记!$V:$V,每日收货出货登记!$D:$D,A34))</f>
        <v/>
      </c>
      <c r="D34" s="10">
        <f>IF(A34="","",SUMIFS(每日收货出货登记!$W:$W,每日收货出货登记!$D:$D,A34))</f>
        <v/>
      </c>
      <c r="E34" s="10">
        <f>IF(A34="","",COUNTIFS(每日收货出货登记!$D:$D,A34,每日收货出货登记!$G:$G,"&lt;&gt;"))</f>
        <v/>
      </c>
      <c r="F34" s="10">
        <f>IF(A34="","",COUNTIFS(每日收货出货登记!$D:$D,A34,每日收货出货登记!$W:$W,"&gt;0"))</f>
        <v/>
      </c>
      <c r="G34" s="9">
        <f>IF(A34="","",MAXIFS(每日收货出货登记!$A:$A,每日收货出货登记!$D:$D,A34))</f>
        <v/>
      </c>
    </row>
    <row r="35" ht="22" customHeight="1">
      <c r="A35" s="9">
        <f>IFERROR(INDEX(基础数据!$B$2:$B$500,ROW(A33)),"")</f>
        <v/>
      </c>
      <c r="B35" s="10">
        <f>IF(A35="","",SUMIFS(每日收货出货登记!$Q:$Q,每日收货出货登记!$D:$D,A35))</f>
        <v/>
      </c>
      <c r="C35" s="10">
        <f>IF(A35="","",SUMIFS(每日收货出货登记!$V:$V,每日收货出货登记!$D:$D,A35))</f>
        <v/>
      </c>
      <c r="D35" s="10">
        <f>IF(A35="","",SUMIFS(每日收货出货登记!$W:$W,每日收货出货登记!$D:$D,A35))</f>
        <v/>
      </c>
      <c r="E35" s="10">
        <f>IF(A35="","",COUNTIFS(每日收货出货登记!$D:$D,A35,每日收货出货登记!$G:$G,"&lt;&gt;"))</f>
        <v/>
      </c>
      <c r="F35" s="10">
        <f>IF(A35="","",COUNTIFS(每日收货出货登记!$D:$D,A35,每日收货出货登记!$W:$W,"&gt;0"))</f>
        <v/>
      </c>
      <c r="G35" s="9">
        <f>IF(A35="","",MAXIFS(每日收货出货登记!$A:$A,每日收货出货登记!$D:$D,A35))</f>
        <v/>
      </c>
    </row>
    <row r="36" ht="22" customHeight="1">
      <c r="A36" s="9">
        <f>IFERROR(INDEX(基础数据!$B$2:$B$500,ROW(A34)),"")</f>
        <v/>
      </c>
      <c r="B36" s="10">
        <f>IF(A36="","",SUMIFS(每日收货出货登记!$Q:$Q,每日收货出货登记!$D:$D,A36))</f>
        <v/>
      </c>
      <c r="C36" s="10">
        <f>IF(A36="","",SUMIFS(每日收货出货登记!$V:$V,每日收货出货登记!$D:$D,A36))</f>
        <v/>
      </c>
      <c r="D36" s="10">
        <f>IF(A36="","",SUMIFS(每日收货出货登记!$W:$W,每日收货出货登记!$D:$D,A36))</f>
        <v/>
      </c>
      <c r="E36" s="10">
        <f>IF(A36="","",COUNTIFS(每日收货出货登记!$D:$D,A36,每日收货出货登记!$G:$G,"&lt;&gt;"))</f>
        <v/>
      </c>
      <c r="F36" s="10">
        <f>IF(A36="","",COUNTIFS(每日收货出货登记!$D:$D,A36,每日收货出货登记!$W:$W,"&gt;0"))</f>
        <v/>
      </c>
      <c r="G36" s="9">
        <f>IF(A36="","",MAXIFS(每日收货出货登记!$A:$A,每日收货出货登记!$D:$D,A36))</f>
        <v/>
      </c>
    </row>
    <row r="37" ht="22" customHeight="1">
      <c r="A37" s="9">
        <f>IFERROR(INDEX(基础数据!$B$2:$B$500,ROW(A35)),"")</f>
        <v/>
      </c>
      <c r="B37" s="10">
        <f>IF(A37="","",SUMIFS(每日收货出货登记!$Q:$Q,每日收货出货登记!$D:$D,A37))</f>
        <v/>
      </c>
      <c r="C37" s="10">
        <f>IF(A37="","",SUMIFS(每日收货出货登记!$V:$V,每日收货出货登记!$D:$D,A37))</f>
        <v/>
      </c>
      <c r="D37" s="10">
        <f>IF(A37="","",SUMIFS(每日收货出货登记!$W:$W,每日收货出货登记!$D:$D,A37))</f>
        <v/>
      </c>
      <c r="E37" s="10">
        <f>IF(A37="","",COUNTIFS(每日收货出货登记!$D:$D,A37,每日收货出货登记!$G:$G,"&lt;&gt;"))</f>
        <v/>
      </c>
      <c r="F37" s="10">
        <f>IF(A37="","",COUNTIFS(每日收货出货登记!$D:$D,A37,每日收货出货登记!$W:$W,"&gt;0"))</f>
        <v/>
      </c>
      <c r="G37" s="9">
        <f>IF(A37="","",MAXIFS(每日收货出货登记!$A:$A,每日收货出货登记!$D:$D,A37))</f>
        <v/>
      </c>
    </row>
    <row r="38" ht="22" customHeight="1">
      <c r="A38" s="9">
        <f>IFERROR(INDEX(基础数据!$B$2:$B$500,ROW(A36)),"")</f>
        <v/>
      </c>
      <c r="B38" s="10">
        <f>IF(A38="","",SUMIFS(每日收货出货登记!$Q:$Q,每日收货出货登记!$D:$D,A38))</f>
        <v/>
      </c>
      <c r="C38" s="10">
        <f>IF(A38="","",SUMIFS(每日收货出货登记!$V:$V,每日收货出货登记!$D:$D,A38))</f>
        <v/>
      </c>
      <c r="D38" s="10">
        <f>IF(A38="","",SUMIFS(每日收货出货登记!$W:$W,每日收货出货登记!$D:$D,A38))</f>
        <v/>
      </c>
      <c r="E38" s="10">
        <f>IF(A38="","",COUNTIFS(每日收货出货登记!$D:$D,A38,每日收货出货登记!$G:$G,"&lt;&gt;"))</f>
        <v/>
      </c>
      <c r="F38" s="10">
        <f>IF(A38="","",COUNTIFS(每日收货出货登记!$D:$D,A38,每日收货出货登记!$W:$W,"&gt;0"))</f>
        <v/>
      </c>
      <c r="G38" s="9">
        <f>IF(A38="","",MAXIFS(每日收货出货登记!$A:$A,每日收货出货登记!$D:$D,A38))</f>
        <v/>
      </c>
    </row>
    <row r="39" ht="22" customHeight="1">
      <c r="A39" s="9">
        <f>IFERROR(INDEX(基础数据!$B$2:$B$500,ROW(A37)),"")</f>
        <v/>
      </c>
      <c r="B39" s="10">
        <f>IF(A39="","",SUMIFS(每日收货出货登记!$Q:$Q,每日收货出货登记!$D:$D,A39))</f>
        <v/>
      </c>
      <c r="C39" s="10">
        <f>IF(A39="","",SUMIFS(每日收货出货登记!$V:$V,每日收货出货登记!$D:$D,A39))</f>
        <v/>
      </c>
      <c r="D39" s="10">
        <f>IF(A39="","",SUMIFS(每日收货出货登记!$W:$W,每日收货出货登记!$D:$D,A39))</f>
        <v/>
      </c>
      <c r="E39" s="10">
        <f>IF(A39="","",COUNTIFS(每日收货出货登记!$D:$D,A39,每日收货出货登记!$G:$G,"&lt;&gt;"))</f>
        <v/>
      </c>
      <c r="F39" s="10">
        <f>IF(A39="","",COUNTIFS(每日收货出货登记!$D:$D,A39,每日收货出货登记!$W:$W,"&gt;0"))</f>
        <v/>
      </c>
      <c r="G39" s="9">
        <f>IF(A39="","",MAXIFS(每日收货出货登记!$A:$A,每日收货出货登记!$D:$D,A39))</f>
        <v/>
      </c>
    </row>
    <row r="40" ht="22" customHeight="1">
      <c r="A40" s="9">
        <f>IFERROR(INDEX(基础数据!$B$2:$B$500,ROW(A38)),"")</f>
        <v/>
      </c>
      <c r="B40" s="10">
        <f>IF(A40="","",SUMIFS(每日收货出货登记!$Q:$Q,每日收货出货登记!$D:$D,A40))</f>
        <v/>
      </c>
      <c r="C40" s="10">
        <f>IF(A40="","",SUMIFS(每日收货出货登记!$V:$V,每日收货出货登记!$D:$D,A40))</f>
        <v/>
      </c>
      <c r="D40" s="10">
        <f>IF(A40="","",SUMIFS(每日收货出货登记!$W:$W,每日收货出货登记!$D:$D,A40))</f>
        <v/>
      </c>
      <c r="E40" s="10">
        <f>IF(A40="","",COUNTIFS(每日收货出货登记!$D:$D,A40,每日收货出货登记!$G:$G,"&lt;&gt;"))</f>
        <v/>
      </c>
      <c r="F40" s="10">
        <f>IF(A40="","",COUNTIFS(每日收货出货登记!$D:$D,A40,每日收货出货登记!$W:$W,"&gt;0"))</f>
        <v/>
      </c>
      <c r="G40" s="9">
        <f>IF(A40="","",MAXIFS(每日收货出货登记!$A:$A,每日收货出货登记!$D:$D,A40))</f>
        <v/>
      </c>
    </row>
    <row r="41" ht="22" customHeight="1">
      <c r="A41" s="9">
        <f>IFERROR(INDEX(基础数据!$B$2:$B$500,ROW(A39)),"")</f>
        <v/>
      </c>
      <c r="B41" s="10">
        <f>IF(A41="","",SUMIFS(每日收货出货登记!$Q:$Q,每日收货出货登记!$D:$D,A41))</f>
        <v/>
      </c>
      <c r="C41" s="10">
        <f>IF(A41="","",SUMIFS(每日收货出货登记!$V:$V,每日收货出货登记!$D:$D,A41))</f>
        <v/>
      </c>
      <c r="D41" s="10">
        <f>IF(A41="","",SUMIFS(每日收货出货登记!$W:$W,每日收货出货登记!$D:$D,A41))</f>
        <v/>
      </c>
      <c r="E41" s="10">
        <f>IF(A41="","",COUNTIFS(每日收货出货登记!$D:$D,A41,每日收货出货登记!$G:$G,"&lt;&gt;"))</f>
        <v/>
      </c>
      <c r="F41" s="10">
        <f>IF(A41="","",COUNTIFS(每日收货出货登记!$D:$D,A41,每日收货出货登记!$W:$W,"&gt;0"))</f>
        <v/>
      </c>
      <c r="G41" s="9">
        <f>IF(A41="","",MAXIFS(每日收货出货登记!$A:$A,每日收货出货登记!$D:$D,A41))</f>
        <v/>
      </c>
    </row>
    <row r="42" ht="22" customHeight="1">
      <c r="A42" s="9">
        <f>IFERROR(INDEX(基础数据!$B$2:$B$500,ROW(A40)),"")</f>
        <v/>
      </c>
      <c r="B42" s="10">
        <f>IF(A42="","",SUMIFS(每日收货出货登记!$Q:$Q,每日收货出货登记!$D:$D,A42))</f>
        <v/>
      </c>
      <c r="C42" s="10">
        <f>IF(A42="","",SUMIFS(每日收货出货登记!$V:$V,每日收货出货登记!$D:$D,A42))</f>
        <v/>
      </c>
      <c r="D42" s="10">
        <f>IF(A42="","",SUMIFS(每日收货出货登记!$W:$W,每日收货出货登记!$D:$D,A42))</f>
        <v/>
      </c>
      <c r="E42" s="10">
        <f>IF(A42="","",COUNTIFS(每日收货出货登记!$D:$D,A42,每日收货出货登记!$G:$G,"&lt;&gt;"))</f>
        <v/>
      </c>
      <c r="F42" s="10">
        <f>IF(A42="","",COUNTIFS(每日收货出货登记!$D:$D,A42,每日收货出货登记!$W:$W,"&gt;0"))</f>
        <v/>
      </c>
      <c r="G42" s="9">
        <f>IF(A42="","",MAXIFS(每日收货出货登记!$A:$A,每日收货出货登记!$D:$D,A42))</f>
        <v/>
      </c>
    </row>
    <row r="43" ht="22" customHeight="1">
      <c r="A43" s="9">
        <f>IFERROR(INDEX(基础数据!$B$2:$B$500,ROW(A41)),"")</f>
        <v/>
      </c>
      <c r="B43" s="10">
        <f>IF(A43="","",SUMIFS(每日收货出货登记!$Q:$Q,每日收货出货登记!$D:$D,A43))</f>
        <v/>
      </c>
      <c r="C43" s="10">
        <f>IF(A43="","",SUMIFS(每日收货出货登记!$V:$V,每日收货出货登记!$D:$D,A43))</f>
        <v/>
      </c>
      <c r="D43" s="10">
        <f>IF(A43="","",SUMIFS(每日收货出货登记!$W:$W,每日收货出货登记!$D:$D,A43))</f>
        <v/>
      </c>
      <c r="E43" s="10">
        <f>IF(A43="","",COUNTIFS(每日收货出货登记!$D:$D,A43,每日收货出货登记!$G:$G,"&lt;&gt;"))</f>
        <v/>
      </c>
      <c r="F43" s="10">
        <f>IF(A43="","",COUNTIFS(每日收货出货登记!$D:$D,A43,每日收货出货登记!$W:$W,"&gt;0"))</f>
        <v/>
      </c>
      <c r="G43" s="9">
        <f>IF(A43="","",MAXIFS(每日收货出货登记!$A:$A,每日收货出货登记!$D:$D,A43))</f>
        <v/>
      </c>
    </row>
    <row r="44" ht="22" customHeight="1">
      <c r="A44" s="9">
        <f>IFERROR(INDEX(基础数据!$B$2:$B$500,ROW(A42)),"")</f>
        <v/>
      </c>
      <c r="B44" s="10">
        <f>IF(A44="","",SUMIFS(每日收货出货登记!$Q:$Q,每日收货出货登记!$D:$D,A44))</f>
        <v/>
      </c>
      <c r="C44" s="10">
        <f>IF(A44="","",SUMIFS(每日收货出货登记!$V:$V,每日收货出货登记!$D:$D,A44))</f>
        <v/>
      </c>
      <c r="D44" s="10">
        <f>IF(A44="","",SUMIFS(每日收货出货登记!$W:$W,每日收货出货登记!$D:$D,A44))</f>
        <v/>
      </c>
      <c r="E44" s="10">
        <f>IF(A44="","",COUNTIFS(每日收货出货登记!$D:$D,A44,每日收货出货登记!$G:$G,"&lt;&gt;"))</f>
        <v/>
      </c>
      <c r="F44" s="10">
        <f>IF(A44="","",COUNTIFS(每日收货出货登记!$D:$D,A44,每日收货出货登记!$W:$W,"&gt;0"))</f>
        <v/>
      </c>
      <c r="G44" s="9">
        <f>IF(A44="","",MAXIFS(每日收货出货登记!$A:$A,每日收货出货登记!$D:$D,A44))</f>
        <v/>
      </c>
    </row>
    <row r="45" ht="22" customHeight="1">
      <c r="A45" s="9">
        <f>IFERROR(INDEX(基础数据!$B$2:$B$500,ROW(A43)),"")</f>
        <v/>
      </c>
      <c r="B45" s="10">
        <f>IF(A45="","",SUMIFS(每日收货出货登记!$Q:$Q,每日收货出货登记!$D:$D,A45))</f>
        <v/>
      </c>
      <c r="C45" s="10">
        <f>IF(A45="","",SUMIFS(每日收货出货登记!$V:$V,每日收货出货登记!$D:$D,A45))</f>
        <v/>
      </c>
      <c r="D45" s="10">
        <f>IF(A45="","",SUMIFS(每日收货出货登记!$W:$W,每日收货出货登记!$D:$D,A45))</f>
        <v/>
      </c>
      <c r="E45" s="10">
        <f>IF(A45="","",COUNTIFS(每日收货出货登记!$D:$D,A45,每日收货出货登记!$G:$G,"&lt;&gt;"))</f>
        <v/>
      </c>
      <c r="F45" s="10">
        <f>IF(A45="","",COUNTIFS(每日收货出货登记!$D:$D,A45,每日收货出货登记!$W:$W,"&gt;0"))</f>
        <v/>
      </c>
      <c r="G45" s="9">
        <f>IF(A45="","",MAXIFS(每日收货出货登记!$A:$A,每日收货出货登记!$D:$D,A45))</f>
        <v/>
      </c>
    </row>
    <row r="46" ht="22" customHeight="1">
      <c r="A46" s="9">
        <f>IFERROR(INDEX(基础数据!$B$2:$B$500,ROW(A44)),"")</f>
        <v/>
      </c>
      <c r="B46" s="10">
        <f>IF(A46="","",SUMIFS(每日收货出货登记!$Q:$Q,每日收货出货登记!$D:$D,A46))</f>
        <v/>
      </c>
      <c r="C46" s="10">
        <f>IF(A46="","",SUMIFS(每日收货出货登记!$V:$V,每日收货出货登记!$D:$D,A46))</f>
        <v/>
      </c>
      <c r="D46" s="10">
        <f>IF(A46="","",SUMIFS(每日收货出货登记!$W:$W,每日收货出货登记!$D:$D,A46))</f>
        <v/>
      </c>
      <c r="E46" s="10">
        <f>IF(A46="","",COUNTIFS(每日收货出货登记!$D:$D,A46,每日收货出货登记!$G:$G,"&lt;&gt;"))</f>
        <v/>
      </c>
      <c r="F46" s="10">
        <f>IF(A46="","",COUNTIFS(每日收货出货登记!$D:$D,A46,每日收货出货登记!$W:$W,"&gt;0"))</f>
        <v/>
      </c>
      <c r="G46" s="9">
        <f>IF(A46="","",MAXIFS(每日收货出货登记!$A:$A,每日收货出货登记!$D:$D,A46))</f>
        <v/>
      </c>
    </row>
    <row r="47" ht="22" customHeight="1">
      <c r="A47" s="9">
        <f>IFERROR(INDEX(基础数据!$B$2:$B$500,ROW(A45)),"")</f>
        <v/>
      </c>
      <c r="B47" s="10">
        <f>IF(A47="","",SUMIFS(每日收货出货登记!$Q:$Q,每日收货出货登记!$D:$D,A47))</f>
        <v/>
      </c>
      <c r="C47" s="10">
        <f>IF(A47="","",SUMIFS(每日收货出货登记!$V:$V,每日收货出货登记!$D:$D,A47))</f>
        <v/>
      </c>
      <c r="D47" s="10">
        <f>IF(A47="","",SUMIFS(每日收货出货登记!$W:$W,每日收货出货登记!$D:$D,A47))</f>
        <v/>
      </c>
      <c r="E47" s="10">
        <f>IF(A47="","",COUNTIFS(每日收货出货登记!$D:$D,A47,每日收货出货登记!$G:$G,"&lt;&gt;"))</f>
        <v/>
      </c>
      <c r="F47" s="10">
        <f>IF(A47="","",COUNTIFS(每日收货出货登记!$D:$D,A47,每日收货出货登记!$W:$W,"&gt;0"))</f>
        <v/>
      </c>
      <c r="G47" s="9">
        <f>IF(A47="","",MAXIFS(每日收货出货登记!$A:$A,每日收货出货登记!$D:$D,A47))</f>
        <v/>
      </c>
    </row>
    <row r="48" ht="22" customHeight="1">
      <c r="A48" s="9">
        <f>IFERROR(INDEX(基础数据!$B$2:$B$500,ROW(A46)),"")</f>
        <v/>
      </c>
      <c r="B48" s="10">
        <f>IF(A48="","",SUMIFS(每日收货出货登记!$Q:$Q,每日收货出货登记!$D:$D,A48))</f>
        <v/>
      </c>
      <c r="C48" s="10">
        <f>IF(A48="","",SUMIFS(每日收货出货登记!$V:$V,每日收货出货登记!$D:$D,A48))</f>
        <v/>
      </c>
      <c r="D48" s="10">
        <f>IF(A48="","",SUMIFS(每日收货出货登记!$W:$W,每日收货出货登记!$D:$D,A48))</f>
        <v/>
      </c>
      <c r="E48" s="10">
        <f>IF(A48="","",COUNTIFS(每日收货出货登记!$D:$D,A48,每日收货出货登记!$G:$G,"&lt;&gt;"))</f>
        <v/>
      </c>
      <c r="F48" s="10">
        <f>IF(A48="","",COUNTIFS(每日收货出货登记!$D:$D,A48,每日收货出货登记!$W:$W,"&gt;0"))</f>
        <v/>
      </c>
      <c r="G48" s="9">
        <f>IF(A48="","",MAXIFS(每日收货出货登记!$A:$A,每日收货出货登记!$D:$D,A48))</f>
        <v/>
      </c>
    </row>
    <row r="49" ht="22" customHeight="1">
      <c r="A49" s="9">
        <f>IFERROR(INDEX(基础数据!$B$2:$B$500,ROW(A47)),"")</f>
        <v/>
      </c>
      <c r="B49" s="10">
        <f>IF(A49="","",SUMIFS(每日收货出货登记!$Q:$Q,每日收货出货登记!$D:$D,A49))</f>
        <v/>
      </c>
      <c r="C49" s="10">
        <f>IF(A49="","",SUMIFS(每日收货出货登记!$V:$V,每日收货出货登记!$D:$D,A49))</f>
        <v/>
      </c>
      <c r="D49" s="10">
        <f>IF(A49="","",SUMIFS(每日收货出货登记!$W:$W,每日收货出货登记!$D:$D,A49))</f>
        <v/>
      </c>
      <c r="E49" s="10">
        <f>IF(A49="","",COUNTIFS(每日收货出货登记!$D:$D,A49,每日收货出货登记!$G:$G,"&lt;&gt;"))</f>
        <v/>
      </c>
      <c r="F49" s="10">
        <f>IF(A49="","",COUNTIFS(每日收货出货登记!$D:$D,A49,每日收货出货登记!$W:$W,"&gt;0"))</f>
        <v/>
      </c>
      <c r="G49" s="9">
        <f>IF(A49="","",MAXIFS(每日收货出货登记!$A:$A,每日收货出货登记!$D:$D,A49))</f>
        <v/>
      </c>
    </row>
    <row r="50" ht="22" customHeight="1">
      <c r="A50" s="9">
        <f>IFERROR(INDEX(基础数据!$B$2:$B$500,ROW(A48)),"")</f>
        <v/>
      </c>
      <c r="B50" s="10">
        <f>IF(A50="","",SUMIFS(每日收货出货登记!$Q:$Q,每日收货出货登记!$D:$D,A50))</f>
        <v/>
      </c>
      <c r="C50" s="10">
        <f>IF(A50="","",SUMIFS(每日收货出货登记!$V:$V,每日收货出货登记!$D:$D,A50))</f>
        <v/>
      </c>
      <c r="D50" s="10">
        <f>IF(A50="","",SUMIFS(每日收货出货登记!$W:$W,每日收货出货登记!$D:$D,A50))</f>
        <v/>
      </c>
      <c r="E50" s="10">
        <f>IF(A50="","",COUNTIFS(每日收货出货登记!$D:$D,A50,每日收货出货登记!$G:$G,"&lt;&gt;"))</f>
        <v/>
      </c>
      <c r="F50" s="10">
        <f>IF(A50="","",COUNTIFS(每日收货出货登记!$D:$D,A50,每日收货出货登记!$W:$W,"&gt;0"))</f>
        <v/>
      </c>
      <c r="G50" s="9">
        <f>IF(A50="","",MAXIFS(每日收货出货登记!$A:$A,每日收货出货登记!$D:$D,A50))</f>
        <v/>
      </c>
    </row>
    <row r="51" ht="22" customHeight="1">
      <c r="A51" s="9">
        <f>IFERROR(INDEX(基础数据!$B$2:$B$500,ROW(A49)),"")</f>
        <v/>
      </c>
      <c r="B51" s="10">
        <f>IF(A51="","",SUMIFS(每日收货出货登记!$Q:$Q,每日收货出货登记!$D:$D,A51))</f>
        <v/>
      </c>
      <c r="C51" s="10">
        <f>IF(A51="","",SUMIFS(每日收货出货登记!$V:$V,每日收货出货登记!$D:$D,A51))</f>
        <v/>
      </c>
      <c r="D51" s="10">
        <f>IF(A51="","",SUMIFS(每日收货出货登记!$W:$W,每日收货出货登记!$D:$D,A51))</f>
        <v/>
      </c>
      <c r="E51" s="10">
        <f>IF(A51="","",COUNTIFS(每日收货出货登记!$D:$D,A51,每日收货出货登记!$G:$G,"&lt;&gt;"))</f>
        <v/>
      </c>
      <c r="F51" s="10">
        <f>IF(A51="","",COUNTIFS(每日收货出货登记!$D:$D,A51,每日收货出货登记!$W:$W,"&gt;0"))</f>
        <v/>
      </c>
      <c r="G51" s="9">
        <f>IF(A51="","",MAXIFS(每日收货出货登记!$A:$A,每日收货出货登记!$D:$D,A51))</f>
        <v/>
      </c>
    </row>
    <row r="52" ht="22" customHeight="1">
      <c r="A52" s="9">
        <f>IFERROR(INDEX(基础数据!$B$2:$B$500,ROW(A50)),"")</f>
        <v/>
      </c>
      <c r="B52" s="10">
        <f>IF(A52="","",SUMIFS(每日收货出货登记!$Q:$Q,每日收货出货登记!$D:$D,A52))</f>
        <v/>
      </c>
      <c r="C52" s="10">
        <f>IF(A52="","",SUMIFS(每日收货出货登记!$V:$V,每日收货出货登记!$D:$D,A52))</f>
        <v/>
      </c>
      <c r="D52" s="10">
        <f>IF(A52="","",SUMIFS(每日收货出货登记!$W:$W,每日收货出货登记!$D:$D,A52))</f>
        <v/>
      </c>
      <c r="E52" s="10">
        <f>IF(A52="","",COUNTIFS(每日收货出货登记!$D:$D,A52,每日收货出货登记!$G:$G,"&lt;&gt;"))</f>
        <v/>
      </c>
      <c r="F52" s="10">
        <f>IF(A52="","",COUNTIFS(每日收货出货登记!$D:$D,A52,每日收货出货登记!$W:$W,"&gt;0"))</f>
        <v/>
      </c>
      <c r="G52" s="9">
        <f>IF(A52="","",MAXIFS(每日收货出货登记!$A:$A,每日收货出货登记!$D:$D,A52))</f>
        <v/>
      </c>
    </row>
    <row r="53" ht="22" customHeight="1">
      <c r="A53" s="9">
        <f>IFERROR(INDEX(基础数据!$B$2:$B$500,ROW(A51)),"")</f>
        <v/>
      </c>
      <c r="B53" s="10">
        <f>IF(A53="","",SUMIFS(每日收货出货登记!$Q:$Q,每日收货出货登记!$D:$D,A53))</f>
        <v/>
      </c>
      <c r="C53" s="10">
        <f>IF(A53="","",SUMIFS(每日收货出货登记!$V:$V,每日收货出货登记!$D:$D,A53))</f>
        <v/>
      </c>
      <c r="D53" s="10">
        <f>IF(A53="","",SUMIFS(每日收货出货登记!$W:$W,每日收货出货登记!$D:$D,A53))</f>
        <v/>
      </c>
      <c r="E53" s="10">
        <f>IF(A53="","",COUNTIFS(每日收货出货登记!$D:$D,A53,每日收货出货登记!$G:$G,"&lt;&gt;"))</f>
        <v/>
      </c>
      <c r="F53" s="10">
        <f>IF(A53="","",COUNTIFS(每日收货出货登记!$D:$D,A53,每日收货出货登记!$W:$W,"&gt;0"))</f>
        <v/>
      </c>
      <c r="G53" s="9">
        <f>IF(A53="","",MAXIFS(每日收货出货登记!$A:$A,每日收货出货登记!$D:$D,A53))</f>
        <v/>
      </c>
    </row>
    <row r="54" ht="22" customHeight="1">
      <c r="A54" s="9">
        <f>IFERROR(INDEX(基础数据!$B$2:$B$500,ROW(A52)),"")</f>
        <v/>
      </c>
      <c r="B54" s="10">
        <f>IF(A54="","",SUMIFS(每日收货出货登记!$Q:$Q,每日收货出货登记!$D:$D,A54))</f>
        <v/>
      </c>
      <c r="C54" s="10">
        <f>IF(A54="","",SUMIFS(每日收货出货登记!$V:$V,每日收货出货登记!$D:$D,A54))</f>
        <v/>
      </c>
      <c r="D54" s="10">
        <f>IF(A54="","",SUMIFS(每日收货出货登记!$W:$W,每日收货出货登记!$D:$D,A54))</f>
        <v/>
      </c>
      <c r="E54" s="10">
        <f>IF(A54="","",COUNTIFS(每日收货出货登记!$D:$D,A54,每日收货出货登记!$G:$G,"&lt;&gt;"))</f>
        <v/>
      </c>
      <c r="F54" s="10">
        <f>IF(A54="","",COUNTIFS(每日收货出货登记!$D:$D,A54,每日收货出货登记!$W:$W,"&gt;0"))</f>
        <v/>
      </c>
      <c r="G54" s="9">
        <f>IF(A54="","",MAXIFS(每日收货出货登记!$A:$A,每日收货出货登记!$D:$D,A54))</f>
        <v/>
      </c>
    </row>
    <row r="55" ht="22" customHeight="1">
      <c r="A55" s="9">
        <f>IFERROR(INDEX(基础数据!$B$2:$B$500,ROW(A53)),"")</f>
        <v/>
      </c>
      <c r="B55" s="10">
        <f>IF(A55="","",SUMIFS(每日收货出货登记!$Q:$Q,每日收货出货登记!$D:$D,A55))</f>
        <v/>
      </c>
      <c r="C55" s="10">
        <f>IF(A55="","",SUMIFS(每日收货出货登记!$V:$V,每日收货出货登记!$D:$D,A55))</f>
        <v/>
      </c>
      <c r="D55" s="10">
        <f>IF(A55="","",SUMIFS(每日收货出货登记!$W:$W,每日收货出货登记!$D:$D,A55))</f>
        <v/>
      </c>
      <c r="E55" s="10">
        <f>IF(A55="","",COUNTIFS(每日收货出货登记!$D:$D,A55,每日收货出货登记!$G:$G,"&lt;&gt;"))</f>
        <v/>
      </c>
      <c r="F55" s="10">
        <f>IF(A55="","",COUNTIFS(每日收货出货登记!$D:$D,A55,每日收货出货登记!$W:$W,"&gt;0"))</f>
        <v/>
      </c>
      <c r="G55" s="9">
        <f>IF(A55="","",MAXIFS(每日收货出货登记!$A:$A,每日收货出货登记!$D:$D,A55))</f>
        <v/>
      </c>
    </row>
    <row r="56" ht="22" customHeight="1">
      <c r="A56" s="9">
        <f>IFERROR(INDEX(基础数据!$B$2:$B$500,ROW(A54)),"")</f>
        <v/>
      </c>
      <c r="B56" s="10">
        <f>IF(A56="","",SUMIFS(每日收货出货登记!$Q:$Q,每日收货出货登记!$D:$D,A56))</f>
        <v/>
      </c>
      <c r="C56" s="10">
        <f>IF(A56="","",SUMIFS(每日收货出货登记!$V:$V,每日收货出货登记!$D:$D,A56))</f>
        <v/>
      </c>
      <c r="D56" s="10">
        <f>IF(A56="","",SUMIFS(每日收货出货登记!$W:$W,每日收货出货登记!$D:$D,A56))</f>
        <v/>
      </c>
      <c r="E56" s="10">
        <f>IF(A56="","",COUNTIFS(每日收货出货登记!$D:$D,A56,每日收货出货登记!$G:$G,"&lt;&gt;"))</f>
        <v/>
      </c>
      <c r="F56" s="10">
        <f>IF(A56="","",COUNTIFS(每日收货出货登记!$D:$D,A56,每日收货出货登记!$W:$W,"&gt;0"))</f>
        <v/>
      </c>
      <c r="G56" s="9">
        <f>IF(A56="","",MAXIFS(每日收货出货登记!$A:$A,每日收货出货登记!$D:$D,A56))</f>
        <v/>
      </c>
    </row>
    <row r="57" ht="22" customHeight="1">
      <c r="A57" s="9">
        <f>IFERROR(INDEX(基础数据!$B$2:$B$500,ROW(A55)),"")</f>
        <v/>
      </c>
      <c r="B57" s="10">
        <f>IF(A57="","",SUMIFS(每日收货出货登记!$Q:$Q,每日收货出货登记!$D:$D,A57))</f>
        <v/>
      </c>
      <c r="C57" s="10">
        <f>IF(A57="","",SUMIFS(每日收货出货登记!$V:$V,每日收货出货登记!$D:$D,A57))</f>
        <v/>
      </c>
      <c r="D57" s="10">
        <f>IF(A57="","",SUMIFS(每日收货出货登记!$W:$W,每日收货出货登记!$D:$D,A57))</f>
        <v/>
      </c>
      <c r="E57" s="10">
        <f>IF(A57="","",COUNTIFS(每日收货出货登记!$D:$D,A57,每日收货出货登记!$G:$G,"&lt;&gt;"))</f>
        <v/>
      </c>
      <c r="F57" s="10">
        <f>IF(A57="","",COUNTIFS(每日收货出货登记!$D:$D,A57,每日收货出货登记!$W:$W,"&gt;0"))</f>
        <v/>
      </c>
      <c r="G57" s="9">
        <f>IF(A57="","",MAXIFS(每日收货出货登记!$A:$A,每日收货出货登记!$D:$D,A57))</f>
        <v/>
      </c>
    </row>
    <row r="58" ht="22" customHeight="1">
      <c r="A58" s="9">
        <f>IFERROR(INDEX(基础数据!$B$2:$B$500,ROW(A56)),"")</f>
        <v/>
      </c>
      <c r="B58" s="10">
        <f>IF(A58="","",SUMIFS(每日收货出货登记!$Q:$Q,每日收货出货登记!$D:$D,A58))</f>
        <v/>
      </c>
      <c r="C58" s="10">
        <f>IF(A58="","",SUMIFS(每日收货出货登记!$V:$V,每日收货出货登记!$D:$D,A58))</f>
        <v/>
      </c>
      <c r="D58" s="10">
        <f>IF(A58="","",SUMIFS(每日收货出货登记!$W:$W,每日收货出货登记!$D:$D,A58))</f>
        <v/>
      </c>
      <c r="E58" s="10">
        <f>IF(A58="","",COUNTIFS(每日收货出货登记!$D:$D,A58,每日收货出货登记!$G:$G,"&lt;&gt;"))</f>
        <v/>
      </c>
      <c r="F58" s="10">
        <f>IF(A58="","",COUNTIFS(每日收货出货登记!$D:$D,A58,每日收货出货登记!$W:$W,"&gt;0"))</f>
        <v/>
      </c>
      <c r="G58" s="9">
        <f>IF(A58="","",MAXIFS(每日收货出货登记!$A:$A,每日收货出货登记!$D:$D,A58))</f>
        <v/>
      </c>
    </row>
    <row r="59" ht="22" customHeight="1">
      <c r="A59" s="9">
        <f>IFERROR(INDEX(基础数据!$B$2:$B$500,ROW(A57)),"")</f>
        <v/>
      </c>
      <c r="B59" s="10">
        <f>IF(A59="","",SUMIFS(每日收货出货登记!$Q:$Q,每日收货出货登记!$D:$D,A59))</f>
        <v/>
      </c>
      <c r="C59" s="10">
        <f>IF(A59="","",SUMIFS(每日收货出货登记!$V:$V,每日收货出货登记!$D:$D,A59))</f>
        <v/>
      </c>
      <c r="D59" s="10">
        <f>IF(A59="","",SUMIFS(每日收货出货登记!$W:$W,每日收货出货登记!$D:$D,A59))</f>
        <v/>
      </c>
      <c r="E59" s="10">
        <f>IF(A59="","",COUNTIFS(每日收货出货登记!$D:$D,A59,每日收货出货登记!$G:$G,"&lt;&gt;"))</f>
        <v/>
      </c>
      <c r="F59" s="10">
        <f>IF(A59="","",COUNTIFS(每日收货出货登记!$D:$D,A59,每日收货出货登记!$W:$W,"&gt;0"))</f>
        <v/>
      </c>
      <c r="G59" s="9">
        <f>IF(A59="","",MAXIFS(每日收货出货登记!$A:$A,每日收货出货登记!$D:$D,A59))</f>
        <v/>
      </c>
    </row>
    <row r="60" ht="22" customHeight="1">
      <c r="A60" s="9">
        <f>IFERROR(INDEX(基础数据!$B$2:$B$500,ROW(A58)),"")</f>
        <v/>
      </c>
      <c r="B60" s="10">
        <f>IF(A60="","",SUMIFS(每日收货出货登记!$Q:$Q,每日收货出货登记!$D:$D,A60))</f>
        <v/>
      </c>
      <c r="C60" s="10">
        <f>IF(A60="","",SUMIFS(每日收货出货登记!$V:$V,每日收货出货登记!$D:$D,A60))</f>
        <v/>
      </c>
      <c r="D60" s="10">
        <f>IF(A60="","",SUMIFS(每日收货出货登记!$W:$W,每日收货出货登记!$D:$D,A60))</f>
        <v/>
      </c>
      <c r="E60" s="10">
        <f>IF(A60="","",COUNTIFS(每日收货出货登记!$D:$D,A60,每日收货出货登记!$G:$G,"&lt;&gt;"))</f>
        <v/>
      </c>
      <c r="F60" s="10">
        <f>IF(A60="","",COUNTIFS(每日收货出货登记!$D:$D,A60,每日收货出货登记!$W:$W,"&gt;0"))</f>
        <v/>
      </c>
      <c r="G60" s="9">
        <f>IF(A60="","",MAXIFS(每日收货出货登记!$A:$A,每日收货出货登记!$D:$D,A60))</f>
        <v/>
      </c>
    </row>
    <row r="61" ht="22" customHeight="1">
      <c r="A61" s="9">
        <f>IFERROR(INDEX(基础数据!$B$2:$B$500,ROW(A59)),"")</f>
        <v/>
      </c>
      <c r="B61" s="10">
        <f>IF(A61="","",SUMIFS(每日收货出货登记!$Q:$Q,每日收货出货登记!$D:$D,A61))</f>
        <v/>
      </c>
      <c r="C61" s="10">
        <f>IF(A61="","",SUMIFS(每日收货出货登记!$V:$V,每日收货出货登记!$D:$D,A61))</f>
        <v/>
      </c>
      <c r="D61" s="10">
        <f>IF(A61="","",SUMIFS(每日收货出货登记!$W:$W,每日收货出货登记!$D:$D,A61))</f>
        <v/>
      </c>
      <c r="E61" s="10">
        <f>IF(A61="","",COUNTIFS(每日收货出货登记!$D:$D,A61,每日收货出货登记!$G:$G,"&lt;&gt;"))</f>
        <v/>
      </c>
      <c r="F61" s="10">
        <f>IF(A61="","",COUNTIFS(每日收货出货登记!$D:$D,A61,每日收货出货登记!$W:$W,"&gt;0"))</f>
        <v/>
      </c>
      <c r="G61" s="9">
        <f>IF(A61="","",MAXIFS(每日收货出货登记!$A:$A,每日收货出货登记!$D:$D,A61))</f>
        <v/>
      </c>
    </row>
    <row r="62" ht="22" customHeight="1">
      <c r="A62" s="9">
        <f>IFERROR(INDEX(基础数据!$B$2:$B$500,ROW(A60)),"")</f>
        <v/>
      </c>
      <c r="B62" s="10">
        <f>IF(A62="","",SUMIFS(每日收货出货登记!$Q:$Q,每日收货出货登记!$D:$D,A62))</f>
        <v/>
      </c>
      <c r="C62" s="10">
        <f>IF(A62="","",SUMIFS(每日收货出货登记!$V:$V,每日收货出货登记!$D:$D,A62))</f>
        <v/>
      </c>
      <c r="D62" s="10">
        <f>IF(A62="","",SUMIFS(每日收货出货登记!$W:$W,每日收货出货登记!$D:$D,A62))</f>
        <v/>
      </c>
      <c r="E62" s="10">
        <f>IF(A62="","",COUNTIFS(每日收货出货登记!$D:$D,A62,每日收货出货登记!$G:$G,"&lt;&gt;"))</f>
        <v/>
      </c>
      <c r="F62" s="10">
        <f>IF(A62="","",COUNTIFS(每日收货出货登记!$D:$D,A62,每日收货出货登记!$W:$W,"&gt;0"))</f>
        <v/>
      </c>
      <c r="G62" s="9">
        <f>IF(A62="","",MAXIFS(每日收货出货登记!$A:$A,每日收货出货登记!$D:$D,A62))</f>
        <v/>
      </c>
    </row>
    <row r="63" ht="22" customHeight="1">
      <c r="A63" s="9">
        <f>IFERROR(INDEX(基础数据!$B$2:$B$500,ROW(A61)),"")</f>
        <v/>
      </c>
      <c r="B63" s="10">
        <f>IF(A63="","",SUMIFS(每日收货出货登记!$Q:$Q,每日收货出货登记!$D:$D,A63))</f>
        <v/>
      </c>
      <c r="C63" s="10">
        <f>IF(A63="","",SUMIFS(每日收货出货登记!$V:$V,每日收货出货登记!$D:$D,A63))</f>
        <v/>
      </c>
      <c r="D63" s="10">
        <f>IF(A63="","",SUMIFS(每日收货出货登记!$W:$W,每日收货出货登记!$D:$D,A63))</f>
        <v/>
      </c>
      <c r="E63" s="10">
        <f>IF(A63="","",COUNTIFS(每日收货出货登记!$D:$D,A63,每日收货出货登记!$G:$G,"&lt;&gt;"))</f>
        <v/>
      </c>
      <c r="F63" s="10">
        <f>IF(A63="","",COUNTIFS(每日收货出货登记!$D:$D,A63,每日收货出货登记!$W:$W,"&gt;0"))</f>
        <v/>
      </c>
      <c r="G63" s="9">
        <f>IF(A63="","",MAXIFS(每日收货出货登记!$A:$A,每日收货出货登记!$D:$D,A63))</f>
        <v/>
      </c>
    </row>
    <row r="64" ht="22" customHeight="1">
      <c r="A64" s="9">
        <f>IFERROR(INDEX(基础数据!$B$2:$B$500,ROW(A62)),"")</f>
        <v/>
      </c>
      <c r="B64" s="10">
        <f>IF(A64="","",SUMIFS(每日收货出货登记!$Q:$Q,每日收货出货登记!$D:$D,A64))</f>
        <v/>
      </c>
      <c r="C64" s="10">
        <f>IF(A64="","",SUMIFS(每日收货出货登记!$V:$V,每日收货出货登记!$D:$D,A64))</f>
        <v/>
      </c>
      <c r="D64" s="10">
        <f>IF(A64="","",SUMIFS(每日收货出货登记!$W:$W,每日收货出货登记!$D:$D,A64))</f>
        <v/>
      </c>
      <c r="E64" s="10">
        <f>IF(A64="","",COUNTIFS(每日收货出货登记!$D:$D,A64,每日收货出货登记!$G:$G,"&lt;&gt;"))</f>
        <v/>
      </c>
      <c r="F64" s="10">
        <f>IF(A64="","",COUNTIFS(每日收货出货登记!$D:$D,A64,每日收货出货登记!$W:$W,"&gt;0"))</f>
        <v/>
      </c>
      <c r="G64" s="9">
        <f>IF(A64="","",MAXIFS(每日收货出货登记!$A:$A,每日收货出货登记!$D:$D,A64))</f>
        <v/>
      </c>
    </row>
    <row r="65" ht="22" customHeight="1">
      <c r="A65" s="9">
        <f>IFERROR(INDEX(基础数据!$B$2:$B$500,ROW(A63)),"")</f>
        <v/>
      </c>
      <c r="B65" s="10">
        <f>IF(A65="","",SUMIFS(每日收货出货登记!$Q:$Q,每日收货出货登记!$D:$D,A65))</f>
        <v/>
      </c>
      <c r="C65" s="10">
        <f>IF(A65="","",SUMIFS(每日收货出货登记!$V:$V,每日收货出货登记!$D:$D,A65))</f>
        <v/>
      </c>
      <c r="D65" s="10">
        <f>IF(A65="","",SUMIFS(每日收货出货登记!$W:$W,每日收货出货登记!$D:$D,A65))</f>
        <v/>
      </c>
      <c r="E65" s="10">
        <f>IF(A65="","",COUNTIFS(每日收货出货登记!$D:$D,A65,每日收货出货登记!$G:$G,"&lt;&gt;"))</f>
        <v/>
      </c>
      <c r="F65" s="10">
        <f>IF(A65="","",COUNTIFS(每日收货出货登记!$D:$D,A65,每日收货出货登记!$W:$W,"&gt;0"))</f>
        <v/>
      </c>
      <c r="G65" s="9">
        <f>IF(A65="","",MAXIFS(每日收货出货登记!$A:$A,每日收货出货登记!$D:$D,A65))</f>
        <v/>
      </c>
    </row>
    <row r="66" ht="22" customHeight="1">
      <c r="A66" s="9">
        <f>IFERROR(INDEX(基础数据!$B$2:$B$500,ROW(A64)),"")</f>
        <v/>
      </c>
      <c r="B66" s="10">
        <f>IF(A66="","",SUMIFS(每日收货出货登记!$Q:$Q,每日收货出货登记!$D:$D,A66))</f>
        <v/>
      </c>
      <c r="C66" s="10">
        <f>IF(A66="","",SUMIFS(每日收货出货登记!$V:$V,每日收货出货登记!$D:$D,A66))</f>
        <v/>
      </c>
      <c r="D66" s="10">
        <f>IF(A66="","",SUMIFS(每日收货出货登记!$W:$W,每日收货出货登记!$D:$D,A66))</f>
        <v/>
      </c>
      <c r="E66" s="10">
        <f>IF(A66="","",COUNTIFS(每日收货出货登记!$D:$D,A66,每日收货出货登记!$G:$G,"&lt;&gt;"))</f>
        <v/>
      </c>
      <c r="F66" s="10">
        <f>IF(A66="","",COUNTIFS(每日收货出货登记!$D:$D,A66,每日收货出货登记!$W:$W,"&gt;0"))</f>
        <v/>
      </c>
      <c r="G66" s="9">
        <f>IF(A66="","",MAXIFS(每日收货出货登记!$A:$A,每日收货出货登记!$D:$D,A66))</f>
        <v/>
      </c>
    </row>
    <row r="67" ht="22" customHeight="1">
      <c r="A67" s="9">
        <f>IFERROR(INDEX(基础数据!$B$2:$B$500,ROW(A65)),"")</f>
        <v/>
      </c>
      <c r="B67" s="10">
        <f>IF(A67="","",SUMIFS(每日收货出货登记!$Q:$Q,每日收货出货登记!$D:$D,A67))</f>
        <v/>
      </c>
      <c r="C67" s="10">
        <f>IF(A67="","",SUMIFS(每日收货出货登记!$V:$V,每日收货出货登记!$D:$D,A67))</f>
        <v/>
      </c>
      <c r="D67" s="10">
        <f>IF(A67="","",SUMIFS(每日收货出货登记!$W:$W,每日收货出货登记!$D:$D,A67))</f>
        <v/>
      </c>
      <c r="E67" s="10">
        <f>IF(A67="","",COUNTIFS(每日收货出货登记!$D:$D,A67,每日收货出货登记!$G:$G,"&lt;&gt;"))</f>
        <v/>
      </c>
      <c r="F67" s="10">
        <f>IF(A67="","",COUNTIFS(每日收货出货登记!$D:$D,A67,每日收货出货登记!$W:$W,"&gt;0"))</f>
        <v/>
      </c>
      <c r="G67" s="9">
        <f>IF(A67="","",MAXIFS(每日收货出货登记!$A:$A,每日收货出货登记!$D:$D,A67))</f>
        <v/>
      </c>
    </row>
    <row r="68" ht="22" customHeight="1">
      <c r="A68" s="9">
        <f>IFERROR(INDEX(基础数据!$B$2:$B$500,ROW(A66)),"")</f>
        <v/>
      </c>
      <c r="B68" s="10">
        <f>IF(A68="","",SUMIFS(每日收货出货登记!$Q:$Q,每日收货出货登记!$D:$D,A68))</f>
        <v/>
      </c>
      <c r="C68" s="10">
        <f>IF(A68="","",SUMIFS(每日收货出货登记!$V:$V,每日收货出货登记!$D:$D,A68))</f>
        <v/>
      </c>
      <c r="D68" s="10">
        <f>IF(A68="","",SUMIFS(每日收货出货登记!$W:$W,每日收货出货登记!$D:$D,A68))</f>
        <v/>
      </c>
      <c r="E68" s="10">
        <f>IF(A68="","",COUNTIFS(每日收货出货登记!$D:$D,A68,每日收货出货登记!$G:$G,"&lt;&gt;"))</f>
        <v/>
      </c>
      <c r="F68" s="10">
        <f>IF(A68="","",COUNTIFS(每日收货出货登记!$D:$D,A68,每日收货出货登记!$W:$W,"&gt;0"))</f>
        <v/>
      </c>
      <c r="G68" s="9">
        <f>IF(A68="","",MAXIFS(每日收货出货登记!$A:$A,每日收货出货登记!$D:$D,A68))</f>
        <v/>
      </c>
    </row>
    <row r="69" ht="22" customHeight="1">
      <c r="A69" s="9">
        <f>IFERROR(INDEX(基础数据!$B$2:$B$500,ROW(A67)),"")</f>
        <v/>
      </c>
      <c r="B69" s="10">
        <f>IF(A69="","",SUMIFS(每日收货出货登记!$Q:$Q,每日收货出货登记!$D:$D,A69))</f>
        <v/>
      </c>
      <c r="C69" s="10">
        <f>IF(A69="","",SUMIFS(每日收货出货登记!$V:$V,每日收货出货登记!$D:$D,A69))</f>
        <v/>
      </c>
      <c r="D69" s="10">
        <f>IF(A69="","",SUMIFS(每日收货出货登记!$W:$W,每日收货出货登记!$D:$D,A69))</f>
        <v/>
      </c>
      <c r="E69" s="10">
        <f>IF(A69="","",COUNTIFS(每日收货出货登记!$D:$D,A69,每日收货出货登记!$G:$G,"&lt;&gt;"))</f>
        <v/>
      </c>
      <c r="F69" s="10">
        <f>IF(A69="","",COUNTIFS(每日收货出货登记!$D:$D,A69,每日收货出货登记!$W:$W,"&gt;0"))</f>
        <v/>
      </c>
      <c r="G69" s="9">
        <f>IF(A69="","",MAXIFS(每日收货出货登记!$A:$A,每日收货出货登记!$D:$D,A69))</f>
        <v/>
      </c>
    </row>
    <row r="70" ht="22" customHeight="1">
      <c r="A70" s="9">
        <f>IFERROR(INDEX(基础数据!$B$2:$B$500,ROW(A68)),"")</f>
        <v/>
      </c>
      <c r="B70" s="10">
        <f>IF(A70="","",SUMIFS(每日收货出货登记!$Q:$Q,每日收货出货登记!$D:$D,A70))</f>
        <v/>
      </c>
      <c r="C70" s="10">
        <f>IF(A70="","",SUMIFS(每日收货出货登记!$V:$V,每日收货出货登记!$D:$D,A70))</f>
        <v/>
      </c>
      <c r="D70" s="10">
        <f>IF(A70="","",SUMIFS(每日收货出货登记!$W:$W,每日收货出货登记!$D:$D,A70))</f>
        <v/>
      </c>
      <c r="E70" s="10">
        <f>IF(A70="","",COUNTIFS(每日收货出货登记!$D:$D,A70,每日收货出货登记!$G:$G,"&lt;&gt;"))</f>
        <v/>
      </c>
      <c r="F70" s="10">
        <f>IF(A70="","",COUNTIFS(每日收货出货登记!$D:$D,A70,每日收货出货登记!$W:$W,"&gt;0"))</f>
        <v/>
      </c>
      <c r="G70" s="9">
        <f>IF(A70="","",MAXIFS(每日收货出货登记!$A:$A,每日收货出货登记!$D:$D,A70))</f>
        <v/>
      </c>
    </row>
    <row r="71" ht="22" customHeight="1">
      <c r="A71" s="9">
        <f>IFERROR(INDEX(基础数据!$B$2:$B$500,ROW(A69)),"")</f>
        <v/>
      </c>
      <c r="B71" s="10">
        <f>IF(A71="","",SUMIFS(每日收货出货登记!$Q:$Q,每日收货出货登记!$D:$D,A71))</f>
        <v/>
      </c>
      <c r="C71" s="10">
        <f>IF(A71="","",SUMIFS(每日收货出货登记!$V:$V,每日收货出货登记!$D:$D,A71))</f>
        <v/>
      </c>
      <c r="D71" s="10">
        <f>IF(A71="","",SUMIFS(每日收货出货登记!$W:$W,每日收货出货登记!$D:$D,A71))</f>
        <v/>
      </c>
      <c r="E71" s="10">
        <f>IF(A71="","",COUNTIFS(每日收货出货登记!$D:$D,A71,每日收货出货登记!$G:$G,"&lt;&gt;"))</f>
        <v/>
      </c>
      <c r="F71" s="10">
        <f>IF(A71="","",COUNTIFS(每日收货出货登记!$D:$D,A71,每日收货出货登记!$W:$W,"&gt;0"))</f>
        <v/>
      </c>
      <c r="G71" s="9">
        <f>IF(A71="","",MAXIFS(每日收货出货登记!$A:$A,每日收货出货登记!$D:$D,A71))</f>
        <v/>
      </c>
    </row>
    <row r="72" ht="22" customHeight="1">
      <c r="A72" s="9">
        <f>IFERROR(INDEX(基础数据!$B$2:$B$500,ROW(A70)),"")</f>
        <v/>
      </c>
      <c r="B72" s="10">
        <f>IF(A72="","",SUMIFS(每日收货出货登记!$Q:$Q,每日收货出货登记!$D:$D,A72))</f>
        <v/>
      </c>
      <c r="C72" s="10">
        <f>IF(A72="","",SUMIFS(每日收货出货登记!$V:$V,每日收货出货登记!$D:$D,A72))</f>
        <v/>
      </c>
      <c r="D72" s="10">
        <f>IF(A72="","",SUMIFS(每日收货出货登记!$W:$W,每日收货出货登记!$D:$D,A72))</f>
        <v/>
      </c>
      <c r="E72" s="10">
        <f>IF(A72="","",COUNTIFS(每日收货出货登记!$D:$D,A72,每日收货出货登记!$G:$G,"&lt;&gt;"))</f>
        <v/>
      </c>
      <c r="F72" s="10">
        <f>IF(A72="","",COUNTIFS(每日收货出货登记!$D:$D,A72,每日收货出货登记!$W:$W,"&gt;0"))</f>
        <v/>
      </c>
      <c r="G72" s="9">
        <f>IF(A72="","",MAXIFS(每日收货出货登记!$A:$A,每日收货出货登记!$D:$D,A72))</f>
        <v/>
      </c>
    </row>
    <row r="73" ht="22" customHeight="1">
      <c r="A73" s="9">
        <f>IFERROR(INDEX(基础数据!$B$2:$B$500,ROW(A71)),"")</f>
        <v/>
      </c>
      <c r="B73" s="10">
        <f>IF(A73="","",SUMIFS(每日收货出货登记!$Q:$Q,每日收货出货登记!$D:$D,A73))</f>
        <v/>
      </c>
      <c r="C73" s="10">
        <f>IF(A73="","",SUMIFS(每日收货出货登记!$V:$V,每日收货出货登记!$D:$D,A73))</f>
        <v/>
      </c>
      <c r="D73" s="10">
        <f>IF(A73="","",SUMIFS(每日收货出货登记!$W:$W,每日收货出货登记!$D:$D,A73))</f>
        <v/>
      </c>
      <c r="E73" s="10">
        <f>IF(A73="","",COUNTIFS(每日收货出货登记!$D:$D,A73,每日收货出货登记!$G:$G,"&lt;&gt;"))</f>
        <v/>
      </c>
      <c r="F73" s="10">
        <f>IF(A73="","",COUNTIFS(每日收货出货登记!$D:$D,A73,每日收货出货登记!$W:$W,"&gt;0"))</f>
        <v/>
      </c>
      <c r="G73" s="9">
        <f>IF(A73="","",MAXIFS(每日收货出货登记!$A:$A,每日收货出货登记!$D:$D,A73))</f>
        <v/>
      </c>
    </row>
    <row r="74" ht="22" customHeight="1">
      <c r="A74" s="9">
        <f>IFERROR(INDEX(基础数据!$B$2:$B$500,ROW(A72)),"")</f>
        <v/>
      </c>
      <c r="B74" s="10">
        <f>IF(A74="","",SUMIFS(每日收货出货登记!$Q:$Q,每日收货出货登记!$D:$D,A74))</f>
        <v/>
      </c>
      <c r="C74" s="10">
        <f>IF(A74="","",SUMIFS(每日收货出货登记!$V:$V,每日收货出货登记!$D:$D,A74))</f>
        <v/>
      </c>
      <c r="D74" s="10">
        <f>IF(A74="","",SUMIFS(每日收货出货登记!$W:$W,每日收货出货登记!$D:$D,A74))</f>
        <v/>
      </c>
      <c r="E74" s="10">
        <f>IF(A74="","",COUNTIFS(每日收货出货登记!$D:$D,A74,每日收货出货登记!$G:$G,"&lt;&gt;"))</f>
        <v/>
      </c>
      <c r="F74" s="10">
        <f>IF(A74="","",COUNTIFS(每日收货出货登记!$D:$D,A74,每日收货出货登记!$W:$W,"&gt;0"))</f>
        <v/>
      </c>
      <c r="G74" s="9">
        <f>IF(A74="","",MAXIFS(每日收货出货登记!$A:$A,每日收货出货登记!$D:$D,A74))</f>
        <v/>
      </c>
    </row>
    <row r="75" ht="22" customHeight="1">
      <c r="A75" s="9">
        <f>IFERROR(INDEX(基础数据!$B$2:$B$500,ROW(A73)),"")</f>
        <v/>
      </c>
      <c r="B75" s="10">
        <f>IF(A75="","",SUMIFS(每日收货出货登记!$Q:$Q,每日收货出货登记!$D:$D,A75))</f>
        <v/>
      </c>
      <c r="C75" s="10">
        <f>IF(A75="","",SUMIFS(每日收货出货登记!$V:$V,每日收货出货登记!$D:$D,A75))</f>
        <v/>
      </c>
      <c r="D75" s="10">
        <f>IF(A75="","",SUMIFS(每日收货出货登记!$W:$W,每日收货出货登记!$D:$D,A75))</f>
        <v/>
      </c>
      <c r="E75" s="10">
        <f>IF(A75="","",COUNTIFS(每日收货出货登记!$D:$D,A75,每日收货出货登记!$G:$G,"&lt;&gt;"))</f>
        <v/>
      </c>
      <c r="F75" s="10">
        <f>IF(A75="","",COUNTIFS(每日收货出货登记!$D:$D,A75,每日收货出货登记!$W:$W,"&gt;0"))</f>
        <v/>
      </c>
      <c r="G75" s="9">
        <f>IF(A75="","",MAXIFS(每日收货出货登记!$A:$A,每日收货出货登记!$D:$D,A75))</f>
        <v/>
      </c>
    </row>
    <row r="76" ht="22" customHeight="1">
      <c r="A76" s="9">
        <f>IFERROR(INDEX(基础数据!$B$2:$B$500,ROW(A74)),"")</f>
        <v/>
      </c>
      <c r="B76" s="10">
        <f>IF(A76="","",SUMIFS(每日收货出货登记!$Q:$Q,每日收货出货登记!$D:$D,A76))</f>
        <v/>
      </c>
      <c r="C76" s="10">
        <f>IF(A76="","",SUMIFS(每日收货出货登记!$V:$V,每日收货出货登记!$D:$D,A76))</f>
        <v/>
      </c>
      <c r="D76" s="10">
        <f>IF(A76="","",SUMIFS(每日收货出货登记!$W:$W,每日收货出货登记!$D:$D,A76))</f>
        <v/>
      </c>
      <c r="E76" s="10">
        <f>IF(A76="","",COUNTIFS(每日收货出货登记!$D:$D,A76,每日收货出货登记!$G:$G,"&lt;&gt;"))</f>
        <v/>
      </c>
      <c r="F76" s="10">
        <f>IF(A76="","",COUNTIFS(每日收货出货登记!$D:$D,A76,每日收货出货登记!$W:$W,"&gt;0"))</f>
        <v/>
      </c>
      <c r="G76" s="9">
        <f>IF(A76="","",MAXIFS(每日收货出货登记!$A:$A,每日收货出货登记!$D:$D,A76))</f>
        <v/>
      </c>
    </row>
    <row r="77" ht="22" customHeight="1">
      <c r="A77" s="9">
        <f>IFERROR(INDEX(基础数据!$B$2:$B$500,ROW(A75)),"")</f>
        <v/>
      </c>
      <c r="B77" s="10">
        <f>IF(A77="","",SUMIFS(每日收货出货登记!$Q:$Q,每日收货出货登记!$D:$D,A77))</f>
        <v/>
      </c>
      <c r="C77" s="10">
        <f>IF(A77="","",SUMIFS(每日收货出货登记!$V:$V,每日收货出货登记!$D:$D,A77))</f>
        <v/>
      </c>
      <c r="D77" s="10">
        <f>IF(A77="","",SUMIFS(每日收货出货登记!$W:$W,每日收货出货登记!$D:$D,A77))</f>
        <v/>
      </c>
      <c r="E77" s="10">
        <f>IF(A77="","",COUNTIFS(每日收货出货登记!$D:$D,A77,每日收货出货登记!$G:$G,"&lt;&gt;"))</f>
        <v/>
      </c>
      <c r="F77" s="10">
        <f>IF(A77="","",COUNTIFS(每日收货出货登记!$D:$D,A77,每日收货出货登记!$W:$W,"&gt;0"))</f>
        <v/>
      </c>
      <c r="G77" s="9">
        <f>IF(A77="","",MAXIFS(每日收货出货登记!$A:$A,每日收货出货登记!$D:$D,A77))</f>
        <v/>
      </c>
    </row>
    <row r="78" ht="22" customHeight="1">
      <c r="A78" s="9">
        <f>IFERROR(INDEX(基础数据!$B$2:$B$500,ROW(A76)),"")</f>
        <v/>
      </c>
      <c r="B78" s="10">
        <f>IF(A78="","",SUMIFS(每日收货出货登记!$Q:$Q,每日收货出货登记!$D:$D,A78))</f>
        <v/>
      </c>
      <c r="C78" s="10">
        <f>IF(A78="","",SUMIFS(每日收货出货登记!$V:$V,每日收货出货登记!$D:$D,A78))</f>
        <v/>
      </c>
      <c r="D78" s="10">
        <f>IF(A78="","",SUMIFS(每日收货出货登记!$W:$W,每日收货出货登记!$D:$D,A78))</f>
        <v/>
      </c>
      <c r="E78" s="10">
        <f>IF(A78="","",COUNTIFS(每日收货出货登记!$D:$D,A78,每日收货出货登记!$G:$G,"&lt;&gt;"))</f>
        <v/>
      </c>
      <c r="F78" s="10">
        <f>IF(A78="","",COUNTIFS(每日收货出货登记!$D:$D,A78,每日收货出货登记!$W:$W,"&gt;0"))</f>
        <v/>
      </c>
      <c r="G78" s="9">
        <f>IF(A78="","",MAXIFS(每日收货出货登记!$A:$A,每日收货出货登记!$D:$D,A78))</f>
        <v/>
      </c>
    </row>
    <row r="79" ht="22" customHeight="1">
      <c r="A79" s="9">
        <f>IFERROR(INDEX(基础数据!$B$2:$B$500,ROW(A77)),"")</f>
        <v/>
      </c>
      <c r="B79" s="10">
        <f>IF(A79="","",SUMIFS(每日收货出货登记!$Q:$Q,每日收货出货登记!$D:$D,A79))</f>
        <v/>
      </c>
      <c r="C79" s="10">
        <f>IF(A79="","",SUMIFS(每日收货出货登记!$V:$V,每日收货出货登记!$D:$D,A79))</f>
        <v/>
      </c>
      <c r="D79" s="10">
        <f>IF(A79="","",SUMIFS(每日收货出货登记!$W:$W,每日收货出货登记!$D:$D,A79))</f>
        <v/>
      </c>
      <c r="E79" s="10">
        <f>IF(A79="","",COUNTIFS(每日收货出货登记!$D:$D,A79,每日收货出货登记!$G:$G,"&lt;&gt;"))</f>
        <v/>
      </c>
      <c r="F79" s="10">
        <f>IF(A79="","",COUNTIFS(每日收货出货登记!$D:$D,A79,每日收货出货登记!$W:$W,"&gt;0"))</f>
        <v/>
      </c>
      <c r="G79" s="9">
        <f>IF(A79="","",MAXIFS(每日收货出货登记!$A:$A,每日收货出货登记!$D:$D,A79))</f>
        <v/>
      </c>
    </row>
    <row r="80" ht="22" customHeight="1">
      <c r="A80" s="9">
        <f>IFERROR(INDEX(基础数据!$B$2:$B$500,ROW(A78)),"")</f>
        <v/>
      </c>
      <c r="B80" s="10">
        <f>IF(A80="","",SUMIFS(每日收货出货登记!$Q:$Q,每日收货出货登记!$D:$D,A80))</f>
        <v/>
      </c>
      <c r="C80" s="10">
        <f>IF(A80="","",SUMIFS(每日收货出货登记!$V:$V,每日收货出货登记!$D:$D,A80))</f>
        <v/>
      </c>
      <c r="D80" s="10">
        <f>IF(A80="","",SUMIFS(每日收货出货登记!$W:$W,每日收货出货登记!$D:$D,A80))</f>
        <v/>
      </c>
      <c r="E80" s="10">
        <f>IF(A80="","",COUNTIFS(每日收货出货登记!$D:$D,A80,每日收货出货登记!$G:$G,"&lt;&gt;"))</f>
        <v/>
      </c>
      <c r="F80" s="10">
        <f>IF(A80="","",COUNTIFS(每日收货出货登记!$D:$D,A80,每日收货出货登记!$W:$W,"&gt;0"))</f>
        <v/>
      </c>
      <c r="G80" s="9">
        <f>IF(A80="","",MAXIFS(每日收货出货登记!$A:$A,每日收货出货登记!$D:$D,A80))</f>
        <v/>
      </c>
    </row>
    <row r="81" ht="22" customHeight="1">
      <c r="A81" s="9">
        <f>IFERROR(INDEX(基础数据!$B$2:$B$500,ROW(A79)),"")</f>
        <v/>
      </c>
      <c r="B81" s="10">
        <f>IF(A81="","",SUMIFS(每日收货出货登记!$Q:$Q,每日收货出货登记!$D:$D,A81))</f>
        <v/>
      </c>
      <c r="C81" s="10">
        <f>IF(A81="","",SUMIFS(每日收货出货登记!$V:$V,每日收货出货登记!$D:$D,A81))</f>
        <v/>
      </c>
      <c r="D81" s="10">
        <f>IF(A81="","",SUMIFS(每日收货出货登记!$W:$W,每日收货出货登记!$D:$D,A81))</f>
        <v/>
      </c>
      <c r="E81" s="10">
        <f>IF(A81="","",COUNTIFS(每日收货出货登记!$D:$D,A81,每日收货出货登记!$G:$G,"&lt;&gt;"))</f>
        <v/>
      </c>
      <c r="F81" s="10">
        <f>IF(A81="","",COUNTIFS(每日收货出货登记!$D:$D,A81,每日收货出货登记!$W:$W,"&gt;0"))</f>
        <v/>
      </c>
      <c r="G81" s="9">
        <f>IF(A81="","",MAXIFS(每日收货出货登记!$A:$A,每日收货出货登记!$D:$D,A81))</f>
        <v/>
      </c>
    </row>
    <row r="82" ht="22" customHeight="1">
      <c r="A82" s="9">
        <f>IFERROR(INDEX(基础数据!$B$2:$B$500,ROW(A80)),"")</f>
        <v/>
      </c>
      <c r="B82" s="10">
        <f>IF(A82="","",SUMIFS(每日收货出货登记!$Q:$Q,每日收货出货登记!$D:$D,A82))</f>
        <v/>
      </c>
      <c r="C82" s="10">
        <f>IF(A82="","",SUMIFS(每日收货出货登记!$V:$V,每日收货出货登记!$D:$D,A82))</f>
        <v/>
      </c>
      <c r="D82" s="10">
        <f>IF(A82="","",SUMIFS(每日收货出货登记!$W:$W,每日收货出货登记!$D:$D,A82))</f>
        <v/>
      </c>
      <c r="E82" s="10">
        <f>IF(A82="","",COUNTIFS(每日收货出货登记!$D:$D,A82,每日收货出货登记!$G:$G,"&lt;&gt;"))</f>
        <v/>
      </c>
      <c r="F82" s="10">
        <f>IF(A82="","",COUNTIFS(每日收货出货登记!$D:$D,A82,每日收货出货登记!$W:$W,"&gt;0"))</f>
        <v/>
      </c>
      <c r="G82" s="9">
        <f>IF(A82="","",MAXIFS(每日收货出货登记!$A:$A,每日收货出货登记!$D:$D,A82))</f>
        <v/>
      </c>
    </row>
    <row r="83" ht="22" customHeight="1">
      <c r="A83" s="9">
        <f>IFERROR(INDEX(基础数据!$B$2:$B$500,ROW(A81)),"")</f>
        <v/>
      </c>
      <c r="B83" s="10">
        <f>IF(A83="","",SUMIFS(每日收货出货登记!$Q:$Q,每日收货出货登记!$D:$D,A83))</f>
        <v/>
      </c>
      <c r="C83" s="10">
        <f>IF(A83="","",SUMIFS(每日收货出货登记!$V:$V,每日收货出货登记!$D:$D,A83))</f>
        <v/>
      </c>
      <c r="D83" s="10">
        <f>IF(A83="","",SUMIFS(每日收货出货登记!$W:$W,每日收货出货登记!$D:$D,A83))</f>
        <v/>
      </c>
      <c r="E83" s="10">
        <f>IF(A83="","",COUNTIFS(每日收货出货登记!$D:$D,A83,每日收货出货登记!$G:$G,"&lt;&gt;"))</f>
        <v/>
      </c>
      <c r="F83" s="10">
        <f>IF(A83="","",COUNTIFS(每日收货出货登记!$D:$D,A83,每日收货出货登记!$W:$W,"&gt;0"))</f>
        <v/>
      </c>
      <c r="G83" s="9">
        <f>IF(A83="","",MAXIFS(每日收货出货登记!$A:$A,每日收货出货登记!$D:$D,A83))</f>
        <v/>
      </c>
    </row>
    <row r="84" ht="22" customHeight="1">
      <c r="A84" s="9">
        <f>IFERROR(INDEX(基础数据!$B$2:$B$500,ROW(A82)),"")</f>
        <v/>
      </c>
      <c r="B84" s="10">
        <f>IF(A84="","",SUMIFS(每日收货出货登记!$Q:$Q,每日收货出货登记!$D:$D,A84))</f>
        <v/>
      </c>
      <c r="C84" s="10">
        <f>IF(A84="","",SUMIFS(每日收货出货登记!$V:$V,每日收货出货登记!$D:$D,A84))</f>
        <v/>
      </c>
      <c r="D84" s="10">
        <f>IF(A84="","",SUMIFS(每日收货出货登记!$W:$W,每日收货出货登记!$D:$D,A84))</f>
        <v/>
      </c>
      <c r="E84" s="10">
        <f>IF(A84="","",COUNTIFS(每日收货出货登记!$D:$D,A84,每日收货出货登记!$G:$G,"&lt;&gt;"))</f>
        <v/>
      </c>
      <c r="F84" s="10">
        <f>IF(A84="","",COUNTIFS(每日收货出货登记!$D:$D,A84,每日收货出货登记!$W:$W,"&gt;0"))</f>
        <v/>
      </c>
      <c r="G84" s="9">
        <f>IF(A84="","",MAXIFS(每日收货出货登记!$A:$A,每日收货出货登记!$D:$D,A84))</f>
        <v/>
      </c>
    </row>
    <row r="85" ht="22" customHeight="1">
      <c r="A85" s="9">
        <f>IFERROR(INDEX(基础数据!$B$2:$B$500,ROW(A83)),"")</f>
        <v/>
      </c>
      <c r="B85" s="10">
        <f>IF(A85="","",SUMIFS(每日收货出货登记!$Q:$Q,每日收货出货登记!$D:$D,A85))</f>
        <v/>
      </c>
      <c r="C85" s="10">
        <f>IF(A85="","",SUMIFS(每日收货出货登记!$V:$V,每日收货出货登记!$D:$D,A85))</f>
        <v/>
      </c>
      <c r="D85" s="10">
        <f>IF(A85="","",SUMIFS(每日收货出货登记!$W:$W,每日收货出货登记!$D:$D,A85))</f>
        <v/>
      </c>
      <c r="E85" s="10">
        <f>IF(A85="","",COUNTIFS(每日收货出货登记!$D:$D,A85,每日收货出货登记!$G:$G,"&lt;&gt;"))</f>
        <v/>
      </c>
      <c r="F85" s="10">
        <f>IF(A85="","",COUNTIFS(每日收货出货登记!$D:$D,A85,每日收货出货登记!$W:$W,"&gt;0"))</f>
        <v/>
      </c>
      <c r="G85" s="9">
        <f>IF(A85="","",MAXIFS(每日收货出货登记!$A:$A,每日收货出货登记!$D:$D,A85))</f>
        <v/>
      </c>
    </row>
    <row r="86" ht="22" customHeight="1">
      <c r="A86" s="9">
        <f>IFERROR(INDEX(基础数据!$B$2:$B$500,ROW(A84)),"")</f>
        <v/>
      </c>
      <c r="B86" s="10">
        <f>IF(A86="","",SUMIFS(每日收货出货登记!$Q:$Q,每日收货出货登记!$D:$D,A86))</f>
        <v/>
      </c>
      <c r="C86" s="10">
        <f>IF(A86="","",SUMIFS(每日收货出货登记!$V:$V,每日收货出货登记!$D:$D,A86))</f>
        <v/>
      </c>
      <c r="D86" s="10">
        <f>IF(A86="","",SUMIFS(每日收货出货登记!$W:$W,每日收货出货登记!$D:$D,A86))</f>
        <v/>
      </c>
      <c r="E86" s="10">
        <f>IF(A86="","",COUNTIFS(每日收货出货登记!$D:$D,A86,每日收货出货登记!$G:$G,"&lt;&gt;"))</f>
        <v/>
      </c>
      <c r="F86" s="10">
        <f>IF(A86="","",COUNTIFS(每日收货出货登记!$D:$D,A86,每日收货出货登记!$W:$W,"&gt;0"))</f>
        <v/>
      </c>
      <c r="G86" s="9">
        <f>IF(A86="","",MAXIFS(每日收货出货登记!$A:$A,每日收货出货登记!$D:$D,A86))</f>
        <v/>
      </c>
    </row>
    <row r="87" ht="22" customHeight="1">
      <c r="A87" s="9">
        <f>IFERROR(INDEX(基础数据!$B$2:$B$500,ROW(A85)),"")</f>
        <v/>
      </c>
      <c r="B87" s="10">
        <f>IF(A87="","",SUMIFS(每日收货出货登记!$Q:$Q,每日收货出货登记!$D:$D,A87))</f>
        <v/>
      </c>
      <c r="C87" s="10">
        <f>IF(A87="","",SUMIFS(每日收货出货登记!$V:$V,每日收货出货登记!$D:$D,A87))</f>
        <v/>
      </c>
      <c r="D87" s="10">
        <f>IF(A87="","",SUMIFS(每日收货出货登记!$W:$W,每日收货出货登记!$D:$D,A87))</f>
        <v/>
      </c>
      <c r="E87" s="10">
        <f>IF(A87="","",COUNTIFS(每日收货出货登记!$D:$D,A87,每日收货出货登记!$G:$G,"&lt;&gt;"))</f>
        <v/>
      </c>
      <c r="F87" s="10">
        <f>IF(A87="","",COUNTIFS(每日收货出货登记!$D:$D,A87,每日收货出货登记!$W:$W,"&gt;0"))</f>
        <v/>
      </c>
      <c r="G87" s="9">
        <f>IF(A87="","",MAXIFS(每日收货出货登记!$A:$A,每日收货出货登记!$D:$D,A87))</f>
        <v/>
      </c>
    </row>
    <row r="88" ht="22" customHeight="1">
      <c r="A88" s="9">
        <f>IFERROR(INDEX(基础数据!$B$2:$B$500,ROW(A86)),"")</f>
        <v/>
      </c>
      <c r="B88" s="10">
        <f>IF(A88="","",SUMIFS(每日收货出货登记!$Q:$Q,每日收货出货登记!$D:$D,A88))</f>
        <v/>
      </c>
      <c r="C88" s="10">
        <f>IF(A88="","",SUMIFS(每日收货出货登记!$V:$V,每日收货出货登记!$D:$D,A88))</f>
        <v/>
      </c>
      <c r="D88" s="10">
        <f>IF(A88="","",SUMIFS(每日收货出货登记!$W:$W,每日收货出货登记!$D:$D,A88))</f>
        <v/>
      </c>
      <c r="E88" s="10">
        <f>IF(A88="","",COUNTIFS(每日收货出货登记!$D:$D,A88,每日收货出货登记!$G:$G,"&lt;&gt;"))</f>
        <v/>
      </c>
      <c r="F88" s="10">
        <f>IF(A88="","",COUNTIFS(每日收货出货登记!$D:$D,A88,每日收货出货登记!$W:$W,"&gt;0"))</f>
        <v/>
      </c>
      <c r="G88" s="9">
        <f>IF(A88="","",MAXIFS(每日收货出货登记!$A:$A,每日收货出货登记!$D:$D,A88))</f>
        <v/>
      </c>
    </row>
    <row r="89" ht="22" customHeight="1">
      <c r="A89" s="9">
        <f>IFERROR(INDEX(基础数据!$B$2:$B$500,ROW(A87)),"")</f>
        <v/>
      </c>
      <c r="B89" s="10">
        <f>IF(A89="","",SUMIFS(每日收货出货登记!$Q:$Q,每日收货出货登记!$D:$D,A89))</f>
        <v/>
      </c>
      <c r="C89" s="10">
        <f>IF(A89="","",SUMIFS(每日收货出货登记!$V:$V,每日收货出货登记!$D:$D,A89))</f>
        <v/>
      </c>
      <c r="D89" s="10">
        <f>IF(A89="","",SUMIFS(每日收货出货登记!$W:$W,每日收货出货登记!$D:$D,A89))</f>
        <v/>
      </c>
      <c r="E89" s="10">
        <f>IF(A89="","",COUNTIFS(每日收货出货登记!$D:$D,A89,每日收货出货登记!$G:$G,"&lt;&gt;"))</f>
        <v/>
      </c>
      <c r="F89" s="10">
        <f>IF(A89="","",COUNTIFS(每日收货出货登记!$D:$D,A89,每日收货出货登记!$W:$W,"&gt;0"))</f>
        <v/>
      </c>
      <c r="G89" s="9">
        <f>IF(A89="","",MAXIFS(每日收货出货登记!$A:$A,每日收货出货登记!$D:$D,A89))</f>
        <v/>
      </c>
    </row>
    <row r="90" ht="22" customHeight="1">
      <c r="A90" s="9">
        <f>IFERROR(INDEX(基础数据!$B$2:$B$500,ROW(A88)),"")</f>
        <v/>
      </c>
      <c r="B90" s="10">
        <f>IF(A90="","",SUMIFS(每日收货出货登记!$Q:$Q,每日收货出货登记!$D:$D,A90))</f>
        <v/>
      </c>
      <c r="C90" s="10">
        <f>IF(A90="","",SUMIFS(每日收货出货登记!$V:$V,每日收货出货登记!$D:$D,A90))</f>
        <v/>
      </c>
      <c r="D90" s="10">
        <f>IF(A90="","",SUMIFS(每日收货出货登记!$W:$W,每日收货出货登记!$D:$D,A90))</f>
        <v/>
      </c>
      <c r="E90" s="10">
        <f>IF(A90="","",COUNTIFS(每日收货出货登记!$D:$D,A90,每日收货出货登记!$G:$G,"&lt;&gt;"))</f>
        <v/>
      </c>
      <c r="F90" s="10">
        <f>IF(A90="","",COUNTIFS(每日收货出货登记!$D:$D,A90,每日收货出货登记!$W:$W,"&gt;0"))</f>
        <v/>
      </c>
      <c r="G90" s="9">
        <f>IF(A90="","",MAXIFS(每日收货出货登记!$A:$A,每日收货出货登记!$D:$D,A90))</f>
        <v/>
      </c>
    </row>
    <row r="91" ht="22" customHeight="1">
      <c r="A91" s="9">
        <f>IFERROR(INDEX(基础数据!$B$2:$B$500,ROW(A89)),"")</f>
        <v/>
      </c>
      <c r="B91" s="10">
        <f>IF(A91="","",SUMIFS(每日收货出货登记!$Q:$Q,每日收货出货登记!$D:$D,A91))</f>
        <v/>
      </c>
      <c r="C91" s="10">
        <f>IF(A91="","",SUMIFS(每日收货出货登记!$V:$V,每日收货出货登记!$D:$D,A91))</f>
        <v/>
      </c>
      <c r="D91" s="10">
        <f>IF(A91="","",SUMIFS(每日收货出货登记!$W:$W,每日收货出货登记!$D:$D,A91))</f>
        <v/>
      </c>
      <c r="E91" s="10">
        <f>IF(A91="","",COUNTIFS(每日收货出货登记!$D:$D,A91,每日收货出货登记!$G:$G,"&lt;&gt;"))</f>
        <v/>
      </c>
      <c r="F91" s="10">
        <f>IF(A91="","",COUNTIFS(每日收货出货登记!$D:$D,A91,每日收货出货登记!$W:$W,"&gt;0"))</f>
        <v/>
      </c>
      <c r="G91" s="9">
        <f>IF(A91="","",MAXIFS(每日收货出货登记!$A:$A,每日收货出货登记!$D:$D,A91))</f>
        <v/>
      </c>
    </row>
    <row r="92" ht="22" customHeight="1">
      <c r="A92" s="9">
        <f>IFERROR(INDEX(基础数据!$B$2:$B$500,ROW(A90)),"")</f>
        <v/>
      </c>
      <c r="B92" s="10">
        <f>IF(A92="","",SUMIFS(每日收货出货登记!$Q:$Q,每日收货出货登记!$D:$D,A92))</f>
        <v/>
      </c>
      <c r="C92" s="10">
        <f>IF(A92="","",SUMIFS(每日收货出货登记!$V:$V,每日收货出货登记!$D:$D,A92))</f>
        <v/>
      </c>
      <c r="D92" s="10">
        <f>IF(A92="","",SUMIFS(每日收货出货登记!$W:$W,每日收货出货登记!$D:$D,A92))</f>
        <v/>
      </c>
      <c r="E92" s="10">
        <f>IF(A92="","",COUNTIFS(每日收货出货登记!$D:$D,A92,每日收货出货登记!$G:$G,"&lt;&gt;"))</f>
        <v/>
      </c>
      <c r="F92" s="10">
        <f>IF(A92="","",COUNTIFS(每日收货出货登记!$D:$D,A92,每日收货出货登记!$W:$W,"&gt;0"))</f>
        <v/>
      </c>
      <c r="G92" s="9">
        <f>IF(A92="","",MAXIFS(每日收货出货登记!$A:$A,每日收货出货登记!$D:$D,A92))</f>
        <v/>
      </c>
    </row>
    <row r="93" ht="22" customHeight="1">
      <c r="A93" s="9">
        <f>IFERROR(INDEX(基础数据!$B$2:$B$500,ROW(A91)),"")</f>
        <v/>
      </c>
      <c r="B93" s="10">
        <f>IF(A93="","",SUMIFS(每日收货出货登记!$Q:$Q,每日收货出货登记!$D:$D,A93))</f>
        <v/>
      </c>
      <c r="C93" s="10">
        <f>IF(A93="","",SUMIFS(每日收货出货登记!$V:$V,每日收货出货登记!$D:$D,A93))</f>
        <v/>
      </c>
      <c r="D93" s="10">
        <f>IF(A93="","",SUMIFS(每日收货出货登记!$W:$W,每日收货出货登记!$D:$D,A93))</f>
        <v/>
      </c>
      <c r="E93" s="10">
        <f>IF(A93="","",COUNTIFS(每日收货出货登记!$D:$D,A93,每日收货出货登记!$G:$G,"&lt;&gt;"))</f>
        <v/>
      </c>
      <c r="F93" s="10">
        <f>IF(A93="","",COUNTIFS(每日收货出货登记!$D:$D,A93,每日收货出货登记!$W:$W,"&gt;0"))</f>
        <v/>
      </c>
      <c r="G93" s="9">
        <f>IF(A93="","",MAXIFS(每日收货出货登记!$A:$A,每日收货出货登记!$D:$D,A93))</f>
        <v/>
      </c>
    </row>
    <row r="94" ht="22" customHeight="1">
      <c r="A94" s="9">
        <f>IFERROR(INDEX(基础数据!$B$2:$B$500,ROW(A92)),"")</f>
        <v/>
      </c>
      <c r="B94" s="10">
        <f>IF(A94="","",SUMIFS(每日收货出货登记!$Q:$Q,每日收货出货登记!$D:$D,A94))</f>
        <v/>
      </c>
      <c r="C94" s="10">
        <f>IF(A94="","",SUMIFS(每日收货出货登记!$V:$V,每日收货出货登记!$D:$D,A94))</f>
        <v/>
      </c>
      <c r="D94" s="10">
        <f>IF(A94="","",SUMIFS(每日收货出货登记!$W:$W,每日收货出货登记!$D:$D,A94))</f>
        <v/>
      </c>
      <c r="E94" s="10">
        <f>IF(A94="","",COUNTIFS(每日收货出货登记!$D:$D,A94,每日收货出货登记!$G:$G,"&lt;&gt;"))</f>
        <v/>
      </c>
      <c r="F94" s="10">
        <f>IF(A94="","",COUNTIFS(每日收货出货登记!$D:$D,A94,每日收货出货登记!$W:$W,"&gt;0"))</f>
        <v/>
      </c>
      <c r="G94" s="9">
        <f>IF(A94="","",MAXIFS(每日收货出货登记!$A:$A,每日收货出货登记!$D:$D,A94))</f>
        <v/>
      </c>
    </row>
    <row r="95" ht="22" customHeight="1">
      <c r="A95" s="9">
        <f>IFERROR(INDEX(基础数据!$B$2:$B$500,ROW(A93)),"")</f>
        <v/>
      </c>
      <c r="B95" s="10">
        <f>IF(A95="","",SUMIFS(每日收货出货登记!$Q:$Q,每日收货出货登记!$D:$D,A95))</f>
        <v/>
      </c>
      <c r="C95" s="10">
        <f>IF(A95="","",SUMIFS(每日收货出货登记!$V:$V,每日收货出货登记!$D:$D,A95))</f>
        <v/>
      </c>
      <c r="D95" s="10">
        <f>IF(A95="","",SUMIFS(每日收货出货登记!$W:$W,每日收货出货登记!$D:$D,A95))</f>
        <v/>
      </c>
      <c r="E95" s="10">
        <f>IF(A95="","",COUNTIFS(每日收货出货登记!$D:$D,A95,每日收货出货登记!$G:$G,"&lt;&gt;"))</f>
        <v/>
      </c>
      <c r="F95" s="10">
        <f>IF(A95="","",COUNTIFS(每日收货出货登记!$D:$D,A95,每日收货出货登记!$W:$W,"&gt;0"))</f>
        <v/>
      </c>
      <c r="G95" s="9">
        <f>IF(A95="","",MAXIFS(每日收货出货登记!$A:$A,每日收货出货登记!$D:$D,A95))</f>
        <v/>
      </c>
    </row>
    <row r="96" ht="22" customHeight="1">
      <c r="A96" s="9">
        <f>IFERROR(INDEX(基础数据!$B$2:$B$500,ROW(A94)),"")</f>
        <v/>
      </c>
      <c r="B96" s="10">
        <f>IF(A96="","",SUMIFS(每日收货出货登记!$Q:$Q,每日收货出货登记!$D:$D,A96))</f>
        <v/>
      </c>
      <c r="C96" s="10">
        <f>IF(A96="","",SUMIFS(每日收货出货登记!$V:$V,每日收货出货登记!$D:$D,A96))</f>
        <v/>
      </c>
      <c r="D96" s="10">
        <f>IF(A96="","",SUMIFS(每日收货出货登记!$W:$W,每日收货出货登记!$D:$D,A96))</f>
        <v/>
      </c>
      <c r="E96" s="10">
        <f>IF(A96="","",COUNTIFS(每日收货出货登记!$D:$D,A96,每日收货出货登记!$G:$G,"&lt;&gt;"))</f>
        <v/>
      </c>
      <c r="F96" s="10">
        <f>IF(A96="","",COUNTIFS(每日收货出货登记!$D:$D,A96,每日收货出货登记!$W:$W,"&gt;0"))</f>
        <v/>
      </c>
      <c r="G96" s="9">
        <f>IF(A96="","",MAXIFS(每日收货出货登记!$A:$A,每日收货出货登记!$D:$D,A96))</f>
        <v/>
      </c>
    </row>
    <row r="97" ht="22" customHeight="1">
      <c r="A97" s="9">
        <f>IFERROR(INDEX(基础数据!$B$2:$B$500,ROW(A95)),"")</f>
        <v/>
      </c>
      <c r="B97" s="10">
        <f>IF(A97="","",SUMIFS(每日收货出货登记!$Q:$Q,每日收货出货登记!$D:$D,A97))</f>
        <v/>
      </c>
      <c r="C97" s="10">
        <f>IF(A97="","",SUMIFS(每日收货出货登记!$V:$V,每日收货出货登记!$D:$D,A97))</f>
        <v/>
      </c>
      <c r="D97" s="10">
        <f>IF(A97="","",SUMIFS(每日收货出货登记!$W:$W,每日收货出货登记!$D:$D,A97))</f>
        <v/>
      </c>
      <c r="E97" s="10">
        <f>IF(A97="","",COUNTIFS(每日收货出货登记!$D:$D,A97,每日收货出货登记!$G:$G,"&lt;&gt;"))</f>
        <v/>
      </c>
      <c r="F97" s="10">
        <f>IF(A97="","",COUNTIFS(每日收货出货登记!$D:$D,A97,每日收货出货登记!$W:$W,"&gt;0"))</f>
        <v/>
      </c>
      <c r="G97" s="9">
        <f>IF(A97="","",MAXIFS(每日收货出货登记!$A:$A,每日收货出货登记!$D:$D,A97))</f>
        <v/>
      </c>
    </row>
    <row r="98" ht="22" customHeight="1">
      <c r="A98" s="9">
        <f>IFERROR(INDEX(基础数据!$B$2:$B$500,ROW(A96)),"")</f>
        <v/>
      </c>
      <c r="B98" s="10">
        <f>IF(A98="","",SUMIFS(每日收货出货登记!$Q:$Q,每日收货出货登记!$D:$D,A98))</f>
        <v/>
      </c>
      <c r="C98" s="10">
        <f>IF(A98="","",SUMIFS(每日收货出货登记!$V:$V,每日收货出货登记!$D:$D,A98))</f>
        <v/>
      </c>
      <c r="D98" s="10">
        <f>IF(A98="","",SUMIFS(每日收货出货登记!$W:$W,每日收货出货登记!$D:$D,A98))</f>
        <v/>
      </c>
      <c r="E98" s="10">
        <f>IF(A98="","",COUNTIFS(每日收货出货登记!$D:$D,A98,每日收货出货登记!$G:$G,"&lt;&gt;"))</f>
        <v/>
      </c>
      <c r="F98" s="10">
        <f>IF(A98="","",COUNTIFS(每日收货出货登记!$D:$D,A98,每日收货出货登记!$W:$W,"&gt;0"))</f>
        <v/>
      </c>
      <c r="G98" s="9">
        <f>IF(A98="","",MAXIFS(每日收货出货登记!$A:$A,每日收货出货登记!$D:$D,A98))</f>
        <v/>
      </c>
    </row>
    <row r="99" ht="22" customHeight="1">
      <c r="A99" s="9">
        <f>IFERROR(INDEX(基础数据!$B$2:$B$500,ROW(A97)),"")</f>
        <v/>
      </c>
      <c r="B99" s="10">
        <f>IF(A99="","",SUMIFS(每日收货出货登记!$Q:$Q,每日收货出货登记!$D:$D,A99))</f>
        <v/>
      </c>
      <c r="C99" s="10">
        <f>IF(A99="","",SUMIFS(每日收货出货登记!$V:$V,每日收货出货登记!$D:$D,A99))</f>
        <v/>
      </c>
      <c r="D99" s="10">
        <f>IF(A99="","",SUMIFS(每日收货出货登记!$W:$W,每日收货出货登记!$D:$D,A99))</f>
        <v/>
      </c>
      <c r="E99" s="10">
        <f>IF(A99="","",COUNTIFS(每日收货出货登记!$D:$D,A99,每日收货出货登记!$G:$G,"&lt;&gt;"))</f>
        <v/>
      </c>
      <c r="F99" s="10">
        <f>IF(A99="","",COUNTIFS(每日收货出货登记!$D:$D,A99,每日收货出货登记!$W:$W,"&gt;0"))</f>
        <v/>
      </c>
      <c r="G99" s="9">
        <f>IF(A99="","",MAXIFS(每日收货出货登记!$A:$A,每日收货出货登记!$D:$D,A99))</f>
        <v/>
      </c>
    </row>
    <row r="100" ht="22" customHeight="1">
      <c r="A100" s="9">
        <f>IFERROR(INDEX(基础数据!$B$2:$B$500,ROW(A98)),"")</f>
        <v/>
      </c>
      <c r="B100" s="10">
        <f>IF(A100="","",SUMIFS(每日收货出货登记!$Q:$Q,每日收货出货登记!$D:$D,A100))</f>
        <v/>
      </c>
      <c r="C100" s="10">
        <f>IF(A100="","",SUMIFS(每日收货出货登记!$V:$V,每日收货出货登记!$D:$D,A100))</f>
        <v/>
      </c>
      <c r="D100" s="10">
        <f>IF(A100="","",SUMIFS(每日收货出货登记!$W:$W,每日收货出货登记!$D:$D,A100))</f>
        <v/>
      </c>
      <c r="E100" s="10">
        <f>IF(A100="","",COUNTIFS(每日收货出货登记!$D:$D,A100,每日收货出货登记!$G:$G,"&lt;&gt;"))</f>
        <v/>
      </c>
      <c r="F100" s="10">
        <f>IF(A100="","",COUNTIFS(每日收货出货登记!$D:$D,A100,每日收货出货登记!$W:$W,"&gt;0"))</f>
        <v/>
      </c>
      <c r="G100" s="9">
        <f>IF(A100="","",MAXIFS(每日收货出货登记!$A:$A,每日收货出货登记!$D:$D,A100))</f>
        <v/>
      </c>
    </row>
    <row r="101" ht="22" customHeight="1">
      <c r="A101" s="9">
        <f>IFERROR(INDEX(基础数据!$B$2:$B$500,ROW(A99)),"")</f>
        <v/>
      </c>
      <c r="B101" s="10">
        <f>IF(A101="","",SUMIFS(每日收货出货登记!$Q:$Q,每日收货出货登记!$D:$D,A101))</f>
        <v/>
      </c>
      <c r="C101" s="10">
        <f>IF(A101="","",SUMIFS(每日收货出货登记!$V:$V,每日收货出货登记!$D:$D,A101))</f>
        <v/>
      </c>
      <c r="D101" s="10">
        <f>IF(A101="","",SUMIFS(每日收货出货登记!$W:$W,每日收货出货登记!$D:$D,A101))</f>
        <v/>
      </c>
      <c r="E101" s="10">
        <f>IF(A101="","",COUNTIFS(每日收货出货登记!$D:$D,A101,每日收货出货登记!$G:$G,"&lt;&gt;"))</f>
        <v/>
      </c>
      <c r="F101" s="10">
        <f>IF(A101="","",COUNTIFS(每日收货出货登记!$D:$D,A101,每日收货出货登记!$W:$W,"&gt;0"))</f>
        <v/>
      </c>
      <c r="G101" s="9">
        <f>IF(A101="","",MAXIFS(每日收货出货登记!$A:$A,每日收货出货登记!$D:$D,A101))</f>
        <v/>
      </c>
    </row>
    <row r="102" ht="22" customHeight="1">
      <c r="A102" s="9">
        <f>IFERROR(INDEX(基础数据!$B$2:$B$500,ROW(A100)),"")</f>
        <v/>
      </c>
      <c r="B102" s="10">
        <f>IF(A102="","",SUMIFS(每日收货出货登记!$Q:$Q,每日收货出货登记!$D:$D,A102))</f>
        <v/>
      </c>
      <c r="C102" s="10">
        <f>IF(A102="","",SUMIFS(每日收货出货登记!$V:$V,每日收货出货登记!$D:$D,A102))</f>
        <v/>
      </c>
      <c r="D102" s="10">
        <f>IF(A102="","",SUMIFS(每日收货出货登记!$W:$W,每日收货出货登记!$D:$D,A102))</f>
        <v/>
      </c>
      <c r="E102" s="10">
        <f>IF(A102="","",COUNTIFS(每日收货出货登记!$D:$D,A102,每日收货出货登记!$G:$G,"&lt;&gt;"))</f>
        <v/>
      </c>
      <c r="F102" s="10">
        <f>IF(A102="","",COUNTIFS(每日收货出货登记!$D:$D,A102,每日收货出货登记!$W:$W,"&gt;0"))</f>
        <v/>
      </c>
      <c r="G102" s="9">
        <f>IF(A102="","",MAXIFS(每日收货出货登记!$A:$A,每日收货出货登记!$D:$D,A102))</f>
        <v/>
      </c>
    </row>
    <row r="103" ht="22" customHeight="1">
      <c r="A103" s="9">
        <f>IFERROR(INDEX(基础数据!$B$2:$B$500,ROW(A101)),"")</f>
        <v/>
      </c>
      <c r="B103" s="10">
        <f>IF(A103="","",SUMIFS(每日收货出货登记!$Q:$Q,每日收货出货登记!$D:$D,A103))</f>
        <v/>
      </c>
      <c r="C103" s="10">
        <f>IF(A103="","",SUMIFS(每日收货出货登记!$V:$V,每日收货出货登记!$D:$D,A103))</f>
        <v/>
      </c>
      <c r="D103" s="10">
        <f>IF(A103="","",SUMIFS(每日收货出货登记!$W:$W,每日收货出货登记!$D:$D,A103))</f>
        <v/>
      </c>
      <c r="E103" s="10">
        <f>IF(A103="","",COUNTIFS(每日收货出货登记!$D:$D,A103,每日收货出货登记!$G:$G,"&lt;&gt;"))</f>
        <v/>
      </c>
      <c r="F103" s="10">
        <f>IF(A103="","",COUNTIFS(每日收货出货登记!$D:$D,A103,每日收货出货登记!$W:$W,"&gt;0"))</f>
        <v/>
      </c>
      <c r="G103" s="9">
        <f>IF(A103="","",MAXIFS(每日收货出货登记!$A:$A,每日收货出货登记!$D:$D,A103))</f>
        <v/>
      </c>
    </row>
    <row r="104" ht="22" customHeight="1">
      <c r="A104" s="9">
        <f>IFERROR(INDEX(基础数据!$B$2:$B$500,ROW(A102)),"")</f>
        <v/>
      </c>
      <c r="B104" s="10">
        <f>IF(A104="","",SUMIFS(每日收货出货登记!$Q:$Q,每日收货出货登记!$D:$D,A104))</f>
        <v/>
      </c>
      <c r="C104" s="10">
        <f>IF(A104="","",SUMIFS(每日收货出货登记!$V:$V,每日收货出货登记!$D:$D,A104))</f>
        <v/>
      </c>
      <c r="D104" s="10">
        <f>IF(A104="","",SUMIFS(每日收货出货登记!$W:$W,每日收货出货登记!$D:$D,A104))</f>
        <v/>
      </c>
      <c r="E104" s="10">
        <f>IF(A104="","",COUNTIFS(每日收货出货登记!$D:$D,A104,每日收货出货登记!$G:$G,"&lt;&gt;"))</f>
        <v/>
      </c>
      <c r="F104" s="10">
        <f>IF(A104="","",COUNTIFS(每日收货出货登记!$D:$D,A104,每日收货出货登记!$W:$W,"&gt;0"))</f>
        <v/>
      </c>
      <c r="G104" s="9">
        <f>IF(A104="","",MAXIFS(每日收货出货登记!$A:$A,每日收货出货登记!$D:$D,A104))</f>
        <v/>
      </c>
    </row>
    <row r="105" ht="22" customHeight="1">
      <c r="A105" s="9">
        <f>IFERROR(INDEX(基础数据!$B$2:$B$500,ROW(A103)),"")</f>
        <v/>
      </c>
      <c r="B105" s="10">
        <f>IF(A105="","",SUMIFS(每日收货出货登记!$Q:$Q,每日收货出货登记!$D:$D,A105))</f>
        <v/>
      </c>
      <c r="C105" s="10">
        <f>IF(A105="","",SUMIFS(每日收货出货登记!$V:$V,每日收货出货登记!$D:$D,A105))</f>
        <v/>
      </c>
      <c r="D105" s="10">
        <f>IF(A105="","",SUMIFS(每日收货出货登记!$W:$W,每日收货出货登记!$D:$D,A105))</f>
        <v/>
      </c>
      <c r="E105" s="10">
        <f>IF(A105="","",COUNTIFS(每日收货出货登记!$D:$D,A105,每日收货出货登记!$G:$G,"&lt;&gt;"))</f>
        <v/>
      </c>
      <c r="F105" s="10">
        <f>IF(A105="","",COUNTIFS(每日收货出货登记!$D:$D,A105,每日收货出货登记!$W:$W,"&gt;0"))</f>
        <v/>
      </c>
      <c r="G105" s="9">
        <f>IF(A105="","",MAXIFS(每日收货出货登记!$A:$A,每日收货出货登记!$D:$D,A105))</f>
        <v/>
      </c>
    </row>
    <row r="106" ht="22" customHeight="1">
      <c r="A106" s="9">
        <f>IFERROR(INDEX(基础数据!$B$2:$B$500,ROW(A104)),"")</f>
        <v/>
      </c>
      <c r="B106" s="10">
        <f>IF(A106="","",SUMIFS(每日收货出货登记!$Q:$Q,每日收货出货登记!$D:$D,A106))</f>
        <v/>
      </c>
      <c r="C106" s="10">
        <f>IF(A106="","",SUMIFS(每日收货出货登记!$V:$V,每日收货出货登记!$D:$D,A106))</f>
        <v/>
      </c>
      <c r="D106" s="10">
        <f>IF(A106="","",SUMIFS(每日收货出货登记!$W:$W,每日收货出货登记!$D:$D,A106))</f>
        <v/>
      </c>
      <c r="E106" s="10">
        <f>IF(A106="","",COUNTIFS(每日收货出货登记!$D:$D,A106,每日收货出货登记!$G:$G,"&lt;&gt;"))</f>
        <v/>
      </c>
      <c r="F106" s="10">
        <f>IF(A106="","",COUNTIFS(每日收货出货登记!$D:$D,A106,每日收货出货登记!$W:$W,"&gt;0"))</f>
        <v/>
      </c>
      <c r="G106" s="9">
        <f>IF(A106="","",MAXIFS(每日收货出货登记!$A:$A,每日收货出货登记!$D:$D,A106))</f>
        <v/>
      </c>
    </row>
    <row r="107" ht="22" customHeight="1">
      <c r="A107" s="9">
        <f>IFERROR(INDEX(基础数据!$B$2:$B$500,ROW(A105)),"")</f>
        <v/>
      </c>
      <c r="B107" s="10">
        <f>IF(A107="","",SUMIFS(每日收货出货登记!$Q:$Q,每日收货出货登记!$D:$D,A107))</f>
        <v/>
      </c>
      <c r="C107" s="10">
        <f>IF(A107="","",SUMIFS(每日收货出货登记!$V:$V,每日收货出货登记!$D:$D,A107))</f>
        <v/>
      </c>
      <c r="D107" s="10">
        <f>IF(A107="","",SUMIFS(每日收货出货登记!$W:$W,每日收货出货登记!$D:$D,A107))</f>
        <v/>
      </c>
      <c r="E107" s="10">
        <f>IF(A107="","",COUNTIFS(每日收货出货登记!$D:$D,A107,每日收货出货登记!$G:$G,"&lt;&gt;"))</f>
        <v/>
      </c>
      <c r="F107" s="10">
        <f>IF(A107="","",COUNTIFS(每日收货出货登记!$D:$D,A107,每日收货出货登记!$W:$W,"&gt;0"))</f>
        <v/>
      </c>
      <c r="G107" s="9">
        <f>IF(A107="","",MAXIFS(每日收货出货登记!$A:$A,每日收货出货登记!$D:$D,A107))</f>
        <v/>
      </c>
    </row>
    <row r="108" ht="22" customHeight="1">
      <c r="A108" s="9">
        <f>IFERROR(INDEX(基础数据!$B$2:$B$500,ROW(A106)),"")</f>
        <v/>
      </c>
      <c r="B108" s="10">
        <f>IF(A108="","",SUMIFS(每日收货出货登记!$Q:$Q,每日收货出货登记!$D:$D,A108))</f>
        <v/>
      </c>
      <c r="C108" s="10">
        <f>IF(A108="","",SUMIFS(每日收货出货登记!$V:$V,每日收货出货登记!$D:$D,A108))</f>
        <v/>
      </c>
      <c r="D108" s="10">
        <f>IF(A108="","",SUMIFS(每日收货出货登记!$W:$W,每日收货出货登记!$D:$D,A108))</f>
        <v/>
      </c>
      <c r="E108" s="10">
        <f>IF(A108="","",COUNTIFS(每日收货出货登记!$D:$D,A108,每日收货出货登记!$G:$G,"&lt;&gt;"))</f>
        <v/>
      </c>
      <c r="F108" s="10">
        <f>IF(A108="","",COUNTIFS(每日收货出货登记!$D:$D,A108,每日收货出货登记!$W:$W,"&gt;0"))</f>
        <v/>
      </c>
      <c r="G108" s="9">
        <f>IF(A108="","",MAXIFS(每日收货出货登记!$A:$A,每日收货出货登记!$D:$D,A108))</f>
        <v/>
      </c>
    </row>
    <row r="109" ht="22" customHeight="1">
      <c r="A109" s="9">
        <f>IFERROR(INDEX(基础数据!$B$2:$B$500,ROW(A107)),"")</f>
        <v/>
      </c>
      <c r="B109" s="10">
        <f>IF(A109="","",SUMIFS(每日收货出货登记!$Q:$Q,每日收货出货登记!$D:$D,A109))</f>
        <v/>
      </c>
      <c r="C109" s="10">
        <f>IF(A109="","",SUMIFS(每日收货出货登记!$V:$V,每日收货出货登记!$D:$D,A109))</f>
        <v/>
      </c>
      <c r="D109" s="10">
        <f>IF(A109="","",SUMIFS(每日收货出货登记!$W:$W,每日收货出货登记!$D:$D,A109))</f>
        <v/>
      </c>
      <c r="E109" s="10">
        <f>IF(A109="","",COUNTIFS(每日收货出货登记!$D:$D,A109,每日收货出货登记!$G:$G,"&lt;&gt;"))</f>
        <v/>
      </c>
      <c r="F109" s="10">
        <f>IF(A109="","",COUNTIFS(每日收货出货登记!$D:$D,A109,每日收货出货登记!$W:$W,"&gt;0"))</f>
        <v/>
      </c>
      <c r="G109" s="9">
        <f>IF(A109="","",MAXIFS(每日收货出货登记!$A:$A,每日收货出货登记!$D:$D,A109))</f>
        <v/>
      </c>
    </row>
    <row r="110" ht="22" customHeight="1">
      <c r="A110" s="9">
        <f>IFERROR(INDEX(基础数据!$B$2:$B$500,ROW(A108)),"")</f>
        <v/>
      </c>
      <c r="B110" s="10">
        <f>IF(A110="","",SUMIFS(每日收货出货登记!$Q:$Q,每日收货出货登记!$D:$D,A110))</f>
        <v/>
      </c>
      <c r="C110" s="10">
        <f>IF(A110="","",SUMIFS(每日收货出货登记!$V:$V,每日收货出货登记!$D:$D,A110))</f>
        <v/>
      </c>
      <c r="D110" s="10">
        <f>IF(A110="","",SUMIFS(每日收货出货登记!$W:$W,每日收货出货登记!$D:$D,A110))</f>
        <v/>
      </c>
      <c r="E110" s="10">
        <f>IF(A110="","",COUNTIFS(每日收货出货登记!$D:$D,A110,每日收货出货登记!$G:$G,"&lt;&gt;"))</f>
        <v/>
      </c>
      <c r="F110" s="10">
        <f>IF(A110="","",COUNTIFS(每日收货出货登记!$D:$D,A110,每日收货出货登记!$W:$W,"&gt;0"))</f>
        <v/>
      </c>
      <c r="G110" s="9">
        <f>IF(A110="","",MAXIFS(每日收货出货登记!$A:$A,每日收货出货登记!$D:$D,A110))</f>
        <v/>
      </c>
    </row>
    <row r="111" ht="22" customHeight="1">
      <c r="A111" s="9">
        <f>IFERROR(INDEX(基础数据!$B$2:$B$500,ROW(A109)),"")</f>
        <v/>
      </c>
      <c r="B111" s="10">
        <f>IF(A111="","",SUMIFS(每日收货出货登记!$Q:$Q,每日收货出货登记!$D:$D,A111))</f>
        <v/>
      </c>
      <c r="C111" s="10">
        <f>IF(A111="","",SUMIFS(每日收货出货登记!$V:$V,每日收货出货登记!$D:$D,A111))</f>
        <v/>
      </c>
      <c r="D111" s="10">
        <f>IF(A111="","",SUMIFS(每日收货出货登记!$W:$W,每日收货出货登记!$D:$D,A111))</f>
        <v/>
      </c>
      <c r="E111" s="10">
        <f>IF(A111="","",COUNTIFS(每日收货出货登记!$D:$D,A111,每日收货出货登记!$G:$G,"&lt;&gt;"))</f>
        <v/>
      </c>
      <c r="F111" s="10">
        <f>IF(A111="","",COUNTIFS(每日收货出货登记!$D:$D,A111,每日收货出货登记!$W:$W,"&gt;0"))</f>
        <v/>
      </c>
      <c r="G111" s="9">
        <f>IF(A111="","",MAXIFS(每日收货出货登记!$A:$A,每日收货出货登记!$D:$D,A111))</f>
        <v/>
      </c>
    </row>
    <row r="112" ht="22" customHeight="1">
      <c r="A112" s="9">
        <f>IFERROR(INDEX(基础数据!$B$2:$B$500,ROW(A110)),"")</f>
        <v/>
      </c>
      <c r="B112" s="10">
        <f>IF(A112="","",SUMIFS(每日收货出货登记!$Q:$Q,每日收货出货登记!$D:$D,A112))</f>
        <v/>
      </c>
      <c r="C112" s="10">
        <f>IF(A112="","",SUMIFS(每日收货出货登记!$V:$V,每日收货出货登记!$D:$D,A112))</f>
        <v/>
      </c>
      <c r="D112" s="10">
        <f>IF(A112="","",SUMIFS(每日收货出货登记!$W:$W,每日收货出货登记!$D:$D,A112))</f>
        <v/>
      </c>
      <c r="E112" s="10">
        <f>IF(A112="","",COUNTIFS(每日收货出货登记!$D:$D,A112,每日收货出货登记!$G:$G,"&lt;&gt;"))</f>
        <v/>
      </c>
      <c r="F112" s="10">
        <f>IF(A112="","",COUNTIFS(每日收货出货登记!$D:$D,A112,每日收货出货登记!$W:$W,"&gt;0"))</f>
        <v/>
      </c>
      <c r="G112" s="9">
        <f>IF(A112="","",MAXIFS(每日收货出货登记!$A:$A,每日收货出货登记!$D:$D,A112))</f>
        <v/>
      </c>
    </row>
    <row r="113" ht="22" customHeight="1">
      <c r="A113" s="9">
        <f>IFERROR(INDEX(基础数据!$B$2:$B$500,ROW(A111)),"")</f>
        <v/>
      </c>
      <c r="B113" s="10">
        <f>IF(A113="","",SUMIFS(每日收货出货登记!$Q:$Q,每日收货出货登记!$D:$D,A113))</f>
        <v/>
      </c>
      <c r="C113" s="10">
        <f>IF(A113="","",SUMIFS(每日收货出货登记!$V:$V,每日收货出货登记!$D:$D,A113))</f>
        <v/>
      </c>
      <c r="D113" s="10">
        <f>IF(A113="","",SUMIFS(每日收货出货登记!$W:$W,每日收货出货登记!$D:$D,A113))</f>
        <v/>
      </c>
      <c r="E113" s="10">
        <f>IF(A113="","",COUNTIFS(每日收货出货登记!$D:$D,A113,每日收货出货登记!$G:$G,"&lt;&gt;"))</f>
        <v/>
      </c>
      <c r="F113" s="10">
        <f>IF(A113="","",COUNTIFS(每日收货出货登记!$D:$D,A113,每日收货出货登记!$W:$W,"&gt;0"))</f>
        <v/>
      </c>
      <c r="G113" s="9">
        <f>IF(A113="","",MAXIFS(每日收货出货登记!$A:$A,每日收货出货登记!$D:$D,A113))</f>
        <v/>
      </c>
    </row>
    <row r="114" ht="22" customHeight="1">
      <c r="A114" s="9">
        <f>IFERROR(INDEX(基础数据!$B$2:$B$500,ROW(A112)),"")</f>
        <v/>
      </c>
      <c r="B114" s="10">
        <f>IF(A114="","",SUMIFS(每日收货出货登记!$Q:$Q,每日收货出货登记!$D:$D,A114))</f>
        <v/>
      </c>
      <c r="C114" s="10">
        <f>IF(A114="","",SUMIFS(每日收货出货登记!$V:$V,每日收货出货登记!$D:$D,A114))</f>
        <v/>
      </c>
      <c r="D114" s="10">
        <f>IF(A114="","",SUMIFS(每日收货出货登记!$W:$W,每日收货出货登记!$D:$D,A114))</f>
        <v/>
      </c>
      <c r="E114" s="10">
        <f>IF(A114="","",COUNTIFS(每日收货出货登记!$D:$D,A114,每日收货出货登记!$G:$G,"&lt;&gt;"))</f>
        <v/>
      </c>
      <c r="F114" s="10">
        <f>IF(A114="","",COUNTIFS(每日收货出货登记!$D:$D,A114,每日收货出货登记!$W:$W,"&gt;0"))</f>
        <v/>
      </c>
      <c r="G114" s="9">
        <f>IF(A114="","",MAXIFS(每日收货出货登记!$A:$A,每日收货出货登记!$D:$D,A114))</f>
        <v/>
      </c>
    </row>
    <row r="115" ht="22" customHeight="1">
      <c r="A115" s="9">
        <f>IFERROR(INDEX(基础数据!$B$2:$B$500,ROW(A113)),"")</f>
        <v/>
      </c>
      <c r="B115" s="10">
        <f>IF(A115="","",SUMIFS(每日收货出货登记!$Q:$Q,每日收货出货登记!$D:$D,A115))</f>
        <v/>
      </c>
      <c r="C115" s="10">
        <f>IF(A115="","",SUMIFS(每日收货出货登记!$V:$V,每日收货出货登记!$D:$D,A115))</f>
        <v/>
      </c>
      <c r="D115" s="10">
        <f>IF(A115="","",SUMIFS(每日收货出货登记!$W:$W,每日收货出货登记!$D:$D,A115))</f>
        <v/>
      </c>
      <c r="E115" s="10">
        <f>IF(A115="","",COUNTIFS(每日收货出货登记!$D:$D,A115,每日收货出货登记!$G:$G,"&lt;&gt;"))</f>
        <v/>
      </c>
      <c r="F115" s="10">
        <f>IF(A115="","",COUNTIFS(每日收货出货登记!$D:$D,A115,每日收货出货登记!$W:$W,"&gt;0"))</f>
        <v/>
      </c>
      <c r="G115" s="9">
        <f>IF(A115="","",MAXIFS(每日收货出货登记!$A:$A,每日收货出货登记!$D:$D,A115))</f>
        <v/>
      </c>
    </row>
    <row r="116" ht="22" customHeight="1">
      <c r="A116" s="9">
        <f>IFERROR(INDEX(基础数据!$B$2:$B$500,ROW(A114)),"")</f>
        <v/>
      </c>
      <c r="B116" s="10">
        <f>IF(A116="","",SUMIFS(每日收货出货登记!$Q:$Q,每日收货出货登记!$D:$D,A116))</f>
        <v/>
      </c>
      <c r="C116" s="10">
        <f>IF(A116="","",SUMIFS(每日收货出货登记!$V:$V,每日收货出货登记!$D:$D,A116))</f>
        <v/>
      </c>
      <c r="D116" s="10">
        <f>IF(A116="","",SUMIFS(每日收货出货登记!$W:$W,每日收货出货登记!$D:$D,A116))</f>
        <v/>
      </c>
      <c r="E116" s="10">
        <f>IF(A116="","",COUNTIFS(每日收货出货登记!$D:$D,A116,每日收货出货登记!$G:$G,"&lt;&gt;"))</f>
        <v/>
      </c>
      <c r="F116" s="10">
        <f>IF(A116="","",COUNTIFS(每日收货出货登记!$D:$D,A116,每日收货出货登记!$W:$W,"&gt;0"))</f>
        <v/>
      </c>
      <c r="G116" s="9">
        <f>IF(A116="","",MAXIFS(每日收货出货登记!$A:$A,每日收货出货登记!$D:$D,A116))</f>
        <v/>
      </c>
    </row>
    <row r="117" ht="22" customHeight="1">
      <c r="A117" s="9">
        <f>IFERROR(INDEX(基础数据!$B$2:$B$500,ROW(A115)),"")</f>
        <v/>
      </c>
      <c r="B117" s="10">
        <f>IF(A117="","",SUMIFS(每日收货出货登记!$Q:$Q,每日收货出货登记!$D:$D,A117))</f>
        <v/>
      </c>
      <c r="C117" s="10">
        <f>IF(A117="","",SUMIFS(每日收货出货登记!$V:$V,每日收货出货登记!$D:$D,A117))</f>
        <v/>
      </c>
      <c r="D117" s="10">
        <f>IF(A117="","",SUMIFS(每日收货出货登记!$W:$W,每日收货出货登记!$D:$D,A117))</f>
        <v/>
      </c>
      <c r="E117" s="10">
        <f>IF(A117="","",COUNTIFS(每日收货出货登记!$D:$D,A117,每日收货出货登记!$G:$G,"&lt;&gt;"))</f>
        <v/>
      </c>
      <c r="F117" s="10">
        <f>IF(A117="","",COUNTIFS(每日收货出货登记!$D:$D,A117,每日收货出货登记!$W:$W,"&gt;0"))</f>
        <v/>
      </c>
      <c r="G117" s="9">
        <f>IF(A117="","",MAXIFS(每日收货出货登记!$A:$A,每日收货出货登记!$D:$D,A117))</f>
        <v/>
      </c>
    </row>
    <row r="118" ht="22" customHeight="1">
      <c r="A118" s="9">
        <f>IFERROR(INDEX(基础数据!$B$2:$B$500,ROW(A116)),"")</f>
        <v/>
      </c>
      <c r="B118" s="10">
        <f>IF(A118="","",SUMIFS(每日收货出货登记!$Q:$Q,每日收货出货登记!$D:$D,A118))</f>
        <v/>
      </c>
      <c r="C118" s="10">
        <f>IF(A118="","",SUMIFS(每日收货出货登记!$V:$V,每日收货出货登记!$D:$D,A118))</f>
        <v/>
      </c>
      <c r="D118" s="10">
        <f>IF(A118="","",SUMIFS(每日收货出货登记!$W:$W,每日收货出货登记!$D:$D,A118))</f>
        <v/>
      </c>
      <c r="E118" s="10">
        <f>IF(A118="","",COUNTIFS(每日收货出货登记!$D:$D,A118,每日收货出货登记!$G:$G,"&lt;&gt;"))</f>
        <v/>
      </c>
      <c r="F118" s="10">
        <f>IF(A118="","",COUNTIFS(每日收货出货登记!$D:$D,A118,每日收货出货登记!$W:$W,"&gt;0"))</f>
        <v/>
      </c>
      <c r="G118" s="9">
        <f>IF(A118="","",MAXIFS(每日收货出货登记!$A:$A,每日收货出货登记!$D:$D,A118))</f>
        <v/>
      </c>
    </row>
    <row r="119" ht="22" customHeight="1">
      <c r="A119" s="9">
        <f>IFERROR(INDEX(基础数据!$B$2:$B$500,ROW(A117)),"")</f>
        <v/>
      </c>
      <c r="B119" s="10">
        <f>IF(A119="","",SUMIFS(每日收货出货登记!$Q:$Q,每日收货出货登记!$D:$D,A119))</f>
        <v/>
      </c>
      <c r="C119" s="10">
        <f>IF(A119="","",SUMIFS(每日收货出货登记!$V:$V,每日收货出货登记!$D:$D,A119))</f>
        <v/>
      </c>
      <c r="D119" s="10">
        <f>IF(A119="","",SUMIFS(每日收货出货登记!$W:$W,每日收货出货登记!$D:$D,A119))</f>
        <v/>
      </c>
      <c r="E119" s="10">
        <f>IF(A119="","",COUNTIFS(每日收货出货登记!$D:$D,A119,每日收货出货登记!$G:$G,"&lt;&gt;"))</f>
        <v/>
      </c>
      <c r="F119" s="10">
        <f>IF(A119="","",COUNTIFS(每日收货出货登记!$D:$D,A119,每日收货出货登记!$W:$W,"&gt;0"))</f>
        <v/>
      </c>
      <c r="G119" s="9">
        <f>IF(A119="","",MAXIFS(每日收货出货登记!$A:$A,每日收货出货登记!$D:$D,A119))</f>
        <v/>
      </c>
    </row>
    <row r="120" ht="22" customHeight="1">
      <c r="A120" s="9">
        <f>IFERROR(INDEX(基础数据!$B$2:$B$500,ROW(A118)),"")</f>
        <v/>
      </c>
      <c r="B120" s="10">
        <f>IF(A120="","",SUMIFS(每日收货出货登记!$Q:$Q,每日收货出货登记!$D:$D,A120))</f>
        <v/>
      </c>
      <c r="C120" s="10">
        <f>IF(A120="","",SUMIFS(每日收货出货登记!$V:$V,每日收货出货登记!$D:$D,A120))</f>
        <v/>
      </c>
      <c r="D120" s="10">
        <f>IF(A120="","",SUMIFS(每日收货出货登记!$W:$W,每日收货出货登记!$D:$D,A120))</f>
        <v/>
      </c>
      <c r="E120" s="10">
        <f>IF(A120="","",COUNTIFS(每日收货出货登记!$D:$D,A120,每日收货出货登记!$G:$G,"&lt;&gt;"))</f>
        <v/>
      </c>
      <c r="F120" s="10">
        <f>IF(A120="","",COUNTIFS(每日收货出货登记!$D:$D,A120,每日收货出货登记!$W:$W,"&gt;0"))</f>
        <v/>
      </c>
      <c r="G120" s="9">
        <f>IF(A120="","",MAXIFS(每日收货出货登记!$A:$A,每日收货出货登记!$D:$D,A120))</f>
        <v/>
      </c>
    </row>
    <row r="121" ht="22" customHeight="1">
      <c r="A121" s="9">
        <f>IFERROR(INDEX(基础数据!$B$2:$B$500,ROW(A119)),"")</f>
        <v/>
      </c>
      <c r="B121" s="10">
        <f>IF(A121="","",SUMIFS(每日收货出货登记!$Q:$Q,每日收货出货登记!$D:$D,A121))</f>
        <v/>
      </c>
      <c r="C121" s="10">
        <f>IF(A121="","",SUMIFS(每日收货出货登记!$V:$V,每日收货出货登记!$D:$D,A121))</f>
        <v/>
      </c>
      <c r="D121" s="10">
        <f>IF(A121="","",SUMIFS(每日收货出货登记!$W:$W,每日收货出货登记!$D:$D,A121))</f>
        <v/>
      </c>
      <c r="E121" s="10">
        <f>IF(A121="","",COUNTIFS(每日收货出货登记!$D:$D,A121,每日收货出货登记!$G:$G,"&lt;&gt;"))</f>
        <v/>
      </c>
      <c r="F121" s="10">
        <f>IF(A121="","",COUNTIFS(每日收货出货登记!$D:$D,A121,每日收货出货登记!$W:$W,"&gt;0"))</f>
        <v/>
      </c>
      <c r="G121" s="9">
        <f>IF(A121="","",MAXIFS(每日收货出货登记!$A:$A,每日收货出货登记!$D:$D,A121))</f>
        <v/>
      </c>
    </row>
    <row r="122" ht="22" customHeight="1">
      <c r="A122" s="9">
        <f>IFERROR(INDEX(基础数据!$B$2:$B$500,ROW(A120)),"")</f>
        <v/>
      </c>
      <c r="B122" s="10">
        <f>IF(A122="","",SUMIFS(每日收货出货登记!$Q:$Q,每日收货出货登记!$D:$D,A122))</f>
        <v/>
      </c>
      <c r="C122" s="10">
        <f>IF(A122="","",SUMIFS(每日收货出货登记!$V:$V,每日收货出货登记!$D:$D,A122))</f>
        <v/>
      </c>
      <c r="D122" s="10">
        <f>IF(A122="","",SUMIFS(每日收货出货登记!$W:$W,每日收货出货登记!$D:$D,A122))</f>
        <v/>
      </c>
      <c r="E122" s="10">
        <f>IF(A122="","",COUNTIFS(每日收货出货登记!$D:$D,A122,每日收货出货登记!$G:$G,"&lt;&gt;"))</f>
        <v/>
      </c>
      <c r="F122" s="10">
        <f>IF(A122="","",COUNTIFS(每日收货出货登记!$D:$D,A122,每日收货出货登记!$W:$W,"&gt;0"))</f>
        <v/>
      </c>
      <c r="G122" s="9">
        <f>IF(A122="","",MAXIFS(每日收货出货登记!$A:$A,每日收货出货登记!$D:$D,A122))</f>
        <v/>
      </c>
    </row>
    <row r="123" ht="22" customHeight="1">
      <c r="A123" s="9">
        <f>IFERROR(INDEX(基础数据!$B$2:$B$500,ROW(A121)),"")</f>
        <v/>
      </c>
      <c r="B123" s="10">
        <f>IF(A123="","",SUMIFS(每日收货出货登记!$Q:$Q,每日收货出货登记!$D:$D,A123))</f>
        <v/>
      </c>
      <c r="C123" s="10">
        <f>IF(A123="","",SUMIFS(每日收货出货登记!$V:$V,每日收货出货登记!$D:$D,A123))</f>
        <v/>
      </c>
      <c r="D123" s="10">
        <f>IF(A123="","",SUMIFS(每日收货出货登记!$W:$W,每日收货出货登记!$D:$D,A123))</f>
        <v/>
      </c>
      <c r="E123" s="10">
        <f>IF(A123="","",COUNTIFS(每日收货出货登记!$D:$D,A123,每日收货出货登记!$G:$G,"&lt;&gt;"))</f>
        <v/>
      </c>
      <c r="F123" s="10">
        <f>IF(A123="","",COUNTIFS(每日收货出货登记!$D:$D,A123,每日收货出货登记!$W:$W,"&gt;0"))</f>
        <v/>
      </c>
      <c r="G123" s="9">
        <f>IF(A123="","",MAXIFS(每日收货出货登记!$A:$A,每日收货出货登记!$D:$D,A123))</f>
        <v/>
      </c>
    </row>
    <row r="124" ht="22" customHeight="1">
      <c r="A124" s="9">
        <f>IFERROR(INDEX(基础数据!$B$2:$B$500,ROW(A122)),"")</f>
        <v/>
      </c>
      <c r="B124" s="10">
        <f>IF(A124="","",SUMIFS(每日收货出货登记!$Q:$Q,每日收货出货登记!$D:$D,A124))</f>
        <v/>
      </c>
      <c r="C124" s="10">
        <f>IF(A124="","",SUMIFS(每日收货出货登记!$V:$V,每日收货出货登记!$D:$D,A124))</f>
        <v/>
      </c>
      <c r="D124" s="10">
        <f>IF(A124="","",SUMIFS(每日收货出货登记!$W:$W,每日收货出货登记!$D:$D,A124))</f>
        <v/>
      </c>
      <c r="E124" s="10">
        <f>IF(A124="","",COUNTIFS(每日收货出货登记!$D:$D,A124,每日收货出货登记!$G:$G,"&lt;&gt;"))</f>
        <v/>
      </c>
      <c r="F124" s="10">
        <f>IF(A124="","",COUNTIFS(每日收货出货登记!$D:$D,A124,每日收货出货登记!$W:$W,"&gt;0"))</f>
        <v/>
      </c>
      <c r="G124" s="9">
        <f>IF(A124="","",MAXIFS(每日收货出货登记!$A:$A,每日收货出货登记!$D:$D,A124))</f>
        <v/>
      </c>
    </row>
    <row r="125" ht="22" customHeight="1">
      <c r="A125" s="9">
        <f>IFERROR(INDEX(基础数据!$B$2:$B$500,ROW(A123)),"")</f>
        <v/>
      </c>
      <c r="B125" s="10">
        <f>IF(A125="","",SUMIFS(每日收货出货登记!$Q:$Q,每日收货出货登记!$D:$D,A125))</f>
        <v/>
      </c>
      <c r="C125" s="10">
        <f>IF(A125="","",SUMIFS(每日收货出货登记!$V:$V,每日收货出货登记!$D:$D,A125))</f>
        <v/>
      </c>
      <c r="D125" s="10">
        <f>IF(A125="","",SUMIFS(每日收货出货登记!$W:$W,每日收货出货登记!$D:$D,A125))</f>
        <v/>
      </c>
      <c r="E125" s="10">
        <f>IF(A125="","",COUNTIFS(每日收货出货登记!$D:$D,A125,每日收货出货登记!$G:$G,"&lt;&gt;"))</f>
        <v/>
      </c>
      <c r="F125" s="10">
        <f>IF(A125="","",COUNTIFS(每日收货出货登记!$D:$D,A125,每日收货出货登记!$W:$W,"&gt;0"))</f>
        <v/>
      </c>
      <c r="G125" s="9">
        <f>IF(A125="","",MAXIFS(每日收货出货登记!$A:$A,每日收货出货登记!$D:$D,A125))</f>
        <v/>
      </c>
    </row>
    <row r="126" ht="22" customHeight="1">
      <c r="A126" s="9">
        <f>IFERROR(INDEX(基础数据!$B$2:$B$500,ROW(A124)),"")</f>
        <v/>
      </c>
      <c r="B126" s="10">
        <f>IF(A126="","",SUMIFS(每日收货出货登记!$Q:$Q,每日收货出货登记!$D:$D,A126))</f>
        <v/>
      </c>
      <c r="C126" s="10">
        <f>IF(A126="","",SUMIFS(每日收货出货登记!$V:$V,每日收货出货登记!$D:$D,A126))</f>
        <v/>
      </c>
      <c r="D126" s="10">
        <f>IF(A126="","",SUMIFS(每日收货出货登记!$W:$W,每日收货出货登记!$D:$D,A126))</f>
        <v/>
      </c>
      <c r="E126" s="10">
        <f>IF(A126="","",COUNTIFS(每日收货出货登记!$D:$D,A126,每日收货出货登记!$G:$G,"&lt;&gt;"))</f>
        <v/>
      </c>
      <c r="F126" s="10">
        <f>IF(A126="","",COUNTIFS(每日收货出货登记!$D:$D,A126,每日收货出货登记!$W:$W,"&gt;0"))</f>
        <v/>
      </c>
      <c r="G126" s="9">
        <f>IF(A126="","",MAXIFS(每日收货出货登记!$A:$A,每日收货出货登记!$D:$D,A126))</f>
        <v/>
      </c>
    </row>
    <row r="127" ht="22" customHeight="1">
      <c r="A127" s="9">
        <f>IFERROR(INDEX(基础数据!$B$2:$B$500,ROW(A125)),"")</f>
        <v/>
      </c>
      <c r="B127" s="10">
        <f>IF(A127="","",SUMIFS(每日收货出货登记!$Q:$Q,每日收货出货登记!$D:$D,A127))</f>
        <v/>
      </c>
      <c r="C127" s="10">
        <f>IF(A127="","",SUMIFS(每日收货出货登记!$V:$V,每日收货出货登记!$D:$D,A127))</f>
        <v/>
      </c>
      <c r="D127" s="10">
        <f>IF(A127="","",SUMIFS(每日收货出货登记!$W:$W,每日收货出货登记!$D:$D,A127))</f>
        <v/>
      </c>
      <c r="E127" s="10">
        <f>IF(A127="","",COUNTIFS(每日收货出货登记!$D:$D,A127,每日收货出货登记!$G:$G,"&lt;&gt;"))</f>
        <v/>
      </c>
      <c r="F127" s="10">
        <f>IF(A127="","",COUNTIFS(每日收货出货登记!$D:$D,A127,每日收货出货登记!$W:$W,"&gt;0"))</f>
        <v/>
      </c>
      <c r="G127" s="9">
        <f>IF(A127="","",MAXIFS(每日收货出货登记!$A:$A,每日收货出货登记!$D:$D,A127))</f>
        <v/>
      </c>
    </row>
    <row r="128" ht="22" customHeight="1">
      <c r="A128" s="9">
        <f>IFERROR(INDEX(基础数据!$B$2:$B$500,ROW(A126)),"")</f>
        <v/>
      </c>
      <c r="B128" s="10">
        <f>IF(A128="","",SUMIFS(每日收货出货登记!$Q:$Q,每日收货出货登记!$D:$D,A128))</f>
        <v/>
      </c>
      <c r="C128" s="10">
        <f>IF(A128="","",SUMIFS(每日收货出货登记!$V:$V,每日收货出货登记!$D:$D,A128))</f>
        <v/>
      </c>
      <c r="D128" s="10">
        <f>IF(A128="","",SUMIFS(每日收货出货登记!$W:$W,每日收货出货登记!$D:$D,A128))</f>
        <v/>
      </c>
      <c r="E128" s="10">
        <f>IF(A128="","",COUNTIFS(每日收货出货登记!$D:$D,A128,每日收货出货登记!$G:$G,"&lt;&gt;"))</f>
        <v/>
      </c>
      <c r="F128" s="10">
        <f>IF(A128="","",COUNTIFS(每日收货出货登记!$D:$D,A128,每日收货出货登记!$W:$W,"&gt;0"))</f>
        <v/>
      </c>
      <c r="G128" s="9">
        <f>IF(A128="","",MAXIFS(每日收货出货登记!$A:$A,每日收货出货登记!$D:$D,A128))</f>
        <v/>
      </c>
    </row>
    <row r="129" ht="22" customHeight="1">
      <c r="A129" s="9">
        <f>IFERROR(INDEX(基础数据!$B$2:$B$500,ROW(A127)),"")</f>
        <v/>
      </c>
      <c r="B129" s="10">
        <f>IF(A129="","",SUMIFS(每日收货出货登记!$Q:$Q,每日收货出货登记!$D:$D,A129))</f>
        <v/>
      </c>
      <c r="C129" s="10">
        <f>IF(A129="","",SUMIFS(每日收货出货登记!$V:$V,每日收货出货登记!$D:$D,A129))</f>
        <v/>
      </c>
      <c r="D129" s="10">
        <f>IF(A129="","",SUMIFS(每日收货出货登记!$W:$W,每日收货出货登记!$D:$D,A129))</f>
        <v/>
      </c>
      <c r="E129" s="10">
        <f>IF(A129="","",COUNTIFS(每日收货出货登记!$D:$D,A129,每日收货出货登记!$G:$G,"&lt;&gt;"))</f>
        <v/>
      </c>
      <c r="F129" s="10">
        <f>IF(A129="","",COUNTIFS(每日收货出货登记!$D:$D,A129,每日收货出货登记!$W:$W,"&gt;0"))</f>
        <v/>
      </c>
      <c r="G129" s="9">
        <f>IF(A129="","",MAXIFS(每日收货出货登记!$A:$A,每日收货出货登记!$D:$D,A129))</f>
        <v/>
      </c>
    </row>
    <row r="130" ht="22" customHeight="1">
      <c r="A130" s="9">
        <f>IFERROR(INDEX(基础数据!$B$2:$B$500,ROW(A128)),"")</f>
        <v/>
      </c>
      <c r="B130" s="10">
        <f>IF(A130="","",SUMIFS(每日收货出货登记!$Q:$Q,每日收货出货登记!$D:$D,A130))</f>
        <v/>
      </c>
      <c r="C130" s="10">
        <f>IF(A130="","",SUMIFS(每日收货出货登记!$V:$V,每日收货出货登记!$D:$D,A130))</f>
        <v/>
      </c>
      <c r="D130" s="10">
        <f>IF(A130="","",SUMIFS(每日收货出货登记!$W:$W,每日收货出货登记!$D:$D,A130))</f>
        <v/>
      </c>
      <c r="E130" s="10">
        <f>IF(A130="","",COUNTIFS(每日收货出货登记!$D:$D,A130,每日收货出货登记!$G:$G,"&lt;&gt;"))</f>
        <v/>
      </c>
      <c r="F130" s="10">
        <f>IF(A130="","",COUNTIFS(每日收货出货登记!$D:$D,A130,每日收货出货登记!$W:$W,"&gt;0"))</f>
        <v/>
      </c>
      <c r="G130" s="9">
        <f>IF(A130="","",MAXIFS(每日收货出货登记!$A:$A,每日收货出货登记!$D:$D,A130))</f>
        <v/>
      </c>
    </row>
    <row r="131" ht="22" customHeight="1">
      <c r="A131" s="9">
        <f>IFERROR(INDEX(基础数据!$B$2:$B$500,ROW(A129)),"")</f>
        <v/>
      </c>
      <c r="B131" s="10">
        <f>IF(A131="","",SUMIFS(每日收货出货登记!$Q:$Q,每日收货出货登记!$D:$D,A131))</f>
        <v/>
      </c>
      <c r="C131" s="10">
        <f>IF(A131="","",SUMIFS(每日收货出货登记!$V:$V,每日收货出货登记!$D:$D,A131))</f>
        <v/>
      </c>
      <c r="D131" s="10">
        <f>IF(A131="","",SUMIFS(每日收货出货登记!$W:$W,每日收货出货登记!$D:$D,A131))</f>
        <v/>
      </c>
      <c r="E131" s="10">
        <f>IF(A131="","",COUNTIFS(每日收货出货登记!$D:$D,A131,每日收货出货登记!$G:$G,"&lt;&gt;"))</f>
        <v/>
      </c>
      <c r="F131" s="10">
        <f>IF(A131="","",COUNTIFS(每日收货出货登记!$D:$D,A131,每日收货出货登记!$W:$W,"&gt;0"))</f>
        <v/>
      </c>
      <c r="G131" s="9">
        <f>IF(A131="","",MAXIFS(每日收货出货登记!$A:$A,每日收货出货登记!$D:$D,A131))</f>
        <v/>
      </c>
    </row>
    <row r="132" ht="22" customHeight="1">
      <c r="A132" s="9">
        <f>IFERROR(INDEX(基础数据!$B$2:$B$500,ROW(A130)),"")</f>
        <v/>
      </c>
      <c r="B132" s="10">
        <f>IF(A132="","",SUMIFS(每日收货出货登记!$Q:$Q,每日收货出货登记!$D:$D,A132))</f>
        <v/>
      </c>
      <c r="C132" s="10">
        <f>IF(A132="","",SUMIFS(每日收货出货登记!$V:$V,每日收货出货登记!$D:$D,A132))</f>
        <v/>
      </c>
      <c r="D132" s="10">
        <f>IF(A132="","",SUMIFS(每日收货出货登记!$W:$W,每日收货出货登记!$D:$D,A132))</f>
        <v/>
      </c>
      <c r="E132" s="10">
        <f>IF(A132="","",COUNTIFS(每日收货出货登记!$D:$D,A132,每日收货出货登记!$G:$G,"&lt;&gt;"))</f>
        <v/>
      </c>
      <c r="F132" s="10">
        <f>IF(A132="","",COUNTIFS(每日收货出货登记!$D:$D,A132,每日收货出货登记!$W:$W,"&gt;0"))</f>
        <v/>
      </c>
      <c r="G132" s="9">
        <f>IF(A132="","",MAXIFS(每日收货出货登记!$A:$A,每日收货出货登记!$D:$D,A132))</f>
        <v/>
      </c>
    </row>
    <row r="133" ht="22" customHeight="1">
      <c r="A133" s="9">
        <f>IFERROR(INDEX(基础数据!$B$2:$B$500,ROW(A131)),"")</f>
        <v/>
      </c>
      <c r="B133" s="10">
        <f>IF(A133="","",SUMIFS(每日收货出货登记!$Q:$Q,每日收货出货登记!$D:$D,A133))</f>
        <v/>
      </c>
      <c r="C133" s="10">
        <f>IF(A133="","",SUMIFS(每日收货出货登记!$V:$V,每日收货出货登记!$D:$D,A133))</f>
        <v/>
      </c>
      <c r="D133" s="10">
        <f>IF(A133="","",SUMIFS(每日收货出货登记!$W:$W,每日收货出货登记!$D:$D,A133))</f>
        <v/>
      </c>
      <c r="E133" s="10">
        <f>IF(A133="","",COUNTIFS(每日收货出货登记!$D:$D,A133,每日收货出货登记!$G:$G,"&lt;&gt;"))</f>
        <v/>
      </c>
      <c r="F133" s="10">
        <f>IF(A133="","",COUNTIFS(每日收货出货登记!$D:$D,A133,每日收货出货登记!$W:$W,"&gt;0"))</f>
        <v/>
      </c>
      <c r="G133" s="9">
        <f>IF(A133="","",MAXIFS(每日收货出货登记!$A:$A,每日收货出货登记!$D:$D,A133))</f>
        <v/>
      </c>
    </row>
    <row r="134" ht="22" customHeight="1">
      <c r="A134" s="9">
        <f>IFERROR(INDEX(基础数据!$B$2:$B$500,ROW(A132)),"")</f>
        <v/>
      </c>
      <c r="B134" s="10">
        <f>IF(A134="","",SUMIFS(每日收货出货登记!$Q:$Q,每日收货出货登记!$D:$D,A134))</f>
        <v/>
      </c>
      <c r="C134" s="10">
        <f>IF(A134="","",SUMIFS(每日收货出货登记!$V:$V,每日收货出货登记!$D:$D,A134))</f>
        <v/>
      </c>
      <c r="D134" s="10">
        <f>IF(A134="","",SUMIFS(每日收货出货登记!$W:$W,每日收货出货登记!$D:$D,A134))</f>
        <v/>
      </c>
      <c r="E134" s="10">
        <f>IF(A134="","",COUNTIFS(每日收货出货登记!$D:$D,A134,每日收货出货登记!$G:$G,"&lt;&gt;"))</f>
        <v/>
      </c>
      <c r="F134" s="10">
        <f>IF(A134="","",COUNTIFS(每日收货出货登记!$D:$D,A134,每日收货出货登记!$W:$W,"&gt;0"))</f>
        <v/>
      </c>
      <c r="G134" s="9">
        <f>IF(A134="","",MAXIFS(每日收货出货登记!$A:$A,每日收货出货登记!$D:$D,A134))</f>
        <v/>
      </c>
    </row>
    <row r="135" ht="22" customHeight="1">
      <c r="A135" s="9">
        <f>IFERROR(INDEX(基础数据!$B$2:$B$500,ROW(A133)),"")</f>
        <v/>
      </c>
      <c r="B135" s="10">
        <f>IF(A135="","",SUMIFS(每日收货出货登记!$Q:$Q,每日收货出货登记!$D:$D,A135))</f>
        <v/>
      </c>
      <c r="C135" s="10">
        <f>IF(A135="","",SUMIFS(每日收货出货登记!$V:$V,每日收货出货登记!$D:$D,A135))</f>
        <v/>
      </c>
      <c r="D135" s="10">
        <f>IF(A135="","",SUMIFS(每日收货出货登记!$W:$W,每日收货出货登记!$D:$D,A135))</f>
        <v/>
      </c>
      <c r="E135" s="10">
        <f>IF(A135="","",COUNTIFS(每日收货出货登记!$D:$D,A135,每日收货出货登记!$G:$G,"&lt;&gt;"))</f>
        <v/>
      </c>
      <c r="F135" s="10">
        <f>IF(A135="","",COUNTIFS(每日收货出货登记!$D:$D,A135,每日收货出货登记!$W:$W,"&gt;0"))</f>
        <v/>
      </c>
      <c r="G135" s="9">
        <f>IF(A135="","",MAXIFS(每日收货出货登记!$A:$A,每日收货出货登记!$D:$D,A135))</f>
        <v/>
      </c>
    </row>
    <row r="136" ht="22" customHeight="1">
      <c r="A136" s="9">
        <f>IFERROR(INDEX(基础数据!$B$2:$B$500,ROW(A134)),"")</f>
        <v/>
      </c>
      <c r="B136" s="10">
        <f>IF(A136="","",SUMIFS(每日收货出货登记!$Q:$Q,每日收货出货登记!$D:$D,A136))</f>
        <v/>
      </c>
      <c r="C136" s="10">
        <f>IF(A136="","",SUMIFS(每日收货出货登记!$V:$V,每日收货出货登记!$D:$D,A136))</f>
        <v/>
      </c>
      <c r="D136" s="10">
        <f>IF(A136="","",SUMIFS(每日收货出货登记!$W:$W,每日收货出货登记!$D:$D,A136))</f>
        <v/>
      </c>
      <c r="E136" s="10">
        <f>IF(A136="","",COUNTIFS(每日收货出货登记!$D:$D,A136,每日收货出货登记!$G:$G,"&lt;&gt;"))</f>
        <v/>
      </c>
      <c r="F136" s="10">
        <f>IF(A136="","",COUNTIFS(每日收货出货登记!$D:$D,A136,每日收货出货登记!$W:$W,"&gt;0"))</f>
        <v/>
      </c>
      <c r="G136" s="9">
        <f>IF(A136="","",MAXIFS(每日收货出货登记!$A:$A,每日收货出货登记!$D:$D,A136))</f>
        <v/>
      </c>
    </row>
    <row r="137" ht="22" customHeight="1">
      <c r="A137" s="9">
        <f>IFERROR(INDEX(基础数据!$B$2:$B$500,ROW(A135)),"")</f>
        <v/>
      </c>
      <c r="B137" s="10">
        <f>IF(A137="","",SUMIFS(每日收货出货登记!$Q:$Q,每日收货出货登记!$D:$D,A137))</f>
        <v/>
      </c>
      <c r="C137" s="10">
        <f>IF(A137="","",SUMIFS(每日收货出货登记!$V:$V,每日收货出货登记!$D:$D,A137))</f>
        <v/>
      </c>
      <c r="D137" s="10">
        <f>IF(A137="","",SUMIFS(每日收货出货登记!$W:$W,每日收货出货登记!$D:$D,A137))</f>
        <v/>
      </c>
      <c r="E137" s="10">
        <f>IF(A137="","",COUNTIFS(每日收货出货登记!$D:$D,A137,每日收货出货登记!$G:$G,"&lt;&gt;"))</f>
        <v/>
      </c>
      <c r="F137" s="10">
        <f>IF(A137="","",COUNTIFS(每日收货出货登记!$D:$D,A137,每日收货出货登记!$W:$W,"&gt;0"))</f>
        <v/>
      </c>
      <c r="G137" s="9">
        <f>IF(A137="","",MAXIFS(每日收货出货登记!$A:$A,每日收货出货登记!$D:$D,A137))</f>
        <v/>
      </c>
    </row>
    <row r="138" ht="22" customHeight="1">
      <c r="A138" s="9">
        <f>IFERROR(INDEX(基础数据!$B$2:$B$500,ROW(A136)),"")</f>
        <v/>
      </c>
      <c r="B138" s="10">
        <f>IF(A138="","",SUMIFS(每日收货出货登记!$Q:$Q,每日收货出货登记!$D:$D,A138))</f>
        <v/>
      </c>
      <c r="C138" s="10">
        <f>IF(A138="","",SUMIFS(每日收货出货登记!$V:$V,每日收货出货登记!$D:$D,A138))</f>
        <v/>
      </c>
      <c r="D138" s="10">
        <f>IF(A138="","",SUMIFS(每日收货出货登记!$W:$W,每日收货出货登记!$D:$D,A138))</f>
        <v/>
      </c>
      <c r="E138" s="10">
        <f>IF(A138="","",COUNTIFS(每日收货出货登记!$D:$D,A138,每日收货出货登记!$G:$G,"&lt;&gt;"))</f>
        <v/>
      </c>
      <c r="F138" s="10">
        <f>IF(A138="","",COUNTIFS(每日收货出货登记!$D:$D,A138,每日收货出货登记!$W:$W,"&gt;0"))</f>
        <v/>
      </c>
      <c r="G138" s="9">
        <f>IF(A138="","",MAXIFS(每日收货出货登记!$A:$A,每日收货出货登记!$D:$D,A138))</f>
        <v/>
      </c>
    </row>
    <row r="139" ht="22" customHeight="1">
      <c r="A139" s="9">
        <f>IFERROR(INDEX(基础数据!$B$2:$B$500,ROW(A137)),"")</f>
        <v/>
      </c>
      <c r="B139" s="10">
        <f>IF(A139="","",SUMIFS(每日收货出货登记!$Q:$Q,每日收货出货登记!$D:$D,A139))</f>
        <v/>
      </c>
      <c r="C139" s="10">
        <f>IF(A139="","",SUMIFS(每日收货出货登记!$V:$V,每日收货出货登记!$D:$D,A139))</f>
        <v/>
      </c>
      <c r="D139" s="10">
        <f>IF(A139="","",SUMIFS(每日收货出货登记!$W:$W,每日收货出货登记!$D:$D,A139))</f>
        <v/>
      </c>
      <c r="E139" s="10">
        <f>IF(A139="","",COUNTIFS(每日收货出货登记!$D:$D,A139,每日收货出货登记!$G:$G,"&lt;&gt;"))</f>
        <v/>
      </c>
      <c r="F139" s="10">
        <f>IF(A139="","",COUNTIFS(每日收货出货登记!$D:$D,A139,每日收货出货登记!$W:$W,"&gt;0"))</f>
        <v/>
      </c>
      <c r="G139" s="9">
        <f>IF(A139="","",MAXIFS(每日收货出货登记!$A:$A,每日收货出货登记!$D:$D,A139))</f>
        <v/>
      </c>
    </row>
    <row r="140" ht="22" customHeight="1">
      <c r="A140" s="9">
        <f>IFERROR(INDEX(基础数据!$B$2:$B$500,ROW(A138)),"")</f>
        <v/>
      </c>
      <c r="B140" s="10">
        <f>IF(A140="","",SUMIFS(每日收货出货登记!$Q:$Q,每日收货出货登记!$D:$D,A140))</f>
        <v/>
      </c>
      <c r="C140" s="10">
        <f>IF(A140="","",SUMIFS(每日收货出货登记!$V:$V,每日收货出货登记!$D:$D,A140))</f>
        <v/>
      </c>
      <c r="D140" s="10">
        <f>IF(A140="","",SUMIFS(每日收货出货登记!$W:$W,每日收货出货登记!$D:$D,A140))</f>
        <v/>
      </c>
      <c r="E140" s="10">
        <f>IF(A140="","",COUNTIFS(每日收货出货登记!$D:$D,A140,每日收货出货登记!$G:$G,"&lt;&gt;"))</f>
        <v/>
      </c>
      <c r="F140" s="10">
        <f>IF(A140="","",COUNTIFS(每日收货出货登记!$D:$D,A140,每日收货出货登记!$W:$W,"&gt;0"))</f>
        <v/>
      </c>
      <c r="G140" s="9">
        <f>IF(A140="","",MAXIFS(每日收货出货登记!$A:$A,每日收货出货登记!$D:$D,A140))</f>
        <v/>
      </c>
    </row>
    <row r="141" ht="22" customHeight="1">
      <c r="A141" s="9">
        <f>IFERROR(INDEX(基础数据!$B$2:$B$500,ROW(A139)),"")</f>
        <v/>
      </c>
      <c r="B141" s="10">
        <f>IF(A141="","",SUMIFS(每日收货出货登记!$Q:$Q,每日收货出货登记!$D:$D,A141))</f>
        <v/>
      </c>
      <c r="C141" s="10">
        <f>IF(A141="","",SUMIFS(每日收货出货登记!$V:$V,每日收货出货登记!$D:$D,A141))</f>
        <v/>
      </c>
      <c r="D141" s="10">
        <f>IF(A141="","",SUMIFS(每日收货出货登记!$W:$W,每日收货出货登记!$D:$D,A141))</f>
        <v/>
      </c>
      <c r="E141" s="10">
        <f>IF(A141="","",COUNTIFS(每日收货出货登记!$D:$D,A141,每日收货出货登记!$G:$G,"&lt;&gt;"))</f>
        <v/>
      </c>
      <c r="F141" s="10">
        <f>IF(A141="","",COUNTIFS(每日收货出货登记!$D:$D,A141,每日收货出货登记!$W:$W,"&gt;0"))</f>
        <v/>
      </c>
      <c r="G141" s="9">
        <f>IF(A141="","",MAXIFS(每日收货出货登记!$A:$A,每日收货出货登记!$D:$D,A141))</f>
        <v/>
      </c>
    </row>
    <row r="142" ht="22" customHeight="1">
      <c r="A142" s="9">
        <f>IFERROR(INDEX(基础数据!$B$2:$B$500,ROW(A140)),"")</f>
        <v/>
      </c>
      <c r="B142" s="10">
        <f>IF(A142="","",SUMIFS(每日收货出货登记!$Q:$Q,每日收货出货登记!$D:$D,A142))</f>
        <v/>
      </c>
      <c r="C142" s="10">
        <f>IF(A142="","",SUMIFS(每日收货出货登记!$V:$V,每日收货出货登记!$D:$D,A142))</f>
        <v/>
      </c>
      <c r="D142" s="10">
        <f>IF(A142="","",SUMIFS(每日收货出货登记!$W:$W,每日收货出货登记!$D:$D,A142))</f>
        <v/>
      </c>
      <c r="E142" s="10">
        <f>IF(A142="","",COUNTIFS(每日收货出货登记!$D:$D,A142,每日收货出货登记!$G:$G,"&lt;&gt;"))</f>
        <v/>
      </c>
      <c r="F142" s="10">
        <f>IF(A142="","",COUNTIFS(每日收货出货登记!$D:$D,A142,每日收货出货登记!$W:$W,"&gt;0"))</f>
        <v/>
      </c>
      <c r="G142" s="9">
        <f>IF(A142="","",MAXIFS(每日收货出货登记!$A:$A,每日收货出货登记!$D:$D,A142))</f>
        <v/>
      </c>
    </row>
    <row r="143" ht="22" customHeight="1">
      <c r="A143" s="9">
        <f>IFERROR(INDEX(基础数据!$B$2:$B$500,ROW(A141)),"")</f>
        <v/>
      </c>
      <c r="B143" s="10">
        <f>IF(A143="","",SUMIFS(每日收货出货登记!$Q:$Q,每日收货出货登记!$D:$D,A143))</f>
        <v/>
      </c>
      <c r="C143" s="10">
        <f>IF(A143="","",SUMIFS(每日收货出货登记!$V:$V,每日收货出货登记!$D:$D,A143))</f>
        <v/>
      </c>
      <c r="D143" s="10">
        <f>IF(A143="","",SUMIFS(每日收货出货登记!$W:$W,每日收货出货登记!$D:$D,A143))</f>
        <v/>
      </c>
      <c r="E143" s="10">
        <f>IF(A143="","",COUNTIFS(每日收货出货登记!$D:$D,A143,每日收货出货登记!$G:$G,"&lt;&gt;"))</f>
        <v/>
      </c>
      <c r="F143" s="10">
        <f>IF(A143="","",COUNTIFS(每日收货出货登记!$D:$D,A143,每日收货出货登记!$W:$W,"&gt;0"))</f>
        <v/>
      </c>
      <c r="G143" s="9">
        <f>IF(A143="","",MAXIFS(每日收货出货登记!$A:$A,每日收货出货登记!$D:$D,A143))</f>
        <v/>
      </c>
    </row>
    <row r="144" ht="22" customHeight="1">
      <c r="A144" s="9">
        <f>IFERROR(INDEX(基础数据!$B$2:$B$500,ROW(A142)),"")</f>
        <v/>
      </c>
      <c r="B144" s="10">
        <f>IF(A144="","",SUMIFS(每日收货出货登记!$Q:$Q,每日收货出货登记!$D:$D,A144))</f>
        <v/>
      </c>
      <c r="C144" s="10">
        <f>IF(A144="","",SUMIFS(每日收货出货登记!$V:$V,每日收货出货登记!$D:$D,A144))</f>
        <v/>
      </c>
      <c r="D144" s="10">
        <f>IF(A144="","",SUMIFS(每日收货出货登记!$W:$W,每日收货出货登记!$D:$D,A144))</f>
        <v/>
      </c>
      <c r="E144" s="10">
        <f>IF(A144="","",COUNTIFS(每日收货出货登记!$D:$D,A144,每日收货出货登记!$G:$G,"&lt;&gt;"))</f>
        <v/>
      </c>
      <c r="F144" s="10">
        <f>IF(A144="","",COUNTIFS(每日收货出货登记!$D:$D,A144,每日收货出货登记!$W:$W,"&gt;0"))</f>
        <v/>
      </c>
      <c r="G144" s="9">
        <f>IF(A144="","",MAXIFS(每日收货出货登记!$A:$A,每日收货出货登记!$D:$D,A144))</f>
        <v/>
      </c>
    </row>
    <row r="145" ht="22" customHeight="1">
      <c r="A145" s="9">
        <f>IFERROR(INDEX(基础数据!$B$2:$B$500,ROW(A143)),"")</f>
        <v/>
      </c>
      <c r="B145" s="10">
        <f>IF(A145="","",SUMIFS(每日收货出货登记!$Q:$Q,每日收货出货登记!$D:$D,A145))</f>
        <v/>
      </c>
      <c r="C145" s="10">
        <f>IF(A145="","",SUMIFS(每日收货出货登记!$V:$V,每日收货出货登记!$D:$D,A145))</f>
        <v/>
      </c>
      <c r="D145" s="10">
        <f>IF(A145="","",SUMIFS(每日收货出货登记!$W:$W,每日收货出货登记!$D:$D,A145))</f>
        <v/>
      </c>
      <c r="E145" s="10">
        <f>IF(A145="","",COUNTIFS(每日收货出货登记!$D:$D,A145,每日收货出货登记!$G:$G,"&lt;&gt;"))</f>
        <v/>
      </c>
      <c r="F145" s="10">
        <f>IF(A145="","",COUNTIFS(每日收货出货登记!$D:$D,A145,每日收货出货登记!$W:$W,"&gt;0"))</f>
        <v/>
      </c>
      <c r="G145" s="9">
        <f>IF(A145="","",MAXIFS(每日收货出货登记!$A:$A,每日收货出货登记!$D:$D,A145))</f>
        <v/>
      </c>
    </row>
    <row r="146" ht="22" customHeight="1">
      <c r="A146" s="9">
        <f>IFERROR(INDEX(基础数据!$B$2:$B$500,ROW(A144)),"")</f>
        <v/>
      </c>
      <c r="B146" s="10">
        <f>IF(A146="","",SUMIFS(每日收货出货登记!$Q:$Q,每日收货出货登记!$D:$D,A146))</f>
        <v/>
      </c>
      <c r="C146" s="10">
        <f>IF(A146="","",SUMIFS(每日收货出货登记!$V:$V,每日收货出货登记!$D:$D,A146))</f>
        <v/>
      </c>
      <c r="D146" s="10">
        <f>IF(A146="","",SUMIFS(每日收货出货登记!$W:$W,每日收货出货登记!$D:$D,A146))</f>
        <v/>
      </c>
      <c r="E146" s="10">
        <f>IF(A146="","",COUNTIFS(每日收货出货登记!$D:$D,A146,每日收货出货登记!$G:$G,"&lt;&gt;"))</f>
        <v/>
      </c>
      <c r="F146" s="10">
        <f>IF(A146="","",COUNTIFS(每日收货出货登记!$D:$D,A146,每日收货出货登记!$W:$W,"&gt;0"))</f>
        <v/>
      </c>
      <c r="G146" s="9">
        <f>IF(A146="","",MAXIFS(每日收货出货登记!$A:$A,每日收货出货登记!$D:$D,A146))</f>
        <v/>
      </c>
    </row>
    <row r="147" ht="22" customHeight="1">
      <c r="A147" s="9">
        <f>IFERROR(INDEX(基础数据!$B$2:$B$500,ROW(A145)),"")</f>
        <v/>
      </c>
      <c r="B147" s="10">
        <f>IF(A147="","",SUMIFS(每日收货出货登记!$Q:$Q,每日收货出货登记!$D:$D,A147))</f>
        <v/>
      </c>
      <c r="C147" s="10">
        <f>IF(A147="","",SUMIFS(每日收货出货登记!$V:$V,每日收货出货登记!$D:$D,A147))</f>
        <v/>
      </c>
      <c r="D147" s="10">
        <f>IF(A147="","",SUMIFS(每日收货出货登记!$W:$W,每日收货出货登记!$D:$D,A147))</f>
        <v/>
      </c>
      <c r="E147" s="10">
        <f>IF(A147="","",COUNTIFS(每日收货出货登记!$D:$D,A147,每日收货出货登记!$G:$G,"&lt;&gt;"))</f>
        <v/>
      </c>
      <c r="F147" s="10">
        <f>IF(A147="","",COUNTIFS(每日收货出货登记!$D:$D,A147,每日收货出货登记!$W:$W,"&gt;0"))</f>
        <v/>
      </c>
      <c r="G147" s="9">
        <f>IF(A147="","",MAXIFS(每日收货出货登记!$A:$A,每日收货出货登记!$D:$D,A147))</f>
        <v/>
      </c>
    </row>
    <row r="148" ht="22" customHeight="1">
      <c r="A148" s="9">
        <f>IFERROR(INDEX(基础数据!$B$2:$B$500,ROW(A146)),"")</f>
        <v/>
      </c>
      <c r="B148" s="10">
        <f>IF(A148="","",SUMIFS(每日收货出货登记!$Q:$Q,每日收货出货登记!$D:$D,A148))</f>
        <v/>
      </c>
      <c r="C148" s="10">
        <f>IF(A148="","",SUMIFS(每日收货出货登记!$V:$V,每日收货出货登记!$D:$D,A148))</f>
        <v/>
      </c>
      <c r="D148" s="10">
        <f>IF(A148="","",SUMIFS(每日收货出货登记!$W:$W,每日收货出货登记!$D:$D,A148))</f>
        <v/>
      </c>
      <c r="E148" s="10">
        <f>IF(A148="","",COUNTIFS(每日收货出货登记!$D:$D,A148,每日收货出货登记!$G:$G,"&lt;&gt;"))</f>
        <v/>
      </c>
      <c r="F148" s="10">
        <f>IF(A148="","",COUNTIFS(每日收货出货登记!$D:$D,A148,每日收货出货登记!$W:$W,"&gt;0"))</f>
        <v/>
      </c>
      <c r="G148" s="9">
        <f>IF(A148="","",MAXIFS(每日收货出货登记!$A:$A,每日收货出货登记!$D:$D,A148))</f>
        <v/>
      </c>
    </row>
    <row r="149" ht="22" customHeight="1">
      <c r="A149" s="9">
        <f>IFERROR(INDEX(基础数据!$B$2:$B$500,ROW(A147)),"")</f>
        <v/>
      </c>
      <c r="B149" s="10">
        <f>IF(A149="","",SUMIFS(每日收货出货登记!$Q:$Q,每日收货出货登记!$D:$D,A149))</f>
        <v/>
      </c>
      <c r="C149" s="10">
        <f>IF(A149="","",SUMIFS(每日收货出货登记!$V:$V,每日收货出货登记!$D:$D,A149))</f>
        <v/>
      </c>
      <c r="D149" s="10">
        <f>IF(A149="","",SUMIFS(每日收货出货登记!$W:$W,每日收货出货登记!$D:$D,A149))</f>
        <v/>
      </c>
      <c r="E149" s="10">
        <f>IF(A149="","",COUNTIFS(每日收货出货登记!$D:$D,A149,每日收货出货登记!$G:$G,"&lt;&gt;"))</f>
        <v/>
      </c>
      <c r="F149" s="10">
        <f>IF(A149="","",COUNTIFS(每日收货出货登记!$D:$D,A149,每日收货出货登记!$W:$W,"&gt;0"))</f>
        <v/>
      </c>
      <c r="G149" s="9">
        <f>IF(A149="","",MAXIFS(每日收货出货登记!$A:$A,每日收货出货登记!$D:$D,A149))</f>
        <v/>
      </c>
    </row>
    <row r="150" ht="22" customHeight="1">
      <c r="A150" s="9">
        <f>IFERROR(INDEX(基础数据!$B$2:$B$500,ROW(A148)),"")</f>
        <v/>
      </c>
      <c r="B150" s="10">
        <f>IF(A150="","",SUMIFS(每日收货出货登记!$Q:$Q,每日收货出货登记!$D:$D,A150))</f>
        <v/>
      </c>
      <c r="C150" s="10">
        <f>IF(A150="","",SUMIFS(每日收货出货登记!$V:$V,每日收货出货登记!$D:$D,A150))</f>
        <v/>
      </c>
      <c r="D150" s="10">
        <f>IF(A150="","",SUMIFS(每日收货出货登记!$W:$W,每日收货出货登记!$D:$D,A150))</f>
        <v/>
      </c>
      <c r="E150" s="10">
        <f>IF(A150="","",COUNTIFS(每日收货出货登记!$D:$D,A150,每日收货出货登记!$G:$G,"&lt;&gt;"))</f>
        <v/>
      </c>
      <c r="F150" s="10">
        <f>IF(A150="","",COUNTIFS(每日收货出货登记!$D:$D,A150,每日收货出货登记!$W:$W,"&gt;0"))</f>
        <v/>
      </c>
      <c r="G150" s="9">
        <f>IF(A150="","",MAXIFS(每日收货出货登记!$A:$A,每日收货出货登记!$D:$D,A150))</f>
        <v/>
      </c>
    </row>
    <row r="151" ht="22" customHeight="1">
      <c r="A151" s="9">
        <f>IFERROR(INDEX(基础数据!$B$2:$B$500,ROW(A149)),"")</f>
        <v/>
      </c>
      <c r="B151" s="10">
        <f>IF(A151="","",SUMIFS(每日收货出货登记!$Q:$Q,每日收货出货登记!$D:$D,A151))</f>
        <v/>
      </c>
      <c r="C151" s="10">
        <f>IF(A151="","",SUMIFS(每日收货出货登记!$V:$V,每日收货出货登记!$D:$D,A151))</f>
        <v/>
      </c>
      <c r="D151" s="10">
        <f>IF(A151="","",SUMIFS(每日收货出货登记!$W:$W,每日收货出货登记!$D:$D,A151))</f>
        <v/>
      </c>
      <c r="E151" s="10">
        <f>IF(A151="","",COUNTIFS(每日收货出货登记!$D:$D,A151,每日收货出货登记!$G:$G,"&lt;&gt;"))</f>
        <v/>
      </c>
      <c r="F151" s="10">
        <f>IF(A151="","",COUNTIFS(每日收货出货登记!$D:$D,A151,每日收货出货登记!$W:$W,"&gt;0"))</f>
        <v/>
      </c>
      <c r="G151" s="9">
        <f>IF(A151="","",MAXIFS(每日收货出货登记!$A:$A,每日收货出货登记!$D:$D,A151))</f>
        <v/>
      </c>
    </row>
    <row r="152" ht="22" customHeight="1">
      <c r="A152" s="9">
        <f>IFERROR(INDEX(基础数据!$B$2:$B$500,ROW(A150)),"")</f>
        <v/>
      </c>
      <c r="B152" s="10">
        <f>IF(A152="","",SUMIFS(每日收货出货登记!$Q:$Q,每日收货出货登记!$D:$D,A152))</f>
        <v/>
      </c>
      <c r="C152" s="10">
        <f>IF(A152="","",SUMIFS(每日收货出货登记!$V:$V,每日收货出货登记!$D:$D,A152))</f>
        <v/>
      </c>
      <c r="D152" s="10">
        <f>IF(A152="","",SUMIFS(每日收货出货登记!$W:$W,每日收货出货登记!$D:$D,A152))</f>
        <v/>
      </c>
      <c r="E152" s="10">
        <f>IF(A152="","",COUNTIFS(每日收货出货登记!$D:$D,A152,每日收货出货登记!$G:$G,"&lt;&gt;"))</f>
        <v/>
      </c>
      <c r="F152" s="10">
        <f>IF(A152="","",COUNTIFS(每日收货出货登记!$D:$D,A152,每日收货出货登记!$W:$W,"&gt;0"))</f>
        <v/>
      </c>
      <c r="G152" s="9">
        <f>IF(A152="","",MAXIFS(每日收货出货登记!$A:$A,每日收货出货登记!$D:$D,A152))</f>
        <v/>
      </c>
    </row>
    <row r="153" ht="22" customHeight="1">
      <c r="A153" s="9">
        <f>IFERROR(INDEX(基础数据!$B$2:$B$500,ROW(A151)),"")</f>
        <v/>
      </c>
      <c r="B153" s="10">
        <f>IF(A153="","",SUMIFS(每日收货出货登记!$Q:$Q,每日收货出货登记!$D:$D,A153))</f>
        <v/>
      </c>
      <c r="C153" s="10">
        <f>IF(A153="","",SUMIFS(每日收货出货登记!$V:$V,每日收货出货登记!$D:$D,A153))</f>
        <v/>
      </c>
      <c r="D153" s="10">
        <f>IF(A153="","",SUMIFS(每日收货出货登记!$W:$W,每日收货出货登记!$D:$D,A153))</f>
        <v/>
      </c>
      <c r="E153" s="10">
        <f>IF(A153="","",COUNTIFS(每日收货出货登记!$D:$D,A153,每日收货出货登记!$G:$G,"&lt;&gt;"))</f>
        <v/>
      </c>
      <c r="F153" s="10">
        <f>IF(A153="","",COUNTIFS(每日收货出货登记!$D:$D,A153,每日收货出货登记!$W:$W,"&gt;0"))</f>
        <v/>
      </c>
      <c r="G153" s="9">
        <f>IF(A153="","",MAXIFS(每日收货出货登记!$A:$A,每日收货出货登记!$D:$D,A153))</f>
        <v/>
      </c>
    </row>
    <row r="154" ht="22" customHeight="1">
      <c r="A154" s="9">
        <f>IFERROR(INDEX(基础数据!$B$2:$B$500,ROW(A152)),"")</f>
        <v/>
      </c>
      <c r="B154" s="10">
        <f>IF(A154="","",SUMIFS(每日收货出货登记!$Q:$Q,每日收货出货登记!$D:$D,A154))</f>
        <v/>
      </c>
      <c r="C154" s="10">
        <f>IF(A154="","",SUMIFS(每日收货出货登记!$V:$V,每日收货出货登记!$D:$D,A154))</f>
        <v/>
      </c>
      <c r="D154" s="10">
        <f>IF(A154="","",SUMIFS(每日收货出货登记!$W:$W,每日收货出货登记!$D:$D,A154))</f>
        <v/>
      </c>
      <c r="E154" s="10">
        <f>IF(A154="","",COUNTIFS(每日收货出货登记!$D:$D,A154,每日收货出货登记!$G:$G,"&lt;&gt;"))</f>
        <v/>
      </c>
      <c r="F154" s="10">
        <f>IF(A154="","",COUNTIFS(每日收货出货登记!$D:$D,A154,每日收货出货登记!$W:$W,"&gt;0"))</f>
        <v/>
      </c>
      <c r="G154" s="9">
        <f>IF(A154="","",MAXIFS(每日收货出货登记!$A:$A,每日收货出货登记!$D:$D,A154))</f>
        <v/>
      </c>
    </row>
    <row r="155" ht="22" customHeight="1">
      <c r="A155" s="9">
        <f>IFERROR(INDEX(基础数据!$B$2:$B$500,ROW(A153)),"")</f>
        <v/>
      </c>
      <c r="B155" s="10">
        <f>IF(A155="","",SUMIFS(每日收货出货登记!$Q:$Q,每日收货出货登记!$D:$D,A155))</f>
        <v/>
      </c>
      <c r="C155" s="10">
        <f>IF(A155="","",SUMIFS(每日收货出货登记!$V:$V,每日收货出货登记!$D:$D,A155))</f>
        <v/>
      </c>
      <c r="D155" s="10">
        <f>IF(A155="","",SUMIFS(每日收货出货登记!$W:$W,每日收货出货登记!$D:$D,A155))</f>
        <v/>
      </c>
      <c r="E155" s="10">
        <f>IF(A155="","",COUNTIFS(每日收货出货登记!$D:$D,A155,每日收货出货登记!$G:$G,"&lt;&gt;"))</f>
        <v/>
      </c>
      <c r="F155" s="10">
        <f>IF(A155="","",COUNTIFS(每日收货出货登记!$D:$D,A155,每日收货出货登记!$W:$W,"&gt;0"))</f>
        <v/>
      </c>
      <c r="G155" s="9">
        <f>IF(A155="","",MAXIFS(每日收货出货登记!$A:$A,每日收货出货登记!$D:$D,A155))</f>
        <v/>
      </c>
    </row>
    <row r="156" ht="22" customHeight="1">
      <c r="A156" s="9">
        <f>IFERROR(INDEX(基础数据!$B$2:$B$500,ROW(A154)),"")</f>
        <v/>
      </c>
      <c r="B156" s="10">
        <f>IF(A156="","",SUMIFS(每日收货出货登记!$Q:$Q,每日收货出货登记!$D:$D,A156))</f>
        <v/>
      </c>
      <c r="C156" s="10">
        <f>IF(A156="","",SUMIFS(每日收货出货登记!$V:$V,每日收货出货登记!$D:$D,A156))</f>
        <v/>
      </c>
      <c r="D156" s="10">
        <f>IF(A156="","",SUMIFS(每日收货出货登记!$W:$W,每日收货出货登记!$D:$D,A156))</f>
        <v/>
      </c>
      <c r="E156" s="10">
        <f>IF(A156="","",COUNTIFS(每日收货出货登记!$D:$D,A156,每日收货出货登记!$G:$G,"&lt;&gt;"))</f>
        <v/>
      </c>
      <c r="F156" s="10">
        <f>IF(A156="","",COUNTIFS(每日收货出货登记!$D:$D,A156,每日收货出货登记!$W:$W,"&gt;0"))</f>
        <v/>
      </c>
      <c r="G156" s="9">
        <f>IF(A156="","",MAXIFS(每日收货出货登记!$A:$A,每日收货出货登记!$D:$D,A156))</f>
        <v/>
      </c>
    </row>
    <row r="157" ht="22" customHeight="1">
      <c r="A157" s="9">
        <f>IFERROR(INDEX(基础数据!$B$2:$B$500,ROW(A155)),"")</f>
        <v/>
      </c>
      <c r="B157" s="10">
        <f>IF(A157="","",SUMIFS(每日收货出货登记!$Q:$Q,每日收货出货登记!$D:$D,A157))</f>
        <v/>
      </c>
      <c r="C157" s="10">
        <f>IF(A157="","",SUMIFS(每日收货出货登记!$V:$V,每日收货出货登记!$D:$D,A157))</f>
        <v/>
      </c>
      <c r="D157" s="10">
        <f>IF(A157="","",SUMIFS(每日收货出货登记!$W:$W,每日收货出货登记!$D:$D,A157))</f>
        <v/>
      </c>
      <c r="E157" s="10">
        <f>IF(A157="","",COUNTIFS(每日收货出货登记!$D:$D,A157,每日收货出货登记!$G:$G,"&lt;&gt;"))</f>
        <v/>
      </c>
      <c r="F157" s="10">
        <f>IF(A157="","",COUNTIFS(每日收货出货登记!$D:$D,A157,每日收货出货登记!$W:$W,"&gt;0"))</f>
        <v/>
      </c>
      <c r="G157" s="9">
        <f>IF(A157="","",MAXIFS(每日收货出货登记!$A:$A,每日收货出货登记!$D:$D,A157))</f>
        <v/>
      </c>
    </row>
    <row r="158" ht="22" customHeight="1">
      <c r="A158" s="9">
        <f>IFERROR(INDEX(基础数据!$B$2:$B$500,ROW(A156)),"")</f>
        <v/>
      </c>
      <c r="B158" s="10">
        <f>IF(A158="","",SUMIFS(每日收货出货登记!$Q:$Q,每日收货出货登记!$D:$D,A158))</f>
        <v/>
      </c>
      <c r="C158" s="10">
        <f>IF(A158="","",SUMIFS(每日收货出货登记!$V:$V,每日收货出货登记!$D:$D,A158))</f>
        <v/>
      </c>
      <c r="D158" s="10">
        <f>IF(A158="","",SUMIFS(每日收货出货登记!$W:$W,每日收货出货登记!$D:$D,A158))</f>
        <v/>
      </c>
      <c r="E158" s="10">
        <f>IF(A158="","",COUNTIFS(每日收货出货登记!$D:$D,A158,每日收货出货登记!$G:$G,"&lt;&gt;"))</f>
        <v/>
      </c>
      <c r="F158" s="10">
        <f>IF(A158="","",COUNTIFS(每日收货出货登记!$D:$D,A158,每日收货出货登记!$W:$W,"&gt;0"))</f>
        <v/>
      </c>
      <c r="G158" s="9">
        <f>IF(A158="","",MAXIFS(每日收货出货登记!$A:$A,每日收货出货登记!$D:$D,A158))</f>
        <v/>
      </c>
    </row>
    <row r="159" ht="22" customHeight="1">
      <c r="A159" s="9">
        <f>IFERROR(INDEX(基础数据!$B$2:$B$500,ROW(A157)),"")</f>
        <v/>
      </c>
      <c r="B159" s="10">
        <f>IF(A159="","",SUMIFS(每日收货出货登记!$Q:$Q,每日收货出货登记!$D:$D,A159))</f>
        <v/>
      </c>
      <c r="C159" s="10">
        <f>IF(A159="","",SUMIFS(每日收货出货登记!$V:$V,每日收货出货登记!$D:$D,A159))</f>
        <v/>
      </c>
      <c r="D159" s="10">
        <f>IF(A159="","",SUMIFS(每日收货出货登记!$W:$W,每日收货出货登记!$D:$D,A159))</f>
        <v/>
      </c>
      <c r="E159" s="10">
        <f>IF(A159="","",COUNTIFS(每日收货出货登记!$D:$D,A159,每日收货出货登记!$G:$G,"&lt;&gt;"))</f>
        <v/>
      </c>
      <c r="F159" s="10">
        <f>IF(A159="","",COUNTIFS(每日收货出货登记!$D:$D,A159,每日收货出货登记!$W:$W,"&gt;0"))</f>
        <v/>
      </c>
      <c r="G159" s="9">
        <f>IF(A159="","",MAXIFS(每日收货出货登记!$A:$A,每日收货出货登记!$D:$D,A159))</f>
        <v/>
      </c>
    </row>
    <row r="160" ht="22" customHeight="1">
      <c r="A160" s="9">
        <f>IFERROR(INDEX(基础数据!$B$2:$B$500,ROW(A158)),"")</f>
        <v/>
      </c>
      <c r="B160" s="10">
        <f>IF(A160="","",SUMIFS(每日收货出货登记!$Q:$Q,每日收货出货登记!$D:$D,A160))</f>
        <v/>
      </c>
      <c r="C160" s="10">
        <f>IF(A160="","",SUMIFS(每日收货出货登记!$V:$V,每日收货出货登记!$D:$D,A160))</f>
        <v/>
      </c>
      <c r="D160" s="10">
        <f>IF(A160="","",SUMIFS(每日收货出货登记!$W:$W,每日收货出货登记!$D:$D,A160))</f>
        <v/>
      </c>
      <c r="E160" s="10">
        <f>IF(A160="","",COUNTIFS(每日收货出货登记!$D:$D,A160,每日收货出货登记!$G:$G,"&lt;&gt;"))</f>
        <v/>
      </c>
      <c r="F160" s="10">
        <f>IF(A160="","",COUNTIFS(每日收货出货登记!$D:$D,A160,每日收货出货登记!$W:$W,"&gt;0"))</f>
        <v/>
      </c>
      <c r="G160" s="9">
        <f>IF(A160="","",MAXIFS(每日收货出货登记!$A:$A,每日收货出货登记!$D:$D,A160))</f>
        <v/>
      </c>
    </row>
    <row r="161" ht="22" customHeight="1">
      <c r="A161" s="9">
        <f>IFERROR(INDEX(基础数据!$B$2:$B$500,ROW(A159)),"")</f>
        <v/>
      </c>
      <c r="B161" s="10">
        <f>IF(A161="","",SUMIFS(每日收货出货登记!$Q:$Q,每日收货出货登记!$D:$D,A161))</f>
        <v/>
      </c>
      <c r="C161" s="10">
        <f>IF(A161="","",SUMIFS(每日收货出货登记!$V:$V,每日收货出货登记!$D:$D,A161))</f>
        <v/>
      </c>
      <c r="D161" s="10">
        <f>IF(A161="","",SUMIFS(每日收货出货登记!$W:$W,每日收货出货登记!$D:$D,A161))</f>
        <v/>
      </c>
      <c r="E161" s="10">
        <f>IF(A161="","",COUNTIFS(每日收货出货登记!$D:$D,A161,每日收货出货登记!$G:$G,"&lt;&gt;"))</f>
        <v/>
      </c>
      <c r="F161" s="10">
        <f>IF(A161="","",COUNTIFS(每日收货出货登记!$D:$D,A161,每日收货出货登记!$W:$W,"&gt;0"))</f>
        <v/>
      </c>
      <c r="G161" s="9">
        <f>IF(A161="","",MAXIFS(每日收货出货登记!$A:$A,每日收货出货登记!$D:$D,A161))</f>
        <v/>
      </c>
    </row>
    <row r="162" ht="22" customHeight="1">
      <c r="A162" s="9">
        <f>IFERROR(INDEX(基础数据!$B$2:$B$500,ROW(A160)),"")</f>
        <v/>
      </c>
      <c r="B162" s="10">
        <f>IF(A162="","",SUMIFS(每日收货出货登记!$Q:$Q,每日收货出货登记!$D:$D,A162))</f>
        <v/>
      </c>
      <c r="C162" s="10">
        <f>IF(A162="","",SUMIFS(每日收货出货登记!$V:$V,每日收货出货登记!$D:$D,A162))</f>
        <v/>
      </c>
      <c r="D162" s="10">
        <f>IF(A162="","",SUMIFS(每日收货出货登记!$W:$W,每日收货出货登记!$D:$D,A162))</f>
        <v/>
      </c>
      <c r="E162" s="10">
        <f>IF(A162="","",COUNTIFS(每日收货出货登记!$D:$D,A162,每日收货出货登记!$G:$G,"&lt;&gt;"))</f>
        <v/>
      </c>
      <c r="F162" s="10">
        <f>IF(A162="","",COUNTIFS(每日收货出货登记!$D:$D,A162,每日收货出货登记!$W:$W,"&gt;0"))</f>
        <v/>
      </c>
      <c r="G162" s="9">
        <f>IF(A162="","",MAXIFS(每日收货出货登记!$A:$A,每日收货出货登记!$D:$D,A162))</f>
        <v/>
      </c>
    </row>
    <row r="163" ht="22" customHeight="1">
      <c r="A163" s="9">
        <f>IFERROR(INDEX(基础数据!$B$2:$B$500,ROW(A161)),"")</f>
        <v/>
      </c>
      <c r="B163" s="10">
        <f>IF(A163="","",SUMIFS(每日收货出货登记!$Q:$Q,每日收货出货登记!$D:$D,A163))</f>
        <v/>
      </c>
      <c r="C163" s="10">
        <f>IF(A163="","",SUMIFS(每日收货出货登记!$V:$V,每日收货出货登记!$D:$D,A163))</f>
        <v/>
      </c>
      <c r="D163" s="10">
        <f>IF(A163="","",SUMIFS(每日收货出货登记!$W:$W,每日收货出货登记!$D:$D,A163))</f>
        <v/>
      </c>
      <c r="E163" s="10">
        <f>IF(A163="","",COUNTIFS(每日收货出货登记!$D:$D,A163,每日收货出货登记!$G:$G,"&lt;&gt;"))</f>
        <v/>
      </c>
      <c r="F163" s="10">
        <f>IF(A163="","",COUNTIFS(每日收货出货登记!$D:$D,A163,每日收货出货登记!$W:$W,"&gt;0"))</f>
        <v/>
      </c>
      <c r="G163" s="9">
        <f>IF(A163="","",MAXIFS(每日收货出货登记!$A:$A,每日收货出货登记!$D:$D,A163))</f>
        <v/>
      </c>
    </row>
    <row r="164" ht="22" customHeight="1">
      <c r="A164" s="9">
        <f>IFERROR(INDEX(基础数据!$B$2:$B$500,ROW(A162)),"")</f>
        <v/>
      </c>
      <c r="B164" s="10">
        <f>IF(A164="","",SUMIFS(每日收货出货登记!$Q:$Q,每日收货出货登记!$D:$D,A164))</f>
        <v/>
      </c>
      <c r="C164" s="10">
        <f>IF(A164="","",SUMIFS(每日收货出货登记!$V:$V,每日收货出货登记!$D:$D,A164))</f>
        <v/>
      </c>
      <c r="D164" s="10">
        <f>IF(A164="","",SUMIFS(每日收货出货登记!$W:$W,每日收货出货登记!$D:$D,A164))</f>
        <v/>
      </c>
      <c r="E164" s="10">
        <f>IF(A164="","",COUNTIFS(每日收货出货登记!$D:$D,A164,每日收货出货登记!$G:$G,"&lt;&gt;"))</f>
        <v/>
      </c>
      <c r="F164" s="10">
        <f>IF(A164="","",COUNTIFS(每日收货出货登记!$D:$D,A164,每日收货出货登记!$W:$W,"&gt;0"))</f>
        <v/>
      </c>
      <c r="G164" s="9">
        <f>IF(A164="","",MAXIFS(每日收货出货登记!$A:$A,每日收货出货登记!$D:$D,A164))</f>
        <v/>
      </c>
    </row>
    <row r="165" ht="22" customHeight="1">
      <c r="A165" s="9">
        <f>IFERROR(INDEX(基础数据!$B$2:$B$500,ROW(A163)),"")</f>
        <v/>
      </c>
      <c r="B165" s="10">
        <f>IF(A165="","",SUMIFS(每日收货出货登记!$Q:$Q,每日收货出货登记!$D:$D,A165))</f>
        <v/>
      </c>
      <c r="C165" s="10">
        <f>IF(A165="","",SUMIFS(每日收货出货登记!$V:$V,每日收货出货登记!$D:$D,A165))</f>
        <v/>
      </c>
      <c r="D165" s="10">
        <f>IF(A165="","",SUMIFS(每日收货出货登记!$W:$W,每日收货出货登记!$D:$D,A165))</f>
        <v/>
      </c>
      <c r="E165" s="10">
        <f>IF(A165="","",COUNTIFS(每日收货出货登记!$D:$D,A165,每日收货出货登记!$G:$G,"&lt;&gt;"))</f>
        <v/>
      </c>
      <c r="F165" s="10">
        <f>IF(A165="","",COUNTIFS(每日收货出货登记!$D:$D,A165,每日收货出货登记!$W:$W,"&gt;0"))</f>
        <v/>
      </c>
      <c r="G165" s="9">
        <f>IF(A165="","",MAXIFS(每日收货出货登记!$A:$A,每日收货出货登记!$D:$D,A165))</f>
        <v/>
      </c>
    </row>
    <row r="166" ht="22" customHeight="1">
      <c r="A166" s="9">
        <f>IFERROR(INDEX(基础数据!$B$2:$B$500,ROW(A164)),"")</f>
        <v/>
      </c>
      <c r="B166" s="10">
        <f>IF(A166="","",SUMIFS(每日收货出货登记!$Q:$Q,每日收货出货登记!$D:$D,A166))</f>
        <v/>
      </c>
      <c r="C166" s="10">
        <f>IF(A166="","",SUMIFS(每日收货出货登记!$V:$V,每日收货出货登记!$D:$D,A166))</f>
        <v/>
      </c>
      <c r="D166" s="10">
        <f>IF(A166="","",SUMIFS(每日收货出货登记!$W:$W,每日收货出货登记!$D:$D,A166))</f>
        <v/>
      </c>
      <c r="E166" s="10">
        <f>IF(A166="","",COUNTIFS(每日收货出货登记!$D:$D,A166,每日收货出货登记!$G:$G,"&lt;&gt;"))</f>
        <v/>
      </c>
      <c r="F166" s="10">
        <f>IF(A166="","",COUNTIFS(每日收货出货登记!$D:$D,A166,每日收货出货登记!$W:$W,"&gt;0"))</f>
        <v/>
      </c>
      <c r="G166" s="9">
        <f>IF(A166="","",MAXIFS(每日收货出货登记!$A:$A,每日收货出货登记!$D:$D,A166))</f>
        <v/>
      </c>
    </row>
    <row r="167" ht="22" customHeight="1">
      <c r="A167" s="9">
        <f>IFERROR(INDEX(基础数据!$B$2:$B$500,ROW(A165)),"")</f>
        <v/>
      </c>
      <c r="B167" s="10">
        <f>IF(A167="","",SUMIFS(每日收货出货登记!$Q:$Q,每日收货出货登记!$D:$D,A167))</f>
        <v/>
      </c>
      <c r="C167" s="10">
        <f>IF(A167="","",SUMIFS(每日收货出货登记!$V:$V,每日收货出货登记!$D:$D,A167))</f>
        <v/>
      </c>
      <c r="D167" s="10">
        <f>IF(A167="","",SUMIFS(每日收货出货登记!$W:$W,每日收货出货登记!$D:$D,A167))</f>
        <v/>
      </c>
      <c r="E167" s="10">
        <f>IF(A167="","",COUNTIFS(每日收货出货登记!$D:$D,A167,每日收货出货登记!$G:$G,"&lt;&gt;"))</f>
        <v/>
      </c>
      <c r="F167" s="10">
        <f>IF(A167="","",COUNTIFS(每日收货出货登记!$D:$D,A167,每日收货出货登记!$W:$W,"&gt;0"))</f>
        <v/>
      </c>
      <c r="G167" s="9">
        <f>IF(A167="","",MAXIFS(每日收货出货登记!$A:$A,每日收货出货登记!$D:$D,A167))</f>
        <v/>
      </c>
    </row>
    <row r="168" ht="22" customHeight="1">
      <c r="A168" s="9">
        <f>IFERROR(INDEX(基础数据!$B$2:$B$500,ROW(A166)),"")</f>
        <v/>
      </c>
      <c r="B168" s="10">
        <f>IF(A168="","",SUMIFS(每日收货出货登记!$Q:$Q,每日收货出货登记!$D:$D,A168))</f>
        <v/>
      </c>
      <c r="C168" s="10">
        <f>IF(A168="","",SUMIFS(每日收货出货登记!$V:$V,每日收货出货登记!$D:$D,A168))</f>
        <v/>
      </c>
      <c r="D168" s="10">
        <f>IF(A168="","",SUMIFS(每日收货出货登记!$W:$W,每日收货出货登记!$D:$D,A168))</f>
        <v/>
      </c>
      <c r="E168" s="10">
        <f>IF(A168="","",COUNTIFS(每日收货出货登记!$D:$D,A168,每日收货出货登记!$G:$G,"&lt;&gt;"))</f>
        <v/>
      </c>
      <c r="F168" s="10">
        <f>IF(A168="","",COUNTIFS(每日收货出货登记!$D:$D,A168,每日收货出货登记!$W:$W,"&gt;0"))</f>
        <v/>
      </c>
      <c r="G168" s="9">
        <f>IF(A168="","",MAXIFS(每日收货出货登记!$A:$A,每日收货出货登记!$D:$D,A168))</f>
        <v/>
      </c>
    </row>
    <row r="169" ht="22" customHeight="1">
      <c r="A169" s="9">
        <f>IFERROR(INDEX(基础数据!$B$2:$B$500,ROW(A167)),"")</f>
        <v/>
      </c>
      <c r="B169" s="10">
        <f>IF(A169="","",SUMIFS(每日收货出货登记!$Q:$Q,每日收货出货登记!$D:$D,A169))</f>
        <v/>
      </c>
      <c r="C169" s="10">
        <f>IF(A169="","",SUMIFS(每日收货出货登记!$V:$V,每日收货出货登记!$D:$D,A169))</f>
        <v/>
      </c>
      <c r="D169" s="10">
        <f>IF(A169="","",SUMIFS(每日收货出货登记!$W:$W,每日收货出货登记!$D:$D,A169))</f>
        <v/>
      </c>
      <c r="E169" s="10">
        <f>IF(A169="","",COUNTIFS(每日收货出货登记!$D:$D,A169,每日收货出货登记!$G:$G,"&lt;&gt;"))</f>
        <v/>
      </c>
      <c r="F169" s="10">
        <f>IF(A169="","",COUNTIFS(每日收货出货登记!$D:$D,A169,每日收货出货登记!$W:$W,"&gt;0"))</f>
        <v/>
      </c>
      <c r="G169" s="9">
        <f>IF(A169="","",MAXIFS(每日收货出货登记!$A:$A,每日收货出货登记!$D:$D,A169))</f>
        <v/>
      </c>
    </row>
    <row r="170" ht="22" customHeight="1">
      <c r="A170" s="9">
        <f>IFERROR(INDEX(基础数据!$B$2:$B$500,ROW(A168)),"")</f>
        <v/>
      </c>
      <c r="B170" s="10">
        <f>IF(A170="","",SUMIFS(每日收货出货登记!$Q:$Q,每日收货出货登记!$D:$D,A170))</f>
        <v/>
      </c>
      <c r="C170" s="10">
        <f>IF(A170="","",SUMIFS(每日收货出货登记!$V:$V,每日收货出货登记!$D:$D,A170))</f>
        <v/>
      </c>
      <c r="D170" s="10">
        <f>IF(A170="","",SUMIFS(每日收货出货登记!$W:$W,每日收货出货登记!$D:$D,A170))</f>
        <v/>
      </c>
      <c r="E170" s="10">
        <f>IF(A170="","",COUNTIFS(每日收货出货登记!$D:$D,A170,每日收货出货登记!$G:$G,"&lt;&gt;"))</f>
        <v/>
      </c>
      <c r="F170" s="10">
        <f>IF(A170="","",COUNTIFS(每日收货出货登记!$D:$D,A170,每日收货出货登记!$W:$W,"&gt;0"))</f>
        <v/>
      </c>
      <c r="G170" s="9">
        <f>IF(A170="","",MAXIFS(每日收货出货登记!$A:$A,每日收货出货登记!$D:$D,A170))</f>
        <v/>
      </c>
    </row>
    <row r="171" ht="22" customHeight="1">
      <c r="A171" s="9">
        <f>IFERROR(INDEX(基础数据!$B$2:$B$500,ROW(A169)),"")</f>
        <v/>
      </c>
      <c r="B171" s="10">
        <f>IF(A171="","",SUMIFS(每日收货出货登记!$Q:$Q,每日收货出货登记!$D:$D,A171))</f>
        <v/>
      </c>
      <c r="C171" s="10">
        <f>IF(A171="","",SUMIFS(每日收货出货登记!$V:$V,每日收货出货登记!$D:$D,A171))</f>
        <v/>
      </c>
      <c r="D171" s="10">
        <f>IF(A171="","",SUMIFS(每日收货出货登记!$W:$W,每日收货出货登记!$D:$D,A171))</f>
        <v/>
      </c>
      <c r="E171" s="10">
        <f>IF(A171="","",COUNTIFS(每日收货出货登记!$D:$D,A171,每日收货出货登记!$G:$G,"&lt;&gt;"))</f>
        <v/>
      </c>
      <c r="F171" s="10">
        <f>IF(A171="","",COUNTIFS(每日收货出货登记!$D:$D,A171,每日收货出货登记!$W:$W,"&gt;0"))</f>
        <v/>
      </c>
      <c r="G171" s="9">
        <f>IF(A171="","",MAXIFS(每日收货出货登记!$A:$A,每日收货出货登记!$D:$D,A171))</f>
        <v/>
      </c>
    </row>
    <row r="172" ht="22" customHeight="1">
      <c r="A172" s="9">
        <f>IFERROR(INDEX(基础数据!$B$2:$B$500,ROW(A170)),"")</f>
        <v/>
      </c>
      <c r="B172" s="10">
        <f>IF(A172="","",SUMIFS(每日收货出货登记!$Q:$Q,每日收货出货登记!$D:$D,A172))</f>
        <v/>
      </c>
      <c r="C172" s="10">
        <f>IF(A172="","",SUMIFS(每日收货出货登记!$V:$V,每日收货出货登记!$D:$D,A172))</f>
        <v/>
      </c>
      <c r="D172" s="10">
        <f>IF(A172="","",SUMIFS(每日收货出货登记!$W:$W,每日收货出货登记!$D:$D,A172))</f>
        <v/>
      </c>
      <c r="E172" s="10">
        <f>IF(A172="","",COUNTIFS(每日收货出货登记!$D:$D,A172,每日收货出货登记!$G:$G,"&lt;&gt;"))</f>
        <v/>
      </c>
      <c r="F172" s="10">
        <f>IF(A172="","",COUNTIFS(每日收货出货登记!$D:$D,A172,每日收货出货登记!$W:$W,"&gt;0"))</f>
        <v/>
      </c>
      <c r="G172" s="9">
        <f>IF(A172="","",MAXIFS(每日收货出货登记!$A:$A,每日收货出货登记!$D:$D,A172))</f>
        <v/>
      </c>
    </row>
    <row r="173" ht="22" customHeight="1">
      <c r="A173" s="9">
        <f>IFERROR(INDEX(基础数据!$B$2:$B$500,ROW(A171)),"")</f>
        <v/>
      </c>
      <c r="B173" s="10">
        <f>IF(A173="","",SUMIFS(每日收货出货登记!$Q:$Q,每日收货出货登记!$D:$D,A173))</f>
        <v/>
      </c>
      <c r="C173" s="10">
        <f>IF(A173="","",SUMIFS(每日收货出货登记!$V:$V,每日收货出货登记!$D:$D,A173))</f>
        <v/>
      </c>
      <c r="D173" s="10">
        <f>IF(A173="","",SUMIFS(每日收货出货登记!$W:$W,每日收货出货登记!$D:$D,A173))</f>
        <v/>
      </c>
      <c r="E173" s="10">
        <f>IF(A173="","",COUNTIFS(每日收货出货登记!$D:$D,A173,每日收货出货登记!$G:$G,"&lt;&gt;"))</f>
        <v/>
      </c>
      <c r="F173" s="10">
        <f>IF(A173="","",COUNTIFS(每日收货出货登记!$D:$D,A173,每日收货出货登记!$W:$W,"&gt;0"))</f>
        <v/>
      </c>
      <c r="G173" s="9">
        <f>IF(A173="","",MAXIFS(每日收货出货登记!$A:$A,每日收货出货登记!$D:$D,A173))</f>
        <v/>
      </c>
    </row>
    <row r="174" ht="22" customHeight="1">
      <c r="A174" s="9">
        <f>IFERROR(INDEX(基础数据!$B$2:$B$500,ROW(A172)),"")</f>
        <v/>
      </c>
      <c r="B174" s="10">
        <f>IF(A174="","",SUMIFS(每日收货出货登记!$Q:$Q,每日收货出货登记!$D:$D,A174))</f>
        <v/>
      </c>
      <c r="C174" s="10">
        <f>IF(A174="","",SUMIFS(每日收货出货登记!$V:$V,每日收货出货登记!$D:$D,A174))</f>
        <v/>
      </c>
      <c r="D174" s="10">
        <f>IF(A174="","",SUMIFS(每日收货出货登记!$W:$W,每日收货出货登记!$D:$D,A174))</f>
        <v/>
      </c>
      <c r="E174" s="10">
        <f>IF(A174="","",COUNTIFS(每日收货出货登记!$D:$D,A174,每日收货出货登记!$G:$G,"&lt;&gt;"))</f>
        <v/>
      </c>
      <c r="F174" s="10">
        <f>IF(A174="","",COUNTIFS(每日收货出货登记!$D:$D,A174,每日收货出货登记!$W:$W,"&gt;0"))</f>
        <v/>
      </c>
      <c r="G174" s="9">
        <f>IF(A174="","",MAXIFS(每日收货出货登记!$A:$A,每日收货出货登记!$D:$D,A174))</f>
        <v/>
      </c>
    </row>
    <row r="175" ht="22" customHeight="1">
      <c r="A175" s="9">
        <f>IFERROR(INDEX(基础数据!$B$2:$B$500,ROW(A173)),"")</f>
        <v/>
      </c>
      <c r="B175" s="10">
        <f>IF(A175="","",SUMIFS(每日收货出货登记!$Q:$Q,每日收货出货登记!$D:$D,A175))</f>
        <v/>
      </c>
      <c r="C175" s="10">
        <f>IF(A175="","",SUMIFS(每日收货出货登记!$V:$V,每日收货出货登记!$D:$D,A175))</f>
        <v/>
      </c>
      <c r="D175" s="10">
        <f>IF(A175="","",SUMIFS(每日收货出货登记!$W:$W,每日收货出货登记!$D:$D,A175))</f>
        <v/>
      </c>
      <c r="E175" s="10">
        <f>IF(A175="","",COUNTIFS(每日收货出货登记!$D:$D,A175,每日收货出货登记!$G:$G,"&lt;&gt;"))</f>
        <v/>
      </c>
      <c r="F175" s="10">
        <f>IF(A175="","",COUNTIFS(每日收货出货登记!$D:$D,A175,每日收货出货登记!$W:$W,"&gt;0"))</f>
        <v/>
      </c>
      <c r="G175" s="9">
        <f>IF(A175="","",MAXIFS(每日收货出货登记!$A:$A,每日收货出货登记!$D:$D,A175))</f>
        <v/>
      </c>
    </row>
    <row r="176" ht="22" customHeight="1">
      <c r="A176" s="9">
        <f>IFERROR(INDEX(基础数据!$B$2:$B$500,ROW(A174)),"")</f>
        <v/>
      </c>
      <c r="B176" s="10">
        <f>IF(A176="","",SUMIFS(每日收货出货登记!$Q:$Q,每日收货出货登记!$D:$D,A176))</f>
        <v/>
      </c>
      <c r="C176" s="10">
        <f>IF(A176="","",SUMIFS(每日收货出货登记!$V:$V,每日收货出货登记!$D:$D,A176))</f>
        <v/>
      </c>
      <c r="D176" s="10">
        <f>IF(A176="","",SUMIFS(每日收货出货登记!$W:$W,每日收货出货登记!$D:$D,A176))</f>
        <v/>
      </c>
      <c r="E176" s="10">
        <f>IF(A176="","",COUNTIFS(每日收货出货登记!$D:$D,A176,每日收货出货登记!$G:$G,"&lt;&gt;"))</f>
        <v/>
      </c>
      <c r="F176" s="10">
        <f>IF(A176="","",COUNTIFS(每日收货出货登记!$D:$D,A176,每日收货出货登记!$W:$W,"&gt;0"))</f>
        <v/>
      </c>
      <c r="G176" s="9">
        <f>IF(A176="","",MAXIFS(每日收货出货登记!$A:$A,每日收货出货登记!$D:$D,A176))</f>
        <v/>
      </c>
    </row>
    <row r="177" ht="22" customHeight="1">
      <c r="A177" s="9">
        <f>IFERROR(INDEX(基础数据!$B$2:$B$500,ROW(A175)),"")</f>
        <v/>
      </c>
      <c r="B177" s="10">
        <f>IF(A177="","",SUMIFS(每日收货出货登记!$Q:$Q,每日收货出货登记!$D:$D,A177))</f>
        <v/>
      </c>
      <c r="C177" s="10">
        <f>IF(A177="","",SUMIFS(每日收货出货登记!$V:$V,每日收货出货登记!$D:$D,A177))</f>
        <v/>
      </c>
      <c r="D177" s="10">
        <f>IF(A177="","",SUMIFS(每日收货出货登记!$W:$W,每日收货出货登记!$D:$D,A177))</f>
        <v/>
      </c>
      <c r="E177" s="10">
        <f>IF(A177="","",COUNTIFS(每日收货出货登记!$D:$D,A177,每日收货出货登记!$G:$G,"&lt;&gt;"))</f>
        <v/>
      </c>
      <c r="F177" s="10">
        <f>IF(A177="","",COUNTIFS(每日收货出货登记!$D:$D,A177,每日收货出货登记!$W:$W,"&gt;0"))</f>
        <v/>
      </c>
      <c r="G177" s="9">
        <f>IF(A177="","",MAXIFS(每日收货出货登记!$A:$A,每日收货出货登记!$D:$D,A177))</f>
        <v/>
      </c>
    </row>
    <row r="178" ht="22" customHeight="1">
      <c r="A178" s="9">
        <f>IFERROR(INDEX(基础数据!$B$2:$B$500,ROW(A176)),"")</f>
        <v/>
      </c>
      <c r="B178" s="10">
        <f>IF(A178="","",SUMIFS(每日收货出货登记!$Q:$Q,每日收货出货登记!$D:$D,A178))</f>
        <v/>
      </c>
      <c r="C178" s="10">
        <f>IF(A178="","",SUMIFS(每日收货出货登记!$V:$V,每日收货出货登记!$D:$D,A178))</f>
        <v/>
      </c>
      <c r="D178" s="10">
        <f>IF(A178="","",SUMIFS(每日收货出货登记!$W:$W,每日收货出货登记!$D:$D,A178))</f>
        <v/>
      </c>
      <c r="E178" s="10">
        <f>IF(A178="","",COUNTIFS(每日收货出货登记!$D:$D,A178,每日收货出货登记!$G:$G,"&lt;&gt;"))</f>
        <v/>
      </c>
      <c r="F178" s="10">
        <f>IF(A178="","",COUNTIFS(每日收货出货登记!$D:$D,A178,每日收货出货登记!$W:$W,"&gt;0"))</f>
        <v/>
      </c>
      <c r="G178" s="9">
        <f>IF(A178="","",MAXIFS(每日收货出货登记!$A:$A,每日收货出货登记!$D:$D,A178))</f>
        <v/>
      </c>
    </row>
    <row r="179" ht="22" customHeight="1">
      <c r="A179" s="9">
        <f>IFERROR(INDEX(基础数据!$B$2:$B$500,ROW(A177)),"")</f>
        <v/>
      </c>
      <c r="B179" s="10">
        <f>IF(A179="","",SUMIFS(每日收货出货登记!$Q:$Q,每日收货出货登记!$D:$D,A179))</f>
        <v/>
      </c>
      <c r="C179" s="10">
        <f>IF(A179="","",SUMIFS(每日收货出货登记!$V:$V,每日收货出货登记!$D:$D,A179))</f>
        <v/>
      </c>
      <c r="D179" s="10">
        <f>IF(A179="","",SUMIFS(每日收货出货登记!$W:$W,每日收货出货登记!$D:$D,A179))</f>
        <v/>
      </c>
      <c r="E179" s="10">
        <f>IF(A179="","",COUNTIFS(每日收货出货登记!$D:$D,A179,每日收货出货登记!$G:$G,"&lt;&gt;"))</f>
        <v/>
      </c>
      <c r="F179" s="10">
        <f>IF(A179="","",COUNTIFS(每日收货出货登记!$D:$D,A179,每日收货出货登记!$W:$W,"&gt;0"))</f>
        <v/>
      </c>
      <c r="G179" s="9">
        <f>IF(A179="","",MAXIFS(每日收货出货登记!$A:$A,每日收货出货登记!$D:$D,A179))</f>
        <v/>
      </c>
    </row>
    <row r="180" ht="22" customHeight="1">
      <c r="A180" s="9">
        <f>IFERROR(INDEX(基础数据!$B$2:$B$500,ROW(A178)),"")</f>
        <v/>
      </c>
      <c r="B180" s="10">
        <f>IF(A180="","",SUMIFS(每日收货出货登记!$Q:$Q,每日收货出货登记!$D:$D,A180))</f>
        <v/>
      </c>
      <c r="C180" s="10">
        <f>IF(A180="","",SUMIFS(每日收货出货登记!$V:$V,每日收货出货登记!$D:$D,A180))</f>
        <v/>
      </c>
      <c r="D180" s="10">
        <f>IF(A180="","",SUMIFS(每日收货出货登记!$W:$W,每日收货出货登记!$D:$D,A180))</f>
        <v/>
      </c>
      <c r="E180" s="10">
        <f>IF(A180="","",COUNTIFS(每日收货出货登记!$D:$D,A180,每日收货出货登记!$G:$G,"&lt;&gt;"))</f>
        <v/>
      </c>
      <c r="F180" s="10">
        <f>IF(A180="","",COUNTIFS(每日收货出货登记!$D:$D,A180,每日收货出货登记!$W:$W,"&gt;0"))</f>
        <v/>
      </c>
      <c r="G180" s="9">
        <f>IF(A180="","",MAXIFS(每日收货出货登记!$A:$A,每日收货出货登记!$D:$D,A180))</f>
        <v/>
      </c>
    </row>
    <row r="181" ht="22" customHeight="1">
      <c r="A181" s="9">
        <f>IFERROR(INDEX(基础数据!$B$2:$B$500,ROW(A179)),"")</f>
        <v/>
      </c>
      <c r="B181" s="10">
        <f>IF(A181="","",SUMIFS(每日收货出货登记!$Q:$Q,每日收货出货登记!$D:$D,A181))</f>
        <v/>
      </c>
      <c r="C181" s="10">
        <f>IF(A181="","",SUMIFS(每日收货出货登记!$V:$V,每日收货出货登记!$D:$D,A181))</f>
        <v/>
      </c>
      <c r="D181" s="10">
        <f>IF(A181="","",SUMIFS(每日收货出货登记!$W:$W,每日收货出货登记!$D:$D,A181))</f>
        <v/>
      </c>
      <c r="E181" s="10">
        <f>IF(A181="","",COUNTIFS(每日收货出货登记!$D:$D,A181,每日收货出货登记!$G:$G,"&lt;&gt;"))</f>
        <v/>
      </c>
      <c r="F181" s="10">
        <f>IF(A181="","",COUNTIFS(每日收货出货登记!$D:$D,A181,每日收货出货登记!$W:$W,"&gt;0"))</f>
        <v/>
      </c>
      <c r="G181" s="9">
        <f>IF(A181="","",MAXIFS(每日收货出货登记!$A:$A,每日收货出货登记!$D:$D,A181))</f>
        <v/>
      </c>
    </row>
    <row r="182" ht="22" customHeight="1">
      <c r="A182" s="9">
        <f>IFERROR(INDEX(基础数据!$B$2:$B$500,ROW(A180)),"")</f>
        <v/>
      </c>
      <c r="B182" s="10">
        <f>IF(A182="","",SUMIFS(每日收货出货登记!$Q:$Q,每日收货出货登记!$D:$D,A182))</f>
        <v/>
      </c>
      <c r="C182" s="10">
        <f>IF(A182="","",SUMIFS(每日收货出货登记!$V:$V,每日收货出货登记!$D:$D,A182))</f>
        <v/>
      </c>
      <c r="D182" s="10">
        <f>IF(A182="","",SUMIFS(每日收货出货登记!$W:$W,每日收货出货登记!$D:$D,A182))</f>
        <v/>
      </c>
      <c r="E182" s="10">
        <f>IF(A182="","",COUNTIFS(每日收货出货登记!$D:$D,A182,每日收货出货登记!$G:$G,"&lt;&gt;"))</f>
        <v/>
      </c>
      <c r="F182" s="10">
        <f>IF(A182="","",COUNTIFS(每日收货出货登记!$D:$D,A182,每日收货出货登记!$W:$W,"&gt;0"))</f>
        <v/>
      </c>
      <c r="G182" s="9">
        <f>IF(A182="","",MAXIFS(每日收货出货登记!$A:$A,每日收货出货登记!$D:$D,A182))</f>
        <v/>
      </c>
    </row>
    <row r="183" ht="22" customHeight="1">
      <c r="A183" s="9">
        <f>IFERROR(INDEX(基础数据!$B$2:$B$500,ROW(A181)),"")</f>
        <v/>
      </c>
      <c r="B183" s="10">
        <f>IF(A183="","",SUMIFS(每日收货出货登记!$Q:$Q,每日收货出货登记!$D:$D,A183))</f>
        <v/>
      </c>
      <c r="C183" s="10">
        <f>IF(A183="","",SUMIFS(每日收货出货登记!$V:$V,每日收货出货登记!$D:$D,A183))</f>
        <v/>
      </c>
      <c r="D183" s="10">
        <f>IF(A183="","",SUMIFS(每日收货出货登记!$W:$W,每日收货出货登记!$D:$D,A183))</f>
        <v/>
      </c>
      <c r="E183" s="10">
        <f>IF(A183="","",COUNTIFS(每日收货出货登记!$D:$D,A183,每日收货出货登记!$G:$G,"&lt;&gt;"))</f>
        <v/>
      </c>
      <c r="F183" s="10">
        <f>IF(A183="","",COUNTIFS(每日收货出货登记!$D:$D,A183,每日收货出货登记!$W:$W,"&gt;0"))</f>
        <v/>
      </c>
      <c r="G183" s="9">
        <f>IF(A183="","",MAXIFS(每日收货出货登记!$A:$A,每日收货出货登记!$D:$D,A183))</f>
        <v/>
      </c>
    </row>
    <row r="184" ht="22" customHeight="1">
      <c r="A184" s="9">
        <f>IFERROR(INDEX(基础数据!$B$2:$B$500,ROW(A182)),"")</f>
        <v/>
      </c>
      <c r="B184" s="10">
        <f>IF(A184="","",SUMIFS(每日收货出货登记!$Q:$Q,每日收货出货登记!$D:$D,A184))</f>
        <v/>
      </c>
      <c r="C184" s="10">
        <f>IF(A184="","",SUMIFS(每日收货出货登记!$V:$V,每日收货出货登记!$D:$D,A184))</f>
        <v/>
      </c>
      <c r="D184" s="10">
        <f>IF(A184="","",SUMIFS(每日收货出货登记!$W:$W,每日收货出货登记!$D:$D,A184))</f>
        <v/>
      </c>
      <c r="E184" s="10">
        <f>IF(A184="","",COUNTIFS(每日收货出货登记!$D:$D,A184,每日收货出货登记!$G:$G,"&lt;&gt;"))</f>
        <v/>
      </c>
      <c r="F184" s="10">
        <f>IF(A184="","",COUNTIFS(每日收货出货登记!$D:$D,A184,每日收货出货登记!$W:$W,"&gt;0"))</f>
        <v/>
      </c>
      <c r="G184" s="9">
        <f>IF(A184="","",MAXIFS(每日收货出货登记!$A:$A,每日收货出货登记!$D:$D,A184))</f>
        <v/>
      </c>
    </row>
    <row r="185" ht="22" customHeight="1">
      <c r="A185" s="9">
        <f>IFERROR(INDEX(基础数据!$B$2:$B$500,ROW(A183)),"")</f>
        <v/>
      </c>
      <c r="B185" s="10">
        <f>IF(A185="","",SUMIFS(每日收货出货登记!$Q:$Q,每日收货出货登记!$D:$D,A185))</f>
        <v/>
      </c>
      <c r="C185" s="10">
        <f>IF(A185="","",SUMIFS(每日收货出货登记!$V:$V,每日收货出货登记!$D:$D,A185))</f>
        <v/>
      </c>
      <c r="D185" s="10">
        <f>IF(A185="","",SUMIFS(每日收货出货登记!$W:$W,每日收货出货登记!$D:$D,A185))</f>
        <v/>
      </c>
      <c r="E185" s="10">
        <f>IF(A185="","",COUNTIFS(每日收货出货登记!$D:$D,A185,每日收货出货登记!$G:$G,"&lt;&gt;"))</f>
        <v/>
      </c>
      <c r="F185" s="10">
        <f>IF(A185="","",COUNTIFS(每日收货出货登记!$D:$D,A185,每日收货出货登记!$W:$W,"&gt;0"))</f>
        <v/>
      </c>
      <c r="G185" s="9">
        <f>IF(A185="","",MAXIFS(每日收货出货登记!$A:$A,每日收货出货登记!$D:$D,A185))</f>
        <v/>
      </c>
    </row>
    <row r="186" ht="22" customHeight="1">
      <c r="A186" s="9">
        <f>IFERROR(INDEX(基础数据!$B$2:$B$500,ROW(A184)),"")</f>
        <v/>
      </c>
      <c r="B186" s="10">
        <f>IF(A186="","",SUMIFS(每日收货出货登记!$Q:$Q,每日收货出货登记!$D:$D,A186))</f>
        <v/>
      </c>
      <c r="C186" s="10">
        <f>IF(A186="","",SUMIFS(每日收货出货登记!$V:$V,每日收货出货登记!$D:$D,A186))</f>
        <v/>
      </c>
      <c r="D186" s="10">
        <f>IF(A186="","",SUMIFS(每日收货出货登记!$W:$W,每日收货出货登记!$D:$D,A186))</f>
        <v/>
      </c>
      <c r="E186" s="10">
        <f>IF(A186="","",COUNTIFS(每日收货出货登记!$D:$D,A186,每日收货出货登记!$G:$G,"&lt;&gt;"))</f>
        <v/>
      </c>
      <c r="F186" s="10">
        <f>IF(A186="","",COUNTIFS(每日收货出货登记!$D:$D,A186,每日收货出货登记!$W:$W,"&gt;0"))</f>
        <v/>
      </c>
      <c r="G186" s="9">
        <f>IF(A186="","",MAXIFS(每日收货出货登记!$A:$A,每日收货出货登记!$D:$D,A186))</f>
        <v/>
      </c>
    </row>
    <row r="187" ht="22" customHeight="1">
      <c r="A187" s="9">
        <f>IFERROR(INDEX(基础数据!$B$2:$B$500,ROW(A185)),"")</f>
        <v/>
      </c>
      <c r="B187" s="10">
        <f>IF(A187="","",SUMIFS(每日收货出货登记!$Q:$Q,每日收货出货登记!$D:$D,A187))</f>
        <v/>
      </c>
      <c r="C187" s="10">
        <f>IF(A187="","",SUMIFS(每日收货出货登记!$V:$V,每日收货出货登记!$D:$D,A187))</f>
        <v/>
      </c>
      <c r="D187" s="10">
        <f>IF(A187="","",SUMIFS(每日收货出货登记!$W:$W,每日收货出货登记!$D:$D,A187))</f>
        <v/>
      </c>
      <c r="E187" s="10">
        <f>IF(A187="","",COUNTIFS(每日收货出货登记!$D:$D,A187,每日收货出货登记!$G:$G,"&lt;&gt;"))</f>
        <v/>
      </c>
      <c r="F187" s="10">
        <f>IF(A187="","",COUNTIFS(每日收货出货登记!$D:$D,A187,每日收货出货登记!$W:$W,"&gt;0"))</f>
        <v/>
      </c>
      <c r="G187" s="9">
        <f>IF(A187="","",MAXIFS(每日收货出货登记!$A:$A,每日收货出货登记!$D:$D,A187))</f>
        <v/>
      </c>
    </row>
    <row r="188" ht="22" customHeight="1">
      <c r="A188" s="9">
        <f>IFERROR(INDEX(基础数据!$B$2:$B$500,ROW(A186)),"")</f>
        <v/>
      </c>
      <c r="B188" s="10">
        <f>IF(A188="","",SUMIFS(每日收货出货登记!$Q:$Q,每日收货出货登记!$D:$D,A188))</f>
        <v/>
      </c>
      <c r="C188" s="10">
        <f>IF(A188="","",SUMIFS(每日收货出货登记!$V:$V,每日收货出货登记!$D:$D,A188))</f>
        <v/>
      </c>
      <c r="D188" s="10">
        <f>IF(A188="","",SUMIFS(每日收货出货登记!$W:$W,每日收货出货登记!$D:$D,A188))</f>
        <v/>
      </c>
      <c r="E188" s="10">
        <f>IF(A188="","",COUNTIFS(每日收货出货登记!$D:$D,A188,每日收货出货登记!$G:$G,"&lt;&gt;"))</f>
        <v/>
      </c>
      <c r="F188" s="10">
        <f>IF(A188="","",COUNTIFS(每日收货出货登记!$D:$D,A188,每日收货出货登记!$W:$W,"&gt;0"))</f>
        <v/>
      </c>
      <c r="G188" s="9">
        <f>IF(A188="","",MAXIFS(每日收货出货登记!$A:$A,每日收货出货登记!$D:$D,A188))</f>
        <v/>
      </c>
    </row>
    <row r="189" ht="22" customHeight="1">
      <c r="A189" s="9">
        <f>IFERROR(INDEX(基础数据!$B$2:$B$500,ROW(A187)),"")</f>
        <v/>
      </c>
      <c r="B189" s="10">
        <f>IF(A189="","",SUMIFS(每日收货出货登记!$Q:$Q,每日收货出货登记!$D:$D,A189))</f>
        <v/>
      </c>
      <c r="C189" s="10">
        <f>IF(A189="","",SUMIFS(每日收货出货登记!$V:$V,每日收货出货登记!$D:$D,A189))</f>
        <v/>
      </c>
      <c r="D189" s="10">
        <f>IF(A189="","",SUMIFS(每日收货出货登记!$W:$W,每日收货出货登记!$D:$D,A189))</f>
        <v/>
      </c>
      <c r="E189" s="10">
        <f>IF(A189="","",COUNTIFS(每日收货出货登记!$D:$D,A189,每日收货出货登记!$G:$G,"&lt;&gt;"))</f>
        <v/>
      </c>
      <c r="F189" s="10">
        <f>IF(A189="","",COUNTIFS(每日收货出货登记!$D:$D,A189,每日收货出货登记!$W:$W,"&gt;0"))</f>
        <v/>
      </c>
      <c r="G189" s="9">
        <f>IF(A189="","",MAXIFS(每日收货出货登记!$A:$A,每日收货出货登记!$D:$D,A189))</f>
        <v/>
      </c>
    </row>
    <row r="190" ht="22" customHeight="1">
      <c r="A190" s="9">
        <f>IFERROR(INDEX(基础数据!$B$2:$B$500,ROW(A188)),"")</f>
        <v/>
      </c>
      <c r="B190" s="10">
        <f>IF(A190="","",SUMIFS(每日收货出货登记!$Q:$Q,每日收货出货登记!$D:$D,A190))</f>
        <v/>
      </c>
      <c r="C190" s="10">
        <f>IF(A190="","",SUMIFS(每日收货出货登记!$V:$V,每日收货出货登记!$D:$D,A190))</f>
        <v/>
      </c>
      <c r="D190" s="10">
        <f>IF(A190="","",SUMIFS(每日收货出货登记!$W:$W,每日收货出货登记!$D:$D,A190))</f>
        <v/>
      </c>
      <c r="E190" s="10">
        <f>IF(A190="","",COUNTIFS(每日收货出货登记!$D:$D,A190,每日收货出货登记!$G:$G,"&lt;&gt;"))</f>
        <v/>
      </c>
      <c r="F190" s="10">
        <f>IF(A190="","",COUNTIFS(每日收货出货登记!$D:$D,A190,每日收货出货登记!$W:$W,"&gt;0"))</f>
        <v/>
      </c>
      <c r="G190" s="9">
        <f>IF(A190="","",MAXIFS(每日收货出货登记!$A:$A,每日收货出货登记!$D:$D,A190))</f>
        <v/>
      </c>
    </row>
    <row r="191" ht="22" customHeight="1">
      <c r="A191" s="9">
        <f>IFERROR(INDEX(基础数据!$B$2:$B$500,ROW(A189)),"")</f>
        <v/>
      </c>
      <c r="B191" s="10">
        <f>IF(A191="","",SUMIFS(每日收货出货登记!$Q:$Q,每日收货出货登记!$D:$D,A191))</f>
        <v/>
      </c>
      <c r="C191" s="10">
        <f>IF(A191="","",SUMIFS(每日收货出货登记!$V:$V,每日收货出货登记!$D:$D,A191))</f>
        <v/>
      </c>
      <c r="D191" s="10">
        <f>IF(A191="","",SUMIFS(每日收货出货登记!$W:$W,每日收货出货登记!$D:$D,A191))</f>
        <v/>
      </c>
      <c r="E191" s="10">
        <f>IF(A191="","",COUNTIFS(每日收货出货登记!$D:$D,A191,每日收货出货登记!$G:$G,"&lt;&gt;"))</f>
        <v/>
      </c>
      <c r="F191" s="10">
        <f>IF(A191="","",COUNTIFS(每日收货出货登记!$D:$D,A191,每日收货出货登记!$W:$W,"&gt;0"))</f>
        <v/>
      </c>
      <c r="G191" s="9">
        <f>IF(A191="","",MAXIFS(每日收货出货登记!$A:$A,每日收货出货登记!$D:$D,A191))</f>
        <v/>
      </c>
    </row>
    <row r="192" ht="22" customHeight="1">
      <c r="A192" s="9">
        <f>IFERROR(INDEX(基础数据!$B$2:$B$500,ROW(A190)),"")</f>
        <v/>
      </c>
      <c r="B192" s="10">
        <f>IF(A192="","",SUMIFS(每日收货出货登记!$Q:$Q,每日收货出货登记!$D:$D,A192))</f>
        <v/>
      </c>
      <c r="C192" s="10">
        <f>IF(A192="","",SUMIFS(每日收货出货登记!$V:$V,每日收货出货登记!$D:$D,A192))</f>
        <v/>
      </c>
      <c r="D192" s="10">
        <f>IF(A192="","",SUMIFS(每日收货出货登记!$W:$W,每日收货出货登记!$D:$D,A192))</f>
        <v/>
      </c>
      <c r="E192" s="10">
        <f>IF(A192="","",COUNTIFS(每日收货出货登记!$D:$D,A192,每日收货出货登记!$G:$G,"&lt;&gt;"))</f>
        <v/>
      </c>
      <c r="F192" s="10">
        <f>IF(A192="","",COUNTIFS(每日收货出货登记!$D:$D,A192,每日收货出货登记!$W:$W,"&gt;0"))</f>
        <v/>
      </c>
      <c r="G192" s="9">
        <f>IF(A192="","",MAXIFS(每日收货出货登记!$A:$A,每日收货出货登记!$D:$D,A192))</f>
        <v/>
      </c>
    </row>
    <row r="193" ht="22" customHeight="1">
      <c r="A193" s="9">
        <f>IFERROR(INDEX(基础数据!$B$2:$B$500,ROW(A191)),"")</f>
        <v/>
      </c>
      <c r="B193" s="10">
        <f>IF(A193="","",SUMIFS(每日收货出货登记!$Q:$Q,每日收货出货登记!$D:$D,A193))</f>
        <v/>
      </c>
      <c r="C193" s="10">
        <f>IF(A193="","",SUMIFS(每日收货出货登记!$V:$V,每日收货出货登记!$D:$D,A193))</f>
        <v/>
      </c>
      <c r="D193" s="10">
        <f>IF(A193="","",SUMIFS(每日收货出货登记!$W:$W,每日收货出货登记!$D:$D,A193))</f>
        <v/>
      </c>
      <c r="E193" s="10">
        <f>IF(A193="","",COUNTIFS(每日收货出货登记!$D:$D,A193,每日收货出货登记!$G:$G,"&lt;&gt;"))</f>
        <v/>
      </c>
      <c r="F193" s="10">
        <f>IF(A193="","",COUNTIFS(每日收货出货登记!$D:$D,A193,每日收货出货登记!$W:$W,"&gt;0"))</f>
        <v/>
      </c>
      <c r="G193" s="9">
        <f>IF(A193="","",MAXIFS(每日收货出货登记!$A:$A,每日收货出货登记!$D:$D,A193))</f>
        <v/>
      </c>
    </row>
    <row r="194" ht="22" customHeight="1">
      <c r="A194" s="9">
        <f>IFERROR(INDEX(基础数据!$B$2:$B$500,ROW(A192)),"")</f>
        <v/>
      </c>
      <c r="B194" s="10">
        <f>IF(A194="","",SUMIFS(每日收货出货登记!$Q:$Q,每日收货出货登记!$D:$D,A194))</f>
        <v/>
      </c>
      <c r="C194" s="10">
        <f>IF(A194="","",SUMIFS(每日收货出货登记!$V:$V,每日收货出货登记!$D:$D,A194))</f>
        <v/>
      </c>
      <c r="D194" s="10">
        <f>IF(A194="","",SUMIFS(每日收货出货登记!$W:$W,每日收货出货登记!$D:$D,A194))</f>
        <v/>
      </c>
      <c r="E194" s="10">
        <f>IF(A194="","",COUNTIFS(每日收货出货登记!$D:$D,A194,每日收货出货登记!$G:$G,"&lt;&gt;"))</f>
        <v/>
      </c>
      <c r="F194" s="10">
        <f>IF(A194="","",COUNTIFS(每日收货出货登记!$D:$D,A194,每日收货出货登记!$W:$W,"&gt;0"))</f>
        <v/>
      </c>
      <c r="G194" s="9">
        <f>IF(A194="","",MAXIFS(每日收货出货登记!$A:$A,每日收货出货登记!$D:$D,A194))</f>
        <v/>
      </c>
    </row>
    <row r="195" ht="22" customHeight="1">
      <c r="A195" s="9">
        <f>IFERROR(INDEX(基础数据!$B$2:$B$500,ROW(A193)),"")</f>
        <v/>
      </c>
      <c r="B195" s="10">
        <f>IF(A195="","",SUMIFS(每日收货出货登记!$Q:$Q,每日收货出货登记!$D:$D,A195))</f>
        <v/>
      </c>
      <c r="C195" s="10">
        <f>IF(A195="","",SUMIFS(每日收货出货登记!$V:$V,每日收货出货登记!$D:$D,A195))</f>
        <v/>
      </c>
      <c r="D195" s="10">
        <f>IF(A195="","",SUMIFS(每日收货出货登记!$W:$W,每日收货出货登记!$D:$D,A195))</f>
        <v/>
      </c>
      <c r="E195" s="10">
        <f>IF(A195="","",COUNTIFS(每日收货出货登记!$D:$D,A195,每日收货出货登记!$G:$G,"&lt;&gt;"))</f>
        <v/>
      </c>
      <c r="F195" s="10">
        <f>IF(A195="","",COUNTIFS(每日收货出货登记!$D:$D,A195,每日收货出货登记!$W:$W,"&gt;0"))</f>
        <v/>
      </c>
      <c r="G195" s="9">
        <f>IF(A195="","",MAXIFS(每日收货出货登记!$A:$A,每日收货出货登记!$D:$D,A195))</f>
        <v/>
      </c>
    </row>
    <row r="196" ht="22" customHeight="1">
      <c r="A196" s="9">
        <f>IFERROR(INDEX(基础数据!$B$2:$B$500,ROW(A194)),"")</f>
        <v/>
      </c>
      <c r="B196" s="10">
        <f>IF(A196="","",SUMIFS(每日收货出货登记!$Q:$Q,每日收货出货登记!$D:$D,A196))</f>
        <v/>
      </c>
      <c r="C196" s="10">
        <f>IF(A196="","",SUMIFS(每日收货出货登记!$V:$V,每日收货出货登记!$D:$D,A196))</f>
        <v/>
      </c>
      <c r="D196" s="10">
        <f>IF(A196="","",SUMIFS(每日收货出货登记!$W:$W,每日收货出货登记!$D:$D,A196))</f>
        <v/>
      </c>
      <c r="E196" s="10">
        <f>IF(A196="","",COUNTIFS(每日收货出货登记!$D:$D,A196,每日收货出货登记!$G:$G,"&lt;&gt;"))</f>
        <v/>
      </c>
      <c r="F196" s="10">
        <f>IF(A196="","",COUNTIFS(每日收货出货登记!$D:$D,A196,每日收货出货登记!$W:$W,"&gt;0"))</f>
        <v/>
      </c>
      <c r="G196" s="9">
        <f>IF(A196="","",MAXIFS(每日收货出货登记!$A:$A,每日收货出货登记!$D:$D,A196))</f>
        <v/>
      </c>
    </row>
    <row r="197" ht="22" customHeight="1">
      <c r="A197" s="9">
        <f>IFERROR(INDEX(基础数据!$B$2:$B$500,ROW(A195)),"")</f>
        <v/>
      </c>
      <c r="B197" s="10">
        <f>IF(A197="","",SUMIFS(每日收货出货登记!$Q:$Q,每日收货出货登记!$D:$D,A197))</f>
        <v/>
      </c>
      <c r="C197" s="10">
        <f>IF(A197="","",SUMIFS(每日收货出货登记!$V:$V,每日收货出货登记!$D:$D,A197))</f>
        <v/>
      </c>
      <c r="D197" s="10">
        <f>IF(A197="","",SUMIFS(每日收货出货登记!$W:$W,每日收货出货登记!$D:$D,A197))</f>
        <v/>
      </c>
      <c r="E197" s="10">
        <f>IF(A197="","",COUNTIFS(每日收货出货登记!$D:$D,A197,每日收货出货登记!$G:$G,"&lt;&gt;"))</f>
        <v/>
      </c>
      <c r="F197" s="10">
        <f>IF(A197="","",COUNTIFS(每日收货出货登记!$D:$D,A197,每日收货出货登记!$W:$W,"&gt;0"))</f>
        <v/>
      </c>
      <c r="G197" s="9">
        <f>IF(A197="","",MAXIFS(每日收货出货登记!$A:$A,每日收货出货登记!$D:$D,A197))</f>
        <v/>
      </c>
    </row>
    <row r="198" ht="22" customHeight="1">
      <c r="A198" s="9">
        <f>IFERROR(INDEX(基础数据!$B$2:$B$500,ROW(A196)),"")</f>
        <v/>
      </c>
      <c r="B198" s="10">
        <f>IF(A198="","",SUMIFS(每日收货出货登记!$Q:$Q,每日收货出货登记!$D:$D,A198))</f>
        <v/>
      </c>
      <c r="C198" s="10">
        <f>IF(A198="","",SUMIFS(每日收货出货登记!$V:$V,每日收货出货登记!$D:$D,A198))</f>
        <v/>
      </c>
      <c r="D198" s="10">
        <f>IF(A198="","",SUMIFS(每日收货出货登记!$W:$W,每日收货出货登记!$D:$D,A198))</f>
        <v/>
      </c>
      <c r="E198" s="10">
        <f>IF(A198="","",COUNTIFS(每日收货出货登记!$D:$D,A198,每日收货出货登记!$G:$G,"&lt;&gt;"))</f>
        <v/>
      </c>
      <c r="F198" s="10">
        <f>IF(A198="","",COUNTIFS(每日收货出货登记!$D:$D,A198,每日收货出货登记!$W:$W,"&gt;0"))</f>
        <v/>
      </c>
      <c r="G198" s="9">
        <f>IF(A198="","",MAXIFS(每日收货出货登记!$A:$A,每日收货出货登记!$D:$D,A198))</f>
        <v/>
      </c>
    </row>
    <row r="199" ht="22" customHeight="1">
      <c r="A199" s="9">
        <f>IFERROR(INDEX(基础数据!$B$2:$B$500,ROW(A197)),"")</f>
        <v/>
      </c>
      <c r="B199" s="10">
        <f>IF(A199="","",SUMIFS(每日收货出货登记!$Q:$Q,每日收货出货登记!$D:$D,A199))</f>
        <v/>
      </c>
      <c r="C199" s="10">
        <f>IF(A199="","",SUMIFS(每日收货出货登记!$V:$V,每日收货出货登记!$D:$D,A199))</f>
        <v/>
      </c>
      <c r="D199" s="10">
        <f>IF(A199="","",SUMIFS(每日收货出货登记!$W:$W,每日收货出货登记!$D:$D,A199))</f>
        <v/>
      </c>
      <c r="E199" s="10">
        <f>IF(A199="","",COUNTIFS(每日收货出货登记!$D:$D,A199,每日收货出货登记!$G:$G,"&lt;&gt;"))</f>
        <v/>
      </c>
      <c r="F199" s="10">
        <f>IF(A199="","",COUNTIFS(每日收货出货登记!$D:$D,A199,每日收货出货登记!$W:$W,"&gt;0"))</f>
        <v/>
      </c>
      <c r="G199" s="9">
        <f>IF(A199="","",MAXIFS(每日收货出货登记!$A:$A,每日收货出货登记!$D:$D,A199))</f>
        <v/>
      </c>
    </row>
    <row r="200" ht="22" customHeight="1">
      <c r="A200" s="9">
        <f>IFERROR(INDEX(基础数据!$B$2:$B$500,ROW(A198)),"")</f>
        <v/>
      </c>
      <c r="B200" s="10">
        <f>IF(A200="","",SUMIFS(每日收货出货登记!$Q:$Q,每日收货出货登记!$D:$D,A200))</f>
        <v/>
      </c>
      <c r="C200" s="10">
        <f>IF(A200="","",SUMIFS(每日收货出货登记!$V:$V,每日收货出货登记!$D:$D,A200))</f>
        <v/>
      </c>
      <c r="D200" s="10">
        <f>IF(A200="","",SUMIFS(每日收货出货登记!$W:$W,每日收货出货登记!$D:$D,A200))</f>
        <v/>
      </c>
      <c r="E200" s="10">
        <f>IF(A200="","",COUNTIFS(每日收货出货登记!$D:$D,A200,每日收货出货登记!$G:$G,"&lt;&gt;"))</f>
        <v/>
      </c>
      <c r="F200" s="10">
        <f>IF(A200="","",COUNTIFS(每日收货出货登记!$D:$D,A200,每日收货出货登记!$W:$W,"&gt;0"))</f>
        <v/>
      </c>
      <c r="G200" s="9">
        <f>IF(A200="","",MAXIFS(每日收货出货登记!$A:$A,每日收货出货登记!$D:$D,A200))</f>
        <v/>
      </c>
    </row>
    <row r="201" ht="22" customHeight="1">
      <c r="A201" s="9">
        <f>IFERROR(INDEX(基础数据!$B$2:$B$500,ROW(A199)),"")</f>
        <v/>
      </c>
      <c r="B201" s="10">
        <f>IF(A201="","",SUMIFS(每日收货出货登记!$Q:$Q,每日收货出货登记!$D:$D,A201))</f>
        <v/>
      </c>
      <c r="C201" s="10">
        <f>IF(A201="","",SUMIFS(每日收货出货登记!$V:$V,每日收货出货登记!$D:$D,A201))</f>
        <v/>
      </c>
      <c r="D201" s="10">
        <f>IF(A201="","",SUMIFS(每日收货出货登记!$W:$W,每日收货出货登记!$D:$D,A201))</f>
        <v/>
      </c>
      <c r="E201" s="10">
        <f>IF(A201="","",COUNTIFS(每日收货出货登记!$D:$D,A201,每日收货出货登记!$G:$G,"&lt;&gt;"))</f>
        <v/>
      </c>
      <c r="F201" s="10">
        <f>IF(A201="","",COUNTIFS(每日收货出货登记!$D:$D,A201,每日收货出货登记!$W:$W,"&gt;0"))</f>
        <v/>
      </c>
      <c r="G201" s="9">
        <f>IF(A201="","",MAXIFS(每日收货出货登记!$A:$A,每日收货出货登记!$D:$D,A201))</f>
        <v/>
      </c>
    </row>
    <row r="202" ht="22" customHeight="1">
      <c r="A202" s="9">
        <f>IFERROR(INDEX(基础数据!$B$2:$B$500,ROW(A200)),"")</f>
        <v/>
      </c>
      <c r="B202" s="10">
        <f>IF(A202="","",SUMIFS(每日收货出货登记!$Q:$Q,每日收货出货登记!$D:$D,A202))</f>
        <v/>
      </c>
      <c r="C202" s="10">
        <f>IF(A202="","",SUMIFS(每日收货出货登记!$V:$V,每日收货出货登记!$D:$D,A202))</f>
        <v/>
      </c>
      <c r="D202" s="10">
        <f>IF(A202="","",SUMIFS(每日收货出货登记!$W:$W,每日收货出货登记!$D:$D,A202))</f>
        <v/>
      </c>
      <c r="E202" s="10">
        <f>IF(A202="","",COUNTIFS(每日收货出货登记!$D:$D,A202,每日收货出货登记!$G:$G,"&lt;&gt;"))</f>
        <v/>
      </c>
      <c r="F202" s="10">
        <f>IF(A202="","",COUNTIFS(每日收货出货登记!$D:$D,A202,每日收货出货登记!$W:$W,"&gt;0"))</f>
        <v/>
      </c>
      <c r="G202" s="9">
        <f>IF(A202="","",MAXIFS(每日收货出货登记!$A:$A,每日收货出货登记!$D:$D,A202))</f>
        <v/>
      </c>
    </row>
    <row r="203" ht="22" customHeight="1">
      <c r="A203" s="9">
        <f>IFERROR(INDEX(基础数据!$B$2:$B$500,ROW(A201)),"")</f>
        <v/>
      </c>
      <c r="B203" s="10">
        <f>IF(A203="","",SUMIFS(每日收货出货登记!$Q:$Q,每日收货出货登记!$D:$D,A203))</f>
        <v/>
      </c>
      <c r="C203" s="10">
        <f>IF(A203="","",SUMIFS(每日收货出货登记!$V:$V,每日收货出货登记!$D:$D,A203))</f>
        <v/>
      </c>
      <c r="D203" s="10">
        <f>IF(A203="","",SUMIFS(每日收货出货登记!$W:$W,每日收货出货登记!$D:$D,A203))</f>
        <v/>
      </c>
      <c r="E203" s="10">
        <f>IF(A203="","",COUNTIFS(每日收货出货登记!$D:$D,A203,每日收货出货登记!$G:$G,"&lt;&gt;"))</f>
        <v/>
      </c>
      <c r="F203" s="10">
        <f>IF(A203="","",COUNTIFS(每日收货出货登记!$D:$D,A203,每日收货出货登记!$W:$W,"&gt;0"))</f>
        <v/>
      </c>
      <c r="G203" s="9">
        <f>IF(A203="","",MAXIFS(每日收货出货登记!$A:$A,每日收货出货登记!$D:$D,A203))</f>
        <v/>
      </c>
    </row>
    <row r="204" ht="22" customHeight="1">
      <c r="A204" s="9">
        <f>IFERROR(INDEX(基础数据!$B$2:$B$500,ROW(A202)),"")</f>
        <v/>
      </c>
      <c r="B204" s="10">
        <f>IF(A204="","",SUMIFS(每日收货出货登记!$Q:$Q,每日收货出货登记!$D:$D,A204))</f>
        <v/>
      </c>
      <c r="C204" s="10">
        <f>IF(A204="","",SUMIFS(每日收货出货登记!$V:$V,每日收货出货登记!$D:$D,A204))</f>
        <v/>
      </c>
      <c r="D204" s="10">
        <f>IF(A204="","",SUMIFS(每日收货出货登记!$W:$W,每日收货出货登记!$D:$D,A204))</f>
        <v/>
      </c>
      <c r="E204" s="10">
        <f>IF(A204="","",COUNTIFS(每日收货出货登记!$D:$D,A204,每日收货出货登记!$G:$G,"&lt;&gt;"))</f>
        <v/>
      </c>
      <c r="F204" s="10">
        <f>IF(A204="","",COUNTIFS(每日收货出货登记!$D:$D,A204,每日收货出货登记!$W:$W,"&gt;0"))</f>
        <v/>
      </c>
      <c r="G204" s="9">
        <f>IF(A204="","",MAXIFS(每日收货出货登记!$A:$A,每日收货出货登记!$D:$D,A204))</f>
        <v/>
      </c>
    </row>
    <row r="205" ht="22" customHeight="1">
      <c r="A205" s="9">
        <f>IFERROR(INDEX(基础数据!$B$2:$B$500,ROW(A203)),"")</f>
        <v/>
      </c>
      <c r="B205" s="10">
        <f>IF(A205="","",SUMIFS(每日收货出货登记!$Q:$Q,每日收货出货登记!$D:$D,A205))</f>
        <v/>
      </c>
      <c r="C205" s="10">
        <f>IF(A205="","",SUMIFS(每日收货出货登记!$V:$V,每日收货出货登记!$D:$D,A205))</f>
        <v/>
      </c>
      <c r="D205" s="10">
        <f>IF(A205="","",SUMIFS(每日收货出货登记!$W:$W,每日收货出货登记!$D:$D,A205))</f>
        <v/>
      </c>
      <c r="E205" s="10">
        <f>IF(A205="","",COUNTIFS(每日收货出货登记!$D:$D,A205,每日收货出货登记!$G:$G,"&lt;&gt;"))</f>
        <v/>
      </c>
      <c r="F205" s="10">
        <f>IF(A205="","",COUNTIFS(每日收货出货登记!$D:$D,A205,每日收货出货登记!$W:$W,"&gt;0"))</f>
        <v/>
      </c>
      <c r="G205" s="9">
        <f>IF(A205="","",MAXIFS(每日收货出货登记!$A:$A,每日收货出货登记!$D:$D,A205))</f>
        <v/>
      </c>
    </row>
    <row r="206" ht="22" customHeight="1">
      <c r="A206" s="9">
        <f>IFERROR(INDEX(基础数据!$B$2:$B$500,ROW(A204)),"")</f>
        <v/>
      </c>
      <c r="B206" s="10">
        <f>IF(A206="","",SUMIFS(每日收货出货登记!$Q:$Q,每日收货出货登记!$D:$D,A206))</f>
        <v/>
      </c>
      <c r="C206" s="10">
        <f>IF(A206="","",SUMIFS(每日收货出货登记!$V:$V,每日收货出货登记!$D:$D,A206))</f>
        <v/>
      </c>
      <c r="D206" s="10">
        <f>IF(A206="","",SUMIFS(每日收货出货登记!$W:$W,每日收货出货登记!$D:$D,A206))</f>
        <v/>
      </c>
      <c r="E206" s="10">
        <f>IF(A206="","",COUNTIFS(每日收货出货登记!$D:$D,A206,每日收货出货登记!$G:$G,"&lt;&gt;"))</f>
        <v/>
      </c>
      <c r="F206" s="10">
        <f>IF(A206="","",COUNTIFS(每日收货出货登记!$D:$D,A206,每日收货出货登记!$W:$W,"&gt;0"))</f>
        <v/>
      </c>
      <c r="G206" s="9">
        <f>IF(A206="","",MAXIFS(每日收货出货登记!$A:$A,每日收货出货登记!$D:$D,A206))</f>
        <v/>
      </c>
    </row>
    <row r="207" ht="22" customHeight="1">
      <c r="A207" s="9">
        <f>IFERROR(INDEX(基础数据!$B$2:$B$500,ROW(A205)),"")</f>
        <v/>
      </c>
      <c r="B207" s="10">
        <f>IF(A207="","",SUMIFS(每日收货出货登记!$Q:$Q,每日收货出货登记!$D:$D,A207))</f>
        <v/>
      </c>
      <c r="C207" s="10">
        <f>IF(A207="","",SUMIFS(每日收货出货登记!$V:$V,每日收货出货登记!$D:$D,A207))</f>
        <v/>
      </c>
      <c r="D207" s="10">
        <f>IF(A207="","",SUMIFS(每日收货出货登记!$W:$W,每日收货出货登记!$D:$D,A207))</f>
        <v/>
      </c>
      <c r="E207" s="10">
        <f>IF(A207="","",COUNTIFS(每日收货出货登记!$D:$D,A207,每日收货出货登记!$G:$G,"&lt;&gt;"))</f>
        <v/>
      </c>
      <c r="F207" s="10">
        <f>IF(A207="","",COUNTIFS(每日收货出货登记!$D:$D,A207,每日收货出货登记!$W:$W,"&gt;0"))</f>
        <v/>
      </c>
      <c r="G207" s="9">
        <f>IF(A207="","",MAXIFS(每日收货出货登记!$A:$A,每日收货出货登记!$D:$D,A207))</f>
        <v/>
      </c>
    </row>
    <row r="208" ht="22" customHeight="1">
      <c r="A208" s="9">
        <f>IFERROR(INDEX(基础数据!$B$2:$B$500,ROW(A206)),"")</f>
        <v/>
      </c>
      <c r="B208" s="10">
        <f>IF(A208="","",SUMIFS(每日收货出货登记!$Q:$Q,每日收货出货登记!$D:$D,A208))</f>
        <v/>
      </c>
      <c r="C208" s="10">
        <f>IF(A208="","",SUMIFS(每日收货出货登记!$V:$V,每日收货出货登记!$D:$D,A208))</f>
        <v/>
      </c>
      <c r="D208" s="10">
        <f>IF(A208="","",SUMIFS(每日收货出货登记!$W:$W,每日收货出货登记!$D:$D,A208))</f>
        <v/>
      </c>
      <c r="E208" s="10">
        <f>IF(A208="","",COUNTIFS(每日收货出货登记!$D:$D,A208,每日收货出货登记!$G:$G,"&lt;&gt;"))</f>
        <v/>
      </c>
      <c r="F208" s="10">
        <f>IF(A208="","",COUNTIFS(每日收货出货登记!$D:$D,A208,每日收货出货登记!$W:$W,"&gt;0"))</f>
        <v/>
      </c>
      <c r="G208" s="9">
        <f>IF(A208="","",MAXIFS(每日收货出货登记!$A:$A,每日收货出货登记!$D:$D,A208))</f>
        <v/>
      </c>
    </row>
    <row r="209" ht="22" customHeight="1">
      <c r="A209" s="9">
        <f>IFERROR(INDEX(基础数据!$B$2:$B$500,ROW(A207)),"")</f>
        <v/>
      </c>
      <c r="B209" s="10">
        <f>IF(A209="","",SUMIFS(每日收货出货登记!$Q:$Q,每日收货出货登记!$D:$D,A209))</f>
        <v/>
      </c>
      <c r="C209" s="10">
        <f>IF(A209="","",SUMIFS(每日收货出货登记!$V:$V,每日收货出货登记!$D:$D,A209))</f>
        <v/>
      </c>
      <c r="D209" s="10">
        <f>IF(A209="","",SUMIFS(每日收货出货登记!$W:$W,每日收货出货登记!$D:$D,A209))</f>
        <v/>
      </c>
      <c r="E209" s="10">
        <f>IF(A209="","",COUNTIFS(每日收货出货登记!$D:$D,A209,每日收货出货登记!$G:$G,"&lt;&gt;"))</f>
        <v/>
      </c>
      <c r="F209" s="10">
        <f>IF(A209="","",COUNTIFS(每日收货出货登记!$D:$D,A209,每日收货出货登记!$W:$W,"&gt;0"))</f>
        <v/>
      </c>
      <c r="G209" s="9">
        <f>IF(A209="","",MAXIFS(每日收货出货登记!$A:$A,每日收货出货登记!$D:$D,A209))</f>
        <v/>
      </c>
    </row>
    <row r="210" ht="22" customHeight="1">
      <c r="A210" s="9">
        <f>IFERROR(INDEX(基础数据!$B$2:$B$500,ROW(A208)),"")</f>
        <v/>
      </c>
      <c r="B210" s="10">
        <f>IF(A210="","",SUMIFS(每日收货出货登记!$Q:$Q,每日收货出货登记!$D:$D,A210))</f>
        <v/>
      </c>
      <c r="C210" s="10">
        <f>IF(A210="","",SUMIFS(每日收货出货登记!$V:$V,每日收货出货登记!$D:$D,A210))</f>
        <v/>
      </c>
      <c r="D210" s="10">
        <f>IF(A210="","",SUMIFS(每日收货出货登记!$W:$W,每日收货出货登记!$D:$D,A210))</f>
        <v/>
      </c>
      <c r="E210" s="10">
        <f>IF(A210="","",COUNTIFS(每日收货出货登记!$D:$D,A210,每日收货出货登记!$G:$G,"&lt;&gt;"))</f>
        <v/>
      </c>
      <c r="F210" s="10">
        <f>IF(A210="","",COUNTIFS(每日收货出货登记!$D:$D,A210,每日收货出货登记!$W:$W,"&gt;0"))</f>
        <v/>
      </c>
      <c r="G210" s="9">
        <f>IF(A210="","",MAXIFS(每日收货出货登记!$A:$A,每日收货出货登记!$D:$D,A210))</f>
        <v/>
      </c>
    </row>
    <row r="211" ht="22" customHeight="1">
      <c r="A211" s="9">
        <f>IFERROR(INDEX(基础数据!$B$2:$B$500,ROW(A209)),"")</f>
        <v/>
      </c>
      <c r="B211" s="10">
        <f>IF(A211="","",SUMIFS(每日收货出货登记!$Q:$Q,每日收货出货登记!$D:$D,A211))</f>
        <v/>
      </c>
      <c r="C211" s="10">
        <f>IF(A211="","",SUMIFS(每日收货出货登记!$V:$V,每日收货出货登记!$D:$D,A211))</f>
        <v/>
      </c>
      <c r="D211" s="10">
        <f>IF(A211="","",SUMIFS(每日收货出货登记!$W:$W,每日收货出货登记!$D:$D,A211))</f>
        <v/>
      </c>
      <c r="E211" s="10">
        <f>IF(A211="","",COUNTIFS(每日收货出货登记!$D:$D,A211,每日收货出货登记!$G:$G,"&lt;&gt;"))</f>
        <v/>
      </c>
      <c r="F211" s="10">
        <f>IF(A211="","",COUNTIFS(每日收货出货登记!$D:$D,A211,每日收货出货登记!$W:$W,"&gt;0"))</f>
        <v/>
      </c>
      <c r="G211" s="9">
        <f>IF(A211="","",MAXIFS(每日收货出货登记!$A:$A,每日收货出货登记!$D:$D,A211))</f>
        <v/>
      </c>
    </row>
    <row r="212" ht="22" customHeight="1">
      <c r="A212" s="9">
        <f>IFERROR(INDEX(基础数据!$B$2:$B$500,ROW(A210)),"")</f>
        <v/>
      </c>
      <c r="B212" s="10">
        <f>IF(A212="","",SUMIFS(每日收货出货登记!$Q:$Q,每日收货出货登记!$D:$D,A212))</f>
        <v/>
      </c>
      <c r="C212" s="10">
        <f>IF(A212="","",SUMIFS(每日收货出货登记!$V:$V,每日收货出货登记!$D:$D,A212))</f>
        <v/>
      </c>
      <c r="D212" s="10">
        <f>IF(A212="","",SUMIFS(每日收货出货登记!$W:$W,每日收货出货登记!$D:$D,A212))</f>
        <v/>
      </c>
      <c r="E212" s="10">
        <f>IF(A212="","",COUNTIFS(每日收货出货登记!$D:$D,A212,每日收货出货登记!$G:$G,"&lt;&gt;"))</f>
        <v/>
      </c>
      <c r="F212" s="10">
        <f>IF(A212="","",COUNTIFS(每日收货出货登记!$D:$D,A212,每日收货出货登记!$W:$W,"&gt;0"))</f>
        <v/>
      </c>
      <c r="G212" s="9">
        <f>IF(A212="","",MAXIFS(每日收货出货登记!$A:$A,每日收货出货登记!$D:$D,A212))</f>
        <v/>
      </c>
    </row>
    <row r="213" ht="22" customHeight="1">
      <c r="A213" s="9">
        <f>IFERROR(INDEX(基础数据!$B$2:$B$500,ROW(A211)),"")</f>
        <v/>
      </c>
      <c r="B213" s="10">
        <f>IF(A213="","",SUMIFS(每日收货出货登记!$Q:$Q,每日收货出货登记!$D:$D,A213))</f>
        <v/>
      </c>
      <c r="C213" s="10">
        <f>IF(A213="","",SUMIFS(每日收货出货登记!$V:$V,每日收货出货登记!$D:$D,A213))</f>
        <v/>
      </c>
      <c r="D213" s="10">
        <f>IF(A213="","",SUMIFS(每日收货出货登记!$W:$W,每日收货出货登记!$D:$D,A213))</f>
        <v/>
      </c>
      <c r="E213" s="10">
        <f>IF(A213="","",COUNTIFS(每日收货出货登记!$D:$D,A213,每日收货出货登记!$G:$G,"&lt;&gt;"))</f>
        <v/>
      </c>
      <c r="F213" s="10">
        <f>IF(A213="","",COUNTIFS(每日收货出货登记!$D:$D,A213,每日收货出货登记!$W:$W,"&gt;0"))</f>
        <v/>
      </c>
      <c r="G213" s="9">
        <f>IF(A213="","",MAXIFS(每日收货出货登记!$A:$A,每日收货出货登记!$D:$D,A213))</f>
        <v/>
      </c>
    </row>
    <row r="214" ht="22" customHeight="1">
      <c r="A214" s="9">
        <f>IFERROR(INDEX(基础数据!$B$2:$B$500,ROW(A212)),"")</f>
        <v/>
      </c>
      <c r="B214" s="10">
        <f>IF(A214="","",SUMIFS(每日收货出货登记!$Q:$Q,每日收货出货登记!$D:$D,A214))</f>
        <v/>
      </c>
      <c r="C214" s="10">
        <f>IF(A214="","",SUMIFS(每日收货出货登记!$V:$V,每日收货出货登记!$D:$D,A214))</f>
        <v/>
      </c>
      <c r="D214" s="10">
        <f>IF(A214="","",SUMIFS(每日收货出货登记!$W:$W,每日收货出货登记!$D:$D,A214))</f>
        <v/>
      </c>
      <c r="E214" s="10">
        <f>IF(A214="","",COUNTIFS(每日收货出货登记!$D:$D,A214,每日收货出货登记!$G:$G,"&lt;&gt;"))</f>
        <v/>
      </c>
      <c r="F214" s="10">
        <f>IF(A214="","",COUNTIFS(每日收货出货登记!$D:$D,A214,每日收货出货登记!$W:$W,"&gt;0"))</f>
        <v/>
      </c>
      <c r="G214" s="9">
        <f>IF(A214="","",MAXIFS(每日收货出货登记!$A:$A,每日收货出货登记!$D:$D,A214))</f>
        <v/>
      </c>
    </row>
    <row r="215" ht="22" customHeight="1">
      <c r="A215" s="9">
        <f>IFERROR(INDEX(基础数据!$B$2:$B$500,ROW(A213)),"")</f>
        <v/>
      </c>
      <c r="B215" s="10">
        <f>IF(A215="","",SUMIFS(每日收货出货登记!$Q:$Q,每日收货出货登记!$D:$D,A215))</f>
        <v/>
      </c>
      <c r="C215" s="10">
        <f>IF(A215="","",SUMIFS(每日收货出货登记!$V:$V,每日收货出货登记!$D:$D,A215))</f>
        <v/>
      </c>
      <c r="D215" s="10">
        <f>IF(A215="","",SUMIFS(每日收货出货登记!$W:$W,每日收货出货登记!$D:$D,A215))</f>
        <v/>
      </c>
      <c r="E215" s="10">
        <f>IF(A215="","",COUNTIFS(每日收货出货登记!$D:$D,A215,每日收货出货登记!$G:$G,"&lt;&gt;"))</f>
        <v/>
      </c>
      <c r="F215" s="10">
        <f>IF(A215="","",COUNTIFS(每日收货出货登记!$D:$D,A215,每日收货出货登记!$W:$W,"&gt;0"))</f>
        <v/>
      </c>
      <c r="G215" s="9">
        <f>IF(A215="","",MAXIFS(每日收货出货登记!$A:$A,每日收货出货登记!$D:$D,A215))</f>
        <v/>
      </c>
    </row>
    <row r="216" ht="22" customHeight="1">
      <c r="A216" s="9">
        <f>IFERROR(INDEX(基础数据!$B$2:$B$500,ROW(A214)),"")</f>
        <v/>
      </c>
      <c r="B216" s="10">
        <f>IF(A216="","",SUMIFS(每日收货出货登记!$Q:$Q,每日收货出货登记!$D:$D,A216))</f>
        <v/>
      </c>
      <c r="C216" s="10">
        <f>IF(A216="","",SUMIFS(每日收货出货登记!$V:$V,每日收货出货登记!$D:$D,A216))</f>
        <v/>
      </c>
      <c r="D216" s="10">
        <f>IF(A216="","",SUMIFS(每日收货出货登记!$W:$W,每日收货出货登记!$D:$D,A216))</f>
        <v/>
      </c>
      <c r="E216" s="10">
        <f>IF(A216="","",COUNTIFS(每日收货出货登记!$D:$D,A216,每日收货出货登记!$G:$G,"&lt;&gt;"))</f>
        <v/>
      </c>
      <c r="F216" s="10">
        <f>IF(A216="","",COUNTIFS(每日收货出货登记!$D:$D,A216,每日收货出货登记!$W:$W,"&gt;0"))</f>
        <v/>
      </c>
      <c r="G216" s="9">
        <f>IF(A216="","",MAXIFS(每日收货出货登记!$A:$A,每日收货出货登记!$D:$D,A216))</f>
        <v/>
      </c>
    </row>
    <row r="217" ht="22" customHeight="1">
      <c r="A217" s="9">
        <f>IFERROR(INDEX(基础数据!$B$2:$B$500,ROW(A215)),"")</f>
        <v/>
      </c>
      <c r="B217" s="10">
        <f>IF(A217="","",SUMIFS(每日收货出货登记!$Q:$Q,每日收货出货登记!$D:$D,A217))</f>
        <v/>
      </c>
      <c r="C217" s="10">
        <f>IF(A217="","",SUMIFS(每日收货出货登记!$V:$V,每日收货出货登记!$D:$D,A217))</f>
        <v/>
      </c>
      <c r="D217" s="10">
        <f>IF(A217="","",SUMIFS(每日收货出货登记!$W:$W,每日收货出货登记!$D:$D,A217))</f>
        <v/>
      </c>
      <c r="E217" s="10">
        <f>IF(A217="","",COUNTIFS(每日收货出货登记!$D:$D,A217,每日收货出货登记!$G:$G,"&lt;&gt;"))</f>
        <v/>
      </c>
      <c r="F217" s="10">
        <f>IF(A217="","",COUNTIFS(每日收货出货登记!$D:$D,A217,每日收货出货登记!$W:$W,"&gt;0"))</f>
        <v/>
      </c>
      <c r="G217" s="9">
        <f>IF(A217="","",MAXIFS(每日收货出货登记!$A:$A,每日收货出货登记!$D:$D,A217))</f>
        <v/>
      </c>
    </row>
    <row r="218" ht="22" customHeight="1">
      <c r="A218" s="9">
        <f>IFERROR(INDEX(基础数据!$B$2:$B$500,ROW(A216)),"")</f>
        <v/>
      </c>
      <c r="B218" s="10">
        <f>IF(A218="","",SUMIFS(每日收货出货登记!$Q:$Q,每日收货出货登记!$D:$D,A218))</f>
        <v/>
      </c>
      <c r="C218" s="10">
        <f>IF(A218="","",SUMIFS(每日收货出货登记!$V:$V,每日收货出货登记!$D:$D,A218))</f>
        <v/>
      </c>
      <c r="D218" s="10">
        <f>IF(A218="","",SUMIFS(每日收货出货登记!$W:$W,每日收货出货登记!$D:$D,A218))</f>
        <v/>
      </c>
      <c r="E218" s="10">
        <f>IF(A218="","",COUNTIFS(每日收货出货登记!$D:$D,A218,每日收货出货登记!$G:$G,"&lt;&gt;"))</f>
        <v/>
      </c>
      <c r="F218" s="10">
        <f>IF(A218="","",COUNTIFS(每日收货出货登记!$D:$D,A218,每日收货出货登记!$W:$W,"&gt;0"))</f>
        <v/>
      </c>
      <c r="G218" s="9">
        <f>IF(A218="","",MAXIFS(每日收货出货登记!$A:$A,每日收货出货登记!$D:$D,A218))</f>
        <v/>
      </c>
    </row>
    <row r="219" ht="22" customHeight="1">
      <c r="A219" s="9">
        <f>IFERROR(INDEX(基础数据!$B$2:$B$500,ROW(A217)),"")</f>
        <v/>
      </c>
      <c r="B219" s="10">
        <f>IF(A219="","",SUMIFS(每日收货出货登记!$Q:$Q,每日收货出货登记!$D:$D,A219))</f>
        <v/>
      </c>
      <c r="C219" s="10">
        <f>IF(A219="","",SUMIFS(每日收货出货登记!$V:$V,每日收货出货登记!$D:$D,A219))</f>
        <v/>
      </c>
      <c r="D219" s="10">
        <f>IF(A219="","",SUMIFS(每日收货出货登记!$W:$W,每日收货出货登记!$D:$D,A219))</f>
        <v/>
      </c>
      <c r="E219" s="10">
        <f>IF(A219="","",COUNTIFS(每日收货出货登记!$D:$D,A219,每日收货出货登记!$G:$G,"&lt;&gt;"))</f>
        <v/>
      </c>
      <c r="F219" s="10">
        <f>IF(A219="","",COUNTIFS(每日收货出货登记!$D:$D,A219,每日收货出货登记!$W:$W,"&gt;0"))</f>
        <v/>
      </c>
      <c r="G219" s="9">
        <f>IF(A219="","",MAXIFS(每日收货出货登记!$A:$A,每日收货出货登记!$D:$D,A219))</f>
        <v/>
      </c>
    </row>
    <row r="220" ht="22" customHeight="1">
      <c r="A220" s="9">
        <f>IFERROR(INDEX(基础数据!$B$2:$B$500,ROW(A218)),"")</f>
        <v/>
      </c>
      <c r="B220" s="10">
        <f>IF(A220="","",SUMIFS(每日收货出货登记!$Q:$Q,每日收货出货登记!$D:$D,A220))</f>
        <v/>
      </c>
      <c r="C220" s="10">
        <f>IF(A220="","",SUMIFS(每日收货出货登记!$V:$V,每日收货出货登记!$D:$D,A220))</f>
        <v/>
      </c>
      <c r="D220" s="10">
        <f>IF(A220="","",SUMIFS(每日收货出货登记!$W:$W,每日收货出货登记!$D:$D,A220))</f>
        <v/>
      </c>
      <c r="E220" s="10">
        <f>IF(A220="","",COUNTIFS(每日收货出货登记!$D:$D,A220,每日收货出货登记!$G:$G,"&lt;&gt;"))</f>
        <v/>
      </c>
      <c r="F220" s="10">
        <f>IF(A220="","",COUNTIFS(每日收货出货登记!$D:$D,A220,每日收货出货登记!$W:$W,"&gt;0"))</f>
        <v/>
      </c>
      <c r="G220" s="9">
        <f>IF(A220="","",MAXIFS(每日收货出货登记!$A:$A,每日收货出货登记!$D:$D,A220))</f>
        <v/>
      </c>
    </row>
    <row r="221" ht="22" customHeight="1">
      <c r="A221" s="9">
        <f>IFERROR(INDEX(基础数据!$B$2:$B$500,ROW(A219)),"")</f>
        <v/>
      </c>
      <c r="B221" s="10">
        <f>IF(A221="","",SUMIFS(每日收货出货登记!$Q:$Q,每日收货出货登记!$D:$D,A221))</f>
        <v/>
      </c>
      <c r="C221" s="10">
        <f>IF(A221="","",SUMIFS(每日收货出货登记!$V:$V,每日收货出货登记!$D:$D,A221))</f>
        <v/>
      </c>
      <c r="D221" s="10">
        <f>IF(A221="","",SUMIFS(每日收货出货登记!$W:$W,每日收货出货登记!$D:$D,A221))</f>
        <v/>
      </c>
      <c r="E221" s="10">
        <f>IF(A221="","",COUNTIFS(每日收货出货登记!$D:$D,A221,每日收货出货登记!$G:$G,"&lt;&gt;"))</f>
        <v/>
      </c>
      <c r="F221" s="10">
        <f>IF(A221="","",COUNTIFS(每日收货出货登记!$D:$D,A221,每日收货出货登记!$W:$W,"&gt;0"))</f>
        <v/>
      </c>
      <c r="G221" s="9">
        <f>IF(A221="","",MAXIFS(每日收货出货登记!$A:$A,每日收货出货登记!$D:$D,A221))</f>
        <v/>
      </c>
    </row>
    <row r="222" ht="22" customHeight="1">
      <c r="A222" s="9">
        <f>IFERROR(INDEX(基础数据!$B$2:$B$500,ROW(A220)),"")</f>
        <v/>
      </c>
      <c r="B222" s="10">
        <f>IF(A222="","",SUMIFS(每日收货出货登记!$Q:$Q,每日收货出货登记!$D:$D,A222))</f>
        <v/>
      </c>
      <c r="C222" s="10">
        <f>IF(A222="","",SUMIFS(每日收货出货登记!$V:$V,每日收货出货登记!$D:$D,A222))</f>
        <v/>
      </c>
      <c r="D222" s="10">
        <f>IF(A222="","",SUMIFS(每日收货出货登记!$W:$W,每日收货出货登记!$D:$D,A222))</f>
        <v/>
      </c>
      <c r="E222" s="10">
        <f>IF(A222="","",COUNTIFS(每日收货出货登记!$D:$D,A222,每日收货出货登记!$G:$G,"&lt;&gt;"))</f>
        <v/>
      </c>
      <c r="F222" s="10">
        <f>IF(A222="","",COUNTIFS(每日收货出货登记!$D:$D,A222,每日收货出货登记!$W:$W,"&gt;0"))</f>
        <v/>
      </c>
      <c r="G222" s="9">
        <f>IF(A222="","",MAXIFS(每日收货出货登记!$A:$A,每日收货出货登记!$D:$D,A222))</f>
        <v/>
      </c>
    </row>
    <row r="223" ht="22" customHeight="1">
      <c r="A223" s="9">
        <f>IFERROR(INDEX(基础数据!$B$2:$B$500,ROW(A221)),"")</f>
        <v/>
      </c>
      <c r="B223" s="10">
        <f>IF(A223="","",SUMIFS(每日收货出货登记!$Q:$Q,每日收货出货登记!$D:$D,A223))</f>
        <v/>
      </c>
      <c r="C223" s="10">
        <f>IF(A223="","",SUMIFS(每日收货出货登记!$V:$V,每日收货出货登记!$D:$D,A223))</f>
        <v/>
      </c>
      <c r="D223" s="10">
        <f>IF(A223="","",SUMIFS(每日收货出货登记!$W:$W,每日收货出货登记!$D:$D,A223))</f>
        <v/>
      </c>
      <c r="E223" s="10">
        <f>IF(A223="","",COUNTIFS(每日收货出货登记!$D:$D,A223,每日收货出货登记!$G:$G,"&lt;&gt;"))</f>
        <v/>
      </c>
      <c r="F223" s="10">
        <f>IF(A223="","",COUNTIFS(每日收货出货登记!$D:$D,A223,每日收货出货登记!$W:$W,"&gt;0"))</f>
        <v/>
      </c>
      <c r="G223" s="9">
        <f>IF(A223="","",MAXIFS(每日收货出货登记!$A:$A,每日收货出货登记!$D:$D,A223))</f>
        <v/>
      </c>
    </row>
    <row r="224" ht="22" customHeight="1">
      <c r="A224" s="9">
        <f>IFERROR(INDEX(基础数据!$B$2:$B$500,ROW(A222)),"")</f>
        <v/>
      </c>
      <c r="B224" s="10">
        <f>IF(A224="","",SUMIFS(每日收货出货登记!$Q:$Q,每日收货出货登记!$D:$D,A224))</f>
        <v/>
      </c>
      <c r="C224" s="10">
        <f>IF(A224="","",SUMIFS(每日收货出货登记!$V:$V,每日收货出货登记!$D:$D,A224))</f>
        <v/>
      </c>
      <c r="D224" s="10">
        <f>IF(A224="","",SUMIFS(每日收货出货登记!$W:$W,每日收货出货登记!$D:$D,A224))</f>
        <v/>
      </c>
      <c r="E224" s="10">
        <f>IF(A224="","",COUNTIFS(每日收货出货登记!$D:$D,A224,每日收货出货登记!$G:$G,"&lt;&gt;"))</f>
        <v/>
      </c>
      <c r="F224" s="10">
        <f>IF(A224="","",COUNTIFS(每日收货出货登记!$D:$D,A224,每日收货出货登记!$W:$W,"&gt;0"))</f>
        <v/>
      </c>
      <c r="G224" s="9">
        <f>IF(A224="","",MAXIFS(每日收货出货登记!$A:$A,每日收货出货登记!$D:$D,A224))</f>
        <v/>
      </c>
    </row>
    <row r="225" ht="22" customHeight="1">
      <c r="A225" s="9">
        <f>IFERROR(INDEX(基础数据!$B$2:$B$500,ROW(A223)),"")</f>
        <v/>
      </c>
      <c r="B225" s="10">
        <f>IF(A225="","",SUMIFS(每日收货出货登记!$Q:$Q,每日收货出货登记!$D:$D,A225))</f>
        <v/>
      </c>
      <c r="C225" s="10">
        <f>IF(A225="","",SUMIFS(每日收货出货登记!$V:$V,每日收货出货登记!$D:$D,A225))</f>
        <v/>
      </c>
      <c r="D225" s="10">
        <f>IF(A225="","",SUMIFS(每日收货出货登记!$W:$W,每日收货出货登记!$D:$D,A225))</f>
        <v/>
      </c>
      <c r="E225" s="10">
        <f>IF(A225="","",COUNTIFS(每日收货出货登记!$D:$D,A225,每日收货出货登记!$G:$G,"&lt;&gt;"))</f>
        <v/>
      </c>
      <c r="F225" s="10">
        <f>IF(A225="","",COUNTIFS(每日收货出货登记!$D:$D,A225,每日收货出货登记!$W:$W,"&gt;0"))</f>
        <v/>
      </c>
      <c r="G225" s="9">
        <f>IF(A225="","",MAXIFS(每日收货出货登记!$A:$A,每日收货出货登记!$D:$D,A225))</f>
        <v/>
      </c>
    </row>
    <row r="226" ht="22" customHeight="1">
      <c r="A226" s="9">
        <f>IFERROR(INDEX(基础数据!$B$2:$B$500,ROW(A224)),"")</f>
        <v/>
      </c>
      <c r="B226" s="10">
        <f>IF(A226="","",SUMIFS(每日收货出货登记!$Q:$Q,每日收货出货登记!$D:$D,A226))</f>
        <v/>
      </c>
      <c r="C226" s="10">
        <f>IF(A226="","",SUMIFS(每日收货出货登记!$V:$V,每日收货出货登记!$D:$D,A226))</f>
        <v/>
      </c>
      <c r="D226" s="10">
        <f>IF(A226="","",SUMIFS(每日收货出货登记!$W:$W,每日收货出货登记!$D:$D,A226))</f>
        <v/>
      </c>
      <c r="E226" s="10">
        <f>IF(A226="","",COUNTIFS(每日收货出货登记!$D:$D,A226,每日收货出货登记!$G:$G,"&lt;&gt;"))</f>
        <v/>
      </c>
      <c r="F226" s="10">
        <f>IF(A226="","",COUNTIFS(每日收货出货登记!$D:$D,A226,每日收货出货登记!$W:$W,"&gt;0"))</f>
        <v/>
      </c>
      <c r="G226" s="9">
        <f>IF(A226="","",MAXIFS(每日收货出货登记!$A:$A,每日收货出货登记!$D:$D,A226))</f>
        <v/>
      </c>
    </row>
    <row r="227" ht="22" customHeight="1">
      <c r="A227" s="9">
        <f>IFERROR(INDEX(基础数据!$B$2:$B$500,ROW(A225)),"")</f>
        <v/>
      </c>
      <c r="B227" s="10">
        <f>IF(A227="","",SUMIFS(每日收货出货登记!$Q:$Q,每日收货出货登记!$D:$D,A227))</f>
        <v/>
      </c>
      <c r="C227" s="10">
        <f>IF(A227="","",SUMIFS(每日收货出货登记!$V:$V,每日收货出货登记!$D:$D,A227))</f>
        <v/>
      </c>
      <c r="D227" s="10">
        <f>IF(A227="","",SUMIFS(每日收货出货登记!$W:$W,每日收货出货登记!$D:$D,A227))</f>
        <v/>
      </c>
      <c r="E227" s="10">
        <f>IF(A227="","",COUNTIFS(每日收货出货登记!$D:$D,A227,每日收货出货登记!$G:$G,"&lt;&gt;"))</f>
        <v/>
      </c>
      <c r="F227" s="10">
        <f>IF(A227="","",COUNTIFS(每日收货出货登记!$D:$D,A227,每日收货出货登记!$W:$W,"&gt;0"))</f>
        <v/>
      </c>
      <c r="G227" s="9">
        <f>IF(A227="","",MAXIFS(每日收货出货登记!$A:$A,每日收货出货登记!$D:$D,A227))</f>
        <v/>
      </c>
    </row>
    <row r="228" ht="22" customHeight="1">
      <c r="A228" s="9">
        <f>IFERROR(INDEX(基础数据!$B$2:$B$500,ROW(A226)),"")</f>
        <v/>
      </c>
      <c r="B228" s="10">
        <f>IF(A228="","",SUMIFS(每日收货出货登记!$Q:$Q,每日收货出货登记!$D:$D,A228))</f>
        <v/>
      </c>
      <c r="C228" s="10">
        <f>IF(A228="","",SUMIFS(每日收货出货登记!$V:$V,每日收货出货登记!$D:$D,A228))</f>
        <v/>
      </c>
      <c r="D228" s="10">
        <f>IF(A228="","",SUMIFS(每日收货出货登记!$W:$W,每日收货出货登记!$D:$D,A228))</f>
        <v/>
      </c>
      <c r="E228" s="10">
        <f>IF(A228="","",COUNTIFS(每日收货出货登记!$D:$D,A228,每日收货出货登记!$G:$G,"&lt;&gt;"))</f>
        <v/>
      </c>
      <c r="F228" s="10">
        <f>IF(A228="","",COUNTIFS(每日收货出货登记!$D:$D,A228,每日收货出货登记!$W:$W,"&gt;0"))</f>
        <v/>
      </c>
      <c r="G228" s="9">
        <f>IF(A228="","",MAXIFS(每日收货出货登记!$A:$A,每日收货出货登记!$D:$D,A228))</f>
        <v/>
      </c>
    </row>
    <row r="229" ht="22" customHeight="1">
      <c r="A229" s="9">
        <f>IFERROR(INDEX(基础数据!$B$2:$B$500,ROW(A227)),"")</f>
        <v/>
      </c>
      <c r="B229" s="10">
        <f>IF(A229="","",SUMIFS(每日收货出货登记!$Q:$Q,每日收货出货登记!$D:$D,A229))</f>
        <v/>
      </c>
      <c r="C229" s="10">
        <f>IF(A229="","",SUMIFS(每日收货出货登记!$V:$V,每日收货出货登记!$D:$D,A229))</f>
        <v/>
      </c>
      <c r="D229" s="10">
        <f>IF(A229="","",SUMIFS(每日收货出货登记!$W:$W,每日收货出货登记!$D:$D,A229))</f>
        <v/>
      </c>
      <c r="E229" s="10">
        <f>IF(A229="","",COUNTIFS(每日收货出货登记!$D:$D,A229,每日收货出货登记!$G:$G,"&lt;&gt;"))</f>
        <v/>
      </c>
      <c r="F229" s="10">
        <f>IF(A229="","",COUNTIFS(每日收货出货登记!$D:$D,A229,每日收货出货登记!$W:$W,"&gt;0"))</f>
        <v/>
      </c>
      <c r="G229" s="9">
        <f>IF(A229="","",MAXIFS(每日收货出货登记!$A:$A,每日收货出货登记!$D:$D,A229))</f>
        <v/>
      </c>
    </row>
    <row r="230" ht="22" customHeight="1">
      <c r="A230" s="9">
        <f>IFERROR(INDEX(基础数据!$B$2:$B$500,ROW(A228)),"")</f>
        <v/>
      </c>
      <c r="B230" s="10">
        <f>IF(A230="","",SUMIFS(每日收货出货登记!$Q:$Q,每日收货出货登记!$D:$D,A230))</f>
        <v/>
      </c>
      <c r="C230" s="10">
        <f>IF(A230="","",SUMIFS(每日收货出货登记!$V:$V,每日收货出货登记!$D:$D,A230))</f>
        <v/>
      </c>
      <c r="D230" s="10">
        <f>IF(A230="","",SUMIFS(每日收货出货登记!$W:$W,每日收货出货登记!$D:$D,A230))</f>
        <v/>
      </c>
      <c r="E230" s="10">
        <f>IF(A230="","",COUNTIFS(每日收货出货登记!$D:$D,A230,每日收货出货登记!$G:$G,"&lt;&gt;"))</f>
        <v/>
      </c>
      <c r="F230" s="10">
        <f>IF(A230="","",COUNTIFS(每日收货出货登记!$D:$D,A230,每日收货出货登记!$W:$W,"&gt;0"))</f>
        <v/>
      </c>
      <c r="G230" s="9">
        <f>IF(A230="","",MAXIFS(每日收货出货登记!$A:$A,每日收货出货登记!$D:$D,A230))</f>
        <v/>
      </c>
    </row>
    <row r="231" ht="22" customHeight="1">
      <c r="A231" s="9">
        <f>IFERROR(INDEX(基础数据!$B$2:$B$500,ROW(A229)),"")</f>
        <v/>
      </c>
      <c r="B231" s="10">
        <f>IF(A231="","",SUMIFS(每日收货出货登记!$Q:$Q,每日收货出货登记!$D:$D,A231))</f>
        <v/>
      </c>
      <c r="C231" s="10">
        <f>IF(A231="","",SUMIFS(每日收货出货登记!$V:$V,每日收货出货登记!$D:$D,A231))</f>
        <v/>
      </c>
      <c r="D231" s="10">
        <f>IF(A231="","",SUMIFS(每日收货出货登记!$W:$W,每日收货出货登记!$D:$D,A231))</f>
        <v/>
      </c>
      <c r="E231" s="10">
        <f>IF(A231="","",COUNTIFS(每日收货出货登记!$D:$D,A231,每日收货出货登记!$G:$G,"&lt;&gt;"))</f>
        <v/>
      </c>
      <c r="F231" s="10">
        <f>IF(A231="","",COUNTIFS(每日收货出货登记!$D:$D,A231,每日收货出货登记!$W:$W,"&gt;0"))</f>
        <v/>
      </c>
      <c r="G231" s="9">
        <f>IF(A231="","",MAXIFS(每日收货出货登记!$A:$A,每日收货出货登记!$D:$D,A231))</f>
        <v/>
      </c>
    </row>
    <row r="232" ht="22" customHeight="1">
      <c r="A232" s="9">
        <f>IFERROR(INDEX(基础数据!$B$2:$B$500,ROW(A230)),"")</f>
        <v/>
      </c>
      <c r="B232" s="10">
        <f>IF(A232="","",SUMIFS(每日收货出货登记!$Q:$Q,每日收货出货登记!$D:$D,A232))</f>
        <v/>
      </c>
      <c r="C232" s="10">
        <f>IF(A232="","",SUMIFS(每日收货出货登记!$V:$V,每日收货出货登记!$D:$D,A232))</f>
        <v/>
      </c>
      <c r="D232" s="10">
        <f>IF(A232="","",SUMIFS(每日收货出货登记!$W:$W,每日收货出货登记!$D:$D,A232))</f>
        <v/>
      </c>
      <c r="E232" s="10">
        <f>IF(A232="","",COUNTIFS(每日收货出货登记!$D:$D,A232,每日收货出货登记!$G:$G,"&lt;&gt;"))</f>
        <v/>
      </c>
      <c r="F232" s="10">
        <f>IF(A232="","",COUNTIFS(每日收货出货登记!$D:$D,A232,每日收货出货登记!$W:$W,"&gt;0"))</f>
        <v/>
      </c>
      <c r="G232" s="9">
        <f>IF(A232="","",MAXIFS(每日收货出货登记!$A:$A,每日收货出货登记!$D:$D,A232))</f>
        <v/>
      </c>
    </row>
    <row r="233" ht="22" customHeight="1">
      <c r="A233" s="9">
        <f>IFERROR(INDEX(基础数据!$B$2:$B$500,ROW(A231)),"")</f>
        <v/>
      </c>
      <c r="B233" s="10">
        <f>IF(A233="","",SUMIFS(每日收货出货登记!$Q:$Q,每日收货出货登记!$D:$D,A233))</f>
        <v/>
      </c>
      <c r="C233" s="10">
        <f>IF(A233="","",SUMIFS(每日收货出货登记!$V:$V,每日收货出货登记!$D:$D,A233))</f>
        <v/>
      </c>
      <c r="D233" s="10">
        <f>IF(A233="","",SUMIFS(每日收货出货登记!$W:$W,每日收货出货登记!$D:$D,A233))</f>
        <v/>
      </c>
      <c r="E233" s="10">
        <f>IF(A233="","",COUNTIFS(每日收货出货登记!$D:$D,A233,每日收货出货登记!$G:$G,"&lt;&gt;"))</f>
        <v/>
      </c>
      <c r="F233" s="10">
        <f>IF(A233="","",COUNTIFS(每日收货出货登记!$D:$D,A233,每日收货出货登记!$W:$W,"&gt;0"))</f>
        <v/>
      </c>
      <c r="G233" s="9">
        <f>IF(A233="","",MAXIFS(每日收货出货登记!$A:$A,每日收货出货登记!$D:$D,A233))</f>
        <v/>
      </c>
    </row>
    <row r="234" ht="22" customHeight="1">
      <c r="A234" s="9">
        <f>IFERROR(INDEX(基础数据!$B$2:$B$500,ROW(A232)),"")</f>
        <v/>
      </c>
      <c r="B234" s="10">
        <f>IF(A234="","",SUMIFS(每日收货出货登记!$Q:$Q,每日收货出货登记!$D:$D,A234))</f>
        <v/>
      </c>
      <c r="C234" s="10">
        <f>IF(A234="","",SUMIFS(每日收货出货登记!$V:$V,每日收货出货登记!$D:$D,A234))</f>
        <v/>
      </c>
      <c r="D234" s="10">
        <f>IF(A234="","",SUMIFS(每日收货出货登记!$W:$W,每日收货出货登记!$D:$D,A234))</f>
        <v/>
      </c>
      <c r="E234" s="10">
        <f>IF(A234="","",COUNTIFS(每日收货出货登记!$D:$D,A234,每日收货出货登记!$G:$G,"&lt;&gt;"))</f>
        <v/>
      </c>
      <c r="F234" s="10">
        <f>IF(A234="","",COUNTIFS(每日收货出货登记!$D:$D,A234,每日收货出货登记!$W:$W,"&gt;0"))</f>
        <v/>
      </c>
      <c r="G234" s="9">
        <f>IF(A234="","",MAXIFS(每日收货出货登记!$A:$A,每日收货出货登记!$D:$D,A234))</f>
        <v/>
      </c>
    </row>
    <row r="235" ht="22" customHeight="1">
      <c r="A235" s="9">
        <f>IFERROR(INDEX(基础数据!$B$2:$B$500,ROW(A233)),"")</f>
        <v/>
      </c>
      <c r="B235" s="10">
        <f>IF(A235="","",SUMIFS(每日收货出货登记!$Q:$Q,每日收货出货登记!$D:$D,A235))</f>
        <v/>
      </c>
      <c r="C235" s="10">
        <f>IF(A235="","",SUMIFS(每日收货出货登记!$V:$V,每日收货出货登记!$D:$D,A235))</f>
        <v/>
      </c>
      <c r="D235" s="10">
        <f>IF(A235="","",SUMIFS(每日收货出货登记!$W:$W,每日收货出货登记!$D:$D,A235))</f>
        <v/>
      </c>
      <c r="E235" s="10">
        <f>IF(A235="","",COUNTIFS(每日收货出货登记!$D:$D,A235,每日收货出货登记!$G:$G,"&lt;&gt;"))</f>
        <v/>
      </c>
      <c r="F235" s="10">
        <f>IF(A235="","",COUNTIFS(每日收货出货登记!$D:$D,A235,每日收货出货登记!$W:$W,"&gt;0"))</f>
        <v/>
      </c>
      <c r="G235" s="9">
        <f>IF(A235="","",MAXIFS(每日收货出货登记!$A:$A,每日收货出货登记!$D:$D,A235))</f>
        <v/>
      </c>
    </row>
    <row r="236" ht="22" customHeight="1">
      <c r="A236" s="9">
        <f>IFERROR(INDEX(基础数据!$B$2:$B$500,ROW(A234)),"")</f>
        <v/>
      </c>
      <c r="B236" s="10">
        <f>IF(A236="","",SUMIFS(每日收货出货登记!$Q:$Q,每日收货出货登记!$D:$D,A236))</f>
        <v/>
      </c>
      <c r="C236" s="10">
        <f>IF(A236="","",SUMIFS(每日收货出货登记!$V:$V,每日收货出货登记!$D:$D,A236))</f>
        <v/>
      </c>
      <c r="D236" s="10">
        <f>IF(A236="","",SUMIFS(每日收货出货登记!$W:$W,每日收货出货登记!$D:$D,A236))</f>
        <v/>
      </c>
      <c r="E236" s="10">
        <f>IF(A236="","",COUNTIFS(每日收货出货登记!$D:$D,A236,每日收货出货登记!$G:$G,"&lt;&gt;"))</f>
        <v/>
      </c>
      <c r="F236" s="10">
        <f>IF(A236="","",COUNTIFS(每日收货出货登记!$D:$D,A236,每日收货出货登记!$W:$W,"&gt;0"))</f>
        <v/>
      </c>
      <c r="G236" s="9">
        <f>IF(A236="","",MAXIFS(每日收货出货登记!$A:$A,每日收货出货登记!$D:$D,A236))</f>
        <v/>
      </c>
    </row>
    <row r="237" ht="22" customHeight="1">
      <c r="A237" s="9">
        <f>IFERROR(INDEX(基础数据!$B$2:$B$500,ROW(A235)),"")</f>
        <v/>
      </c>
      <c r="B237" s="10">
        <f>IF(A237="","",SUMIFS(每日收货出货登记!$Q:$Q,每日收货出货登记!$D:$D,A237))</f>
        <v/>
      </c>
      <c r="C237" s="10">
        <f>IF(A237="","",SUMIFS(每日收货出货登记!$V:$V,每日收货出货登记!$D:$D,A237))</f>
        <v/>
      </c>
      <c r="D237" s="10">
        <f>IF(A237="","",SUMIFS(每日收货出货登记!$W:$W,每日收货出货登记!$D:$D,A237))</f>
        <v/>
      </c>
      <c r="E237" s="10">
        <f>IF(A237="","",COUNTIFS(每日收货出货登记!$D:$D,A237,每日收货出货登记!$G:$G,"&lt;&gt;"))</f>
        <v/>
      </c>
      <c r="F237" s="10">
        <f>IF(A237="","",COUNTIFS(每日收货出货登记!$D:$D,A237,每日收货出货登记!$W:$W,"&gt;0"))</f>
        <v/>
      </c>
      <c r="G237" s="9">
        <f>IF(A237="","",MAXIFS(每日收货出货登记!$A:$A,每日收货出货登记!$D:$D,A237))</f>
        <v/>
      </c>
    </row>
    <row r="238" ht="22" customHeight="1">
      <c r="A238" s="9">
        <f>IFERROR(INDEX(基础数据!$B$2:$B$500,ROW(A236)),"")</f>
        <v/>
      </c>
      <c r="B238" s="10">
        <f>IF(A238="","",SUMIFS(每日收货出货登记!$Q:$Q,每日收货出货登记!$D:$D,A238))</f>
        <v/>
      </c>
      <c r="C238" s="10">
        <f>IF(A238="","",SUMIFS(每日收货出货登记!$V:$V,每日收货出货登记!$D:$D,A238))</f>
        <v/>
      </c>
      <c r="D238" s="10">
        <f>IF(A238="","",SUMIFS(每日收货出货登记!$W:$W,每日收货出货登记!$D:$D,A238))</f>
        <v/>
      </c>
      <c r="E238" s="10">
        <f>IF(A238="","",COUNTIFS(每日收货出货登记!$D:$D,A238,每日收货出货登记!$G:$G,"&lt;&gt;"))</f>
        <v/>
      </c>
      <c r="F238" s="10">
        <f>IF(A238="","",COUNTIFS(每日收货出货登记!$D:$D,A238,每日收货出货登记!$W:$W,"&gt;0"))</f>
        <v/>
      </c>
      <c r="G238" s="9">
        <f>IF(A238="","",MAXIFS(每日收货出货登记!$A:$A,每日收货出货登记!$D:$D,A238))</f>
        <v/>
      </c>
    </row>
    <row r="239" ht="22" customHeight="1">
      <c r="A239" s="9">
        <f>IFERROR(INDEX(基础数据!$B$2:$B$500,ROW(A237)),"")</f>
        <v/>
      </c>
      <c r="B239" s="10">
        <f>IF(A239="","",SUMIFS(每日收货出货登记!$Q:$Q,每日收货出货登记!$D:$D,A239))</f>
        <v/>
      </c>
      <c r="C239" s="10">
        <f>IF(A239="","",SUMIFS(每日收货出货登记!$V:$V,每日收货出货登记!$D:$D,A239))</f>
        <v/>
      </c>
      <c r="D239" s="10">
        <f>IF(A239="","",SUMIFS(每日收货出货登记!$W:$W,每日收货出货登记!$D:$D,A239))</f>
        <v/>
      </c>
      <c r="E239" s="10">
        <f>IF(A239="","",COUNTIFS(每日收货出货登记!$D:$D,A239,每日收货出货登记!$G:$G,"&lt;&gt;"))</f>
        <v/>
      </c>
      <c r="F239" s="10">
        <f>IF(A239="","",COUNTIFS(每日收货出货登记!$D:$D,A239,每日收货出货登记!$W:$W,"&gt;0"))</f>
        <v/>
      </c>
      <c r="G239" s="9">
        <f>IF(A239="","",MAXIFS(每日收货出货登记!$A:$A,每日收货出货登记!$D:$D,A239))</f>
        <v/>
      </c>
    </row>
    <row r="240" ht="22" customHeight="1">
      <c r="A240" s="9">
        <f>IFERROR(INDEX(基础数据!$B$2:$B$500,ROW(A238)),"")</f>
        <v/>
      </c>
      <c r="B240" s="10">
        <f>IF(A240="","",SUMIFS(每日收货出货登记!$Q:$Q,每日收货出货登记!$D:$D,A240))</f>
        <v/>
      </c>
      <c r="C240" s="10">
        <f>IF(A240="","",SUMIFS(每日收货出货登记!$V:$V,每日收货出货登记!$D:$D,A240))</f>
        <v/>
      </c>
      <c r="D240" s="10">
        <f>IF(A240="","",SUMIFS(每日收货出货登记!$W:$W,每日收货出货登记!$D:$D,A240))</f>
        <v/>
      </c>
      <c r="E240" s="10">
        <f>IF(A240="","",COUNTIFS(每日收货出货登记!$D:$D,A240,每日收货出货登记!$G:$G,"&lt;&gt;"))</f>
        <v/>
      </c>
      <c r="F240" s="10">
        <f>IF(A240="","",COUNTIFS(每日收货出货登记!$D:$D,A240,每日收货出货登记!$W:$W,"&gt;0"))</f>
        <v/>
      </c>
      <c r="G240" s="9">
        <f>IF(A240="","",MAXIFS(每日收货出货登记!$A:$A,每日收货出货登记!$D:$D,A240))</f>
        <v/>
      </c>
    </row>
    <row r="241" ht="22" customHeight="1">
      <c r="A241" s="9">
        <f>IFERROR(INDEX(基础数据!$B$2:$B$500,ROW(A239)),"")</f>
        <v/>
      </c>
      <c r="B241" s="10">
        <f>IF(A241="","",SUMIFS(每日收货出货登记!$Q:$Q,每日收货出货登记!$D:$D,A241))</f>
        <v/>
      </c>
      <c r="C241" s="10">
        <f>IF(A241="","",SUMIFS(每日收货出货登记!$V:$V,每日收货出货登记!$D:$D,A241))</f>
        <v/>
      </c>
      <c r="D241" s="10">
        <f>IF(A241="","",SUMIFS(每日收货出货登记!$W:$W,每日收货出货登记!$D:$D,A241))</f>
        <v/>
      </c>
      <c r="E241" s="10">
        <f>IF(A241="","",COUNTIFS(每日收货出货登记!$D:$D,A241,每日收货出货登记!$G:$G,"&lt;&gt;"))</f>
        <v/>
      </c>
      <c r="F241" s="10">
        <f>IF(A241="","",COUNTIFS(每日收货出货登记!$D:$D,A241,每日收货出货登记!$W:$W,"&gt;0"))</f>
        <v/>
      </c>
      <c r="G241" s="9">
        <f>IF(A241="","",MAXIFS(每日收货出货登记!$A:$A,每日收货出货登记!$D:$D,A241))</f>
        <v/>
      </c>
    </row>
    <row r="242" ht="22" customHeight="1">
      <c r="A242" s="9">
        <f>IFERROR(INDEX(基础数据!$B$2:$B$500,ROW(A240)),"")</f>
        <v/>
      </c>
      <c r="B242" s="10">
        <f>IF(A242="","",SUMIFS(每日收货出货登记!$Q:$Q,每日收货出货登记!$D:$D,A242))</f>
        <v/>
      </c>
      <c r="C242" s="10">
        <f>IF(A242="","",SUMIFS(每日收货出货登记!$V:$V,每日收货出货登记!$D:$D,A242))</f>
        <v/>
      </c>
      <c r="D242" s="10">
        <f>IF(A242="","",SUMIFS(每日收货出货登记!$W:$W,每日收货出货登记!$D:$D,A242))</f>
        <v/>
      </c>
      <c r="E242" s="10">
        <f>IF(A242="","",COUNTIFS(每日收货出货登记!$D:$D,A242,每日收货出货登记!$G:$G,"&lt;&gt;"))</f>
        <v/>
      </c>
      <c r="F242" s="10">
        <f>IF(A242="","",COUNTIFS(每日收货出货登记!$D:$D,A242,每日收货出货登记!$W:$W,"&gt;0"))</f>
        <v/>
      </c>
      <c r="G242" s="9">
        <f>IF(A242="","",MAXIFS(每日收货出货登记!$A:$A,每日收货出货登记!$D:$D,A242))</f>
        <v/>
      </c>
    </row>
    <row r="243" ht="22" customHeight="1">
      <c r="A243" s="9">
        <f>IFERROR(INDEX(基础数据!$B$2:$B$500,ROW(A241)),"")</f>
        <v/>
      </c>
      <c r="B243" s="10">
        <f>IF(A243="","",SUMIFS(每日收货出货登记!$Q:$Q,每日收货出货登记!$D:$D,A243))</f>
        <v/>
      </c>
      <c r="C243" s="10">
        <f>IF(A243="","",SUMIFS(每日收货出货登记!$V:$V,每日收货出货登记!$D:$D,A243))</f>
        <v/>
      </c>
      <c r="D243" s="10">
        <f>IF(A243="","",SUMIFS(每日收货出货登记!$W:$W,每日收货出货登记!$D:$D,A243))</f>
        <v/>
      </c>
      <c r="E243" s="10">
        <f>IF(A243="","",COUNTIFS(每日收货出货登记!$D:$D,A243,每日收货出货登记!$G:$G,"&lt;&gt;"))</f>
        <v/>
      </c>
      <c r="F243" s="10">
        <f>IF(A243="","",COUNTIFS(每日收货出货登记!$D:$D,A243,每日收货出货登记!$W:$W,"&gt;0"))</f>
        <v/>
      </c>
      <c r="G243" s="9">
        <f>IF(A243="","",MAXIFS(每日收货出货登记!$A:$A,每日收货出货登记!$D:$D,A243))</f>
        <v/>
      </c>
    </row>
    <row r="244" ht="22" customHeight="1">
      <c r="A244" s="9">
        <f>IFERROR(INDEX(基础数据!$B$2:$B$500,ROW(A242)),"")</f>
        <v/>
      </c>
      <c r="B244" s="10">
        <f>IF(A244="","",SUMIFS(每日收货出货登记!$Q:$Q,每日收货出货登记!$D:$D,A244))</f>
        <v/>
      </c>
      <c r="C244" s="10">
        <f>IF(A244="","",SUMIFS(每日收货出货登记!$V:$V,每日收货出货登记!$D:$D,A244))</f>
        <v/>
      </c>
      <c r="D244" s="10">
        <f>IF(A244="","",SUMIFS(每日收货出货登记!$W:$W,每日收货出货登记!$D:$D,A244))</f>
        <v/>
      </c>
      <c r="E244" s="10">
        <f>IF(A244="","",COUNTIFS(每日收货出货登记!$D:$D,A244,每日收货出货登记!$G:$G,"&lt;&gt;"))</f>
        <v/>
      </c>
      <c r="F244" s="10">
        <f>IF(A244="","",COUNTIFS(每日收货出货登记!$D:$D,A244,每日收货出货登记!$W:$W,"&gt;0"))</f>
        <v/>
      </c>
      <c r="G244" s="9">
        <f>IF(A244="","",MAXIFS(每日收货出货登记!$A:$A,每日收货出货登记!$D:$D,A244))</f>
        <v/>
      </c>
    </row>
    <row r="245" ht="22" customHeight="1">
      <c r="A245" s="9">
        <f>IFERROR(INDEX(基础数据!$B$2:$B$500,ROW(A243)),"")</f>
        <v/>
      </c>
      <c r="B245" s="10">
        <f>IF(A245="","",SUMIFS(每日收货出货登记!$Q:$Q,每日收货出货登记!$D:$D,A245))</f>
        <v/>
      </c>
      <c r="C245" s="10">
        <f>IF(A245="","",SUMIFS(每日收货出货登记!$V:$V,每日收货出货登记!$D:$D,A245))</f>
        <v/>
      </c>
      <c r="D245" s="10">
        <f>IF(A245="","",SUMIFS(每日收货出货登记!$W:$W,每日收货出货登记!$D:$D,A245))</f>
        <v/>
      </c>
      <c r="E245" s="10">
        <f>IF(A245="","",COUNTIFS(每日收货出货登记!$D:$D,A245,每日收货出货登记!$G:$G,"&lt;&gt;"))</f>
        <v/>
      </c>
      <c r="F245" s="10">
        <f>IF(A245="","",COUNTIFS(每日收货出货登记!$D:$D,A245,每日收货出货登记!$W:$W,"&gt;0"))</f>
        <v/>
      </c>
      <c r="G245" s="9">
        <f>IF(A245="","",MAXIFS(每日收货出货登记!$A:$A,每日收货出货登记!$D:$D,A245))</f>
        <v/>
      </c>
    </row>
    <row r="246" ht="22" customHeight="1">
      <c r="A246" s="9">
        <f>IFERROR(INDEX(基础数据!$B$2:$B$500,ROW(A244)),"")</f>
        <v/>
      </c>
      <c r="B246" s="10">
        <f>IF(A246="","",SUMIFS(每日收货出货登记!$Q:$Q,每日收货出货登记!$D:$D,A246))</f>
        <v/>
      </c>
      <c r="C246" s="10">
        <f>IF(A246="","",SUMIFS(每日收货出货登记!$V:$V,每日收货出货登记!$D:$D,A246))</f>
        <v/>
      </c>
      <c r="D246" s="10">
        <f>IF(A246="","",SUMIFS(每日收货出货登记!$W:$W,每日收货出货登记!$D:$D,A246))</f>
        <v/>
      </c>
      <c r="E246" s="10">
        <f>IF(A246="","",COUNTIFS(每日收货出货登记!$D:$D,A246,每日收货出货登记!$G:$G,"&lt;&gt;"))</f>
        <v/>
      </c>
      <c r="F246" s="10">
        <f>IF(A246="","",COUNTIFS(每日收货出货登记!$D:$D,A246,每日收货出货登记!$W:$W,"&gt;0"))</f>
        <v/>
      </c>
      <c r="G246" s="9">
        <f>IF(A246="","",MAXIFS(每日收货出货登记!$A:$A,每日收货出货登记!$D:$D,A246))</f>
        <v/>
      </c>
    </row>
    <row r="247" ht="22" customHeight="1">
      <c r="A247" s="9">
        <f>IFERROR(INDEX(基础数据!$B$2:$B$500,ROW(A245)),"")</f>
        <v/>
      </c>
      <c r="B247" s="10">
        <f>IF(A247="","",SUMIFS(每日收货出货登记!$Q:$Q,每日收货出货登记!$D:$D,A247))</f>
        <v/>
      </c>
      <c r="C247" s="10">
        <f>IF(A247="","",SUMIFS(每日收货出货登记!$V:$V,每日收货出货登记!$D:$D,A247))</f>
        <v/>
      </c>
      <c r="D247" s="10">
        <f>IF(A247="","",SUMIFS(每日收货出货登记!$W:$W,每日收货出货登记!$D:$D,A247))</f>
        <v/>
      </c>
      <c r="E247" s="10">
        <f>IF(A247="","",COUNTIFS(每日收货出货登记!$D:$D,A247,每日收货出货登记!$G:$G,"&lt;&gt;"))</f>
        <v/>
      </c>
      <c r="F247" s="10">
        <f>IF(A247="","",COUNTIFS(每日收货出货登记!$D:$D,A247,每日收货出货登记!$W:$W,"&gt;0"))</f>
        <v/>
      </c>
      <c r="G247" s="9">
        <f>IF(A247="","",MAXIFS(每日收货出货登记!$A:$A,每日收货出货登记!$D:$D,A247))</f>
        <v/>
      </c>
    </row>
    <row r="248" ht="22" customHeight="1">
      <c r="A248" s="9">
        <f>IFERROR(INDEX(基础数据!$B$2:$B$500,ROW(A246)),"")</f>
        <v/>
      </c>
      <c r="B248" s="10">
        <f>IF(A248="","",SUMIFS(每日收货出货登记!$Q:$Q,每日收货出货登记!$D:$D,A248))</f>
        <v/>
      </c>
      <c r="C248" s="10">
        <f>IF(A248="","",SUMIFS(每日收货出货登记!$V:$V,每日收货出货登记!$D:$D,A248))</f>
        <v/>
      </c>
      <c r="D248" s="10">
        <f>IF(A248="","",SUMIFS(每日收货出货登记!$W:$W,每日收货出货登记!$D:$D,A248))</f>
        <v/>
      </c>
      <c r="E248" s="10">
        <f>IF(A248="","",COUNTIFS(每日收货出货登记!$D:$D,A248,每日收货出货登记!$G:$G,"&lt;&gt;"))</f>
        <v/>
      </c>
      <c r="F248" s="10">
        <f>IF(A248="","",COUNTIFS(每日收货出货登记!$D:$D,A248,每日收货出货登记!$W:$W,"&gt;0"))</f>
        <v/>
      </c>
      <c r="G248" s="9">
        <f>IF(A248="","",MAXIFS(每日收货出货登记!$A:$A,每日收货出货登记!$D:$D,A248))</f>
        <v/>
      </c>
    </row>
    <row r="249" ht="22" customHeight="1">
      <c r="A249" s="9">
        <f>IFERROR(INDEX(基础数据!$B$2:$B$500,ROW(A247)),"")</f>
        <v/>
      </c>
      <c r="B249" s="10">
        <f>IF(A249="","",SUMIFS(每日收货出货登记!$Q:$Q,每日收货出货登记!$D:$D,A249))</f>
        <v/>
      </c>
      <c r="C249" s="10">
        <f>IF(A249="","",SUMIFS(每日收货出货登记!$V:$V,每日收货出货登记!$D:$D,A249))</f>
        <v/>
      </c>
      <c r="D249" s="10">
        <f>IF(A249="","",SUMIFS(每日收货出货登记!$W:$W,每日收货出货登记!$D:$D,A249))</f>
        <v/>
      </c>
      <c r="E249" s="10">
        <f>IF(A249="","",COUNTIFS(每日收货出货登记!$D:$D,A249,每日收货出货登记!$G:$G,"&lt;&gt;"))</f>
        <v/>
      </c>
      <c r="F249" s="10">
        <f>IF(A249="","",COUNTIFS(每日收货出货登记!$D:$D,A249,每日收货出货登记!$W:$W,"&gt;0"))</f>
        <v/>
      </c>
      <c r="G249" s="9">
        <f>IF(A249="","",MAXIFS(每日收货出货登记!$A:$A,每日收货出货登记!$D:$D,A249))</f>
        <v/>
      </c>
    </row>
    <row r="250" ht="22" customHeight="1">
      <c r="A250" s="9">
        <f>IFERROR(INDEX(基础数据!$B$2:$B$500,ROW(A248)),"")</f>
        <v/>
      </c>
      <c r="B250" s="10">
        <f>IF(A250="","",SUMIFS(每日收货出货登记!$Q:$Q,每日收货出货登记!$D:$D,A250))</f>
        <v/>
      </c>
      <c r="C250" s="10">
        <f>IF(A250="","",SUMIFS(每日收货出货登记!$V:$V,每日收货出货登记!$D:$D,A250))</f>
        <v/>
      </c>
      <c r="D250" s="10">
        <f>IF(A250="","",SUMIFS(每日收货出货登记!$W:$W,每日收货出货登记!$D:$D,A250))</f>
        <v/>
      </c>
      <c r="E250" s="10">
        <f>IF(A250="","",COUNTIFS(每日收货出货登记!$D:$D,A250,每日收货出货登记!$G:$G,"&lt;&gt;"))</f>
        <v/>
      </c>
      <c r="F250" s="10">
        <f>IF(A250="","",COUNTIFS(每日收货出货登记!$D:$D,A250,每日收货出货登记!$W:$W,"&gt;0"))</f>
        <v/>
      </c>
      <c r="G250" s="9">
        <f>IF(A250="","",MAXIFS(每日收货出货登记!$A:$A,每日收货出货登记!$D:$D,A250))</f>
        <v/>
      </c>
    </row>
    <row r="251" ht="22" customHeight="1">
      <c r="A251" s="9">
        <f>IFERROR(INDEX(基础数据!$B$2:$B$500,ROW(A249)),"")</f>
        <v/>
      </c>
      <c r="B251" s="10">
        <f>IF(A251="","",SUMIFS(每日收货出货登记!$Q:$Q,每日收货出货登记!$D:$D,A251))</f>
        <v/>
      </c>
      <c r="C251" s="10">
        <f>IF(A251="","",SUMIFS(每日收货出货登记!$V:$V,每日收货出货登记!$D:$D,A251))</f>
        <v/>
      </c>
      <c r="D251" s="10">
        <f>IF(A251="","",SUMIFS(每日收货出货登记!$W:$W,每日收货出货登记!$D:$D,A251))</f>
        <v/>
      </c>
      <c r="E251" s="10">
        <f>IF(A251="","",COUNTIFS(每日收货出货登记!$D:$D,A251,每日收货出货登记!$G:$G,"&lt;&gt;"))</f>
        <v/>
      </c>
      <c r="F251" s="10">
        <f>IF(A251="","",COUNTIFS(每日收货出货登记!$D:$D,A251,每日收货出货登记!$W:$W,"&gt;0"))</f>
        <v/>
      </c>
      <c r="G251" s="9">
        <f>IF(A251="","",MAXIFS(每日收货出货登记!$A:$A,每日收货出货登记!$D:$D,A251))</f>
        <v/>
      </c>
    </row>
    <row r="252" ht="22" customHeight="1">
      <c r="A252" s="9">
        <f>IFERROR(INDEX(基础数据!$B$2:$B$500,ROW(A250)),"")</f>
        <v/>
      </c>
      <c r="B252" s="10">
        <f>IF(A252="","",SUMIFS(每日收货出货登记!$Q:$Q,每日收货出货登记!$D:$D,A252))</f>
        <v/>
      </c>
      <c r="C252" s="10">
        <f>IF(A252="","",SUMIFS(每日收货出货登记!$V:$V,每日收货出货登记!$D:$D,A252))</f>
        <v/>
      </c>
      <c r="D252" s="10">
        <f>IF(A252="","",SUMIFS(每日收货出货登记!$W:$W,每日收货出货登记!$D:$D,A252))</f>
        <v/>
      </c>
      <c r="E252" s="10">
        <f>IF(A252="","",COUNTIFS(每日收货出货登记!$D:$D,A252,每日收货出货登记!$G:$G,"&lt;&gt;"))</f>
        <v/>
      </c>
      <c r="F252" s="10">
        <f>IF(A252="","",COUNTIFS(每日收货出货登记!$D:$D,A252,每日收货出货登记!$W:$W,"&gt;0"))</f>
        <v/>
      </c>
      <c r="G252" s="9">
        <f>IF(A252="","",MAXIFS(每日收货出货登记!$A:$A,每日收货出货登记!$D:$D,A252))</f>
        <v/>
      </c>
    </row>
    <row r="253" ht="22" customHeight="1">
      <c r="A253" s="9">
        <f>IFERROR(INDEX(基础数据!$B$2:$B$500,ROW(A251)),"")</f>
        <v/>
      </c>
      <c r="B253" s="10">
        <f>IF(A253="","",SUMIFS(每日收货出货登记!$Q:$Q,每日收货出货登记!$D:$D,A253))</f>
        <v/>
      </c>
      <c r="C253" s="10">
        <f>IF(A253="","",SUMIFS(每日收货出货登记!$V:$V,每日收货出货登记!$D:$D,A253))</f>
        <v/>
      </c>
      <c r="D253" s="10">
        <f>IF(A253="","",SUMIFS(每日收货出货登记!$W:$W,每日收货出货登记!$D:$D,A253))</f>
        <v/>
      </c>
      <c r="E253" s="10">
        <f>IF(A253="","",COUNTIFS(每日收货出货登记!$D:$D,A253,每日收货出货登记!$G:$G,"&lt;&gt;"))</f>
        <v/>
      </c>
      <c r="F253" s="10">
        <f>IF(A253="","",COUNTIFS(每日收货出货登记!$D:$D,A253,每日收货出货登记!$W:$W,"&gt;0"))</f>
        <v/>
      </c>
      <c r="G253" s="9">
        <f>IF(A253="","",MAXIFS(每日收货出货登记!$A:$A,每日收货出货登记!$D:$D,A253))</f>
        <v/>
      </c>
    </row>
    <row r="254" ht="22" customHeight="1">
      <c r="A254" s="9">
        <f>IFERROR(INDEX(基础数据!$B$2:$B$500,ROW(A252)),"")</f>
        <v/>
      </c>
      <c r="B254" s="10">
        <f>IF(A254="","",SUMIFS(每日收货出货登记!$Q:$Q,每日收货出货登记!$D:$D,A254))</f>
        <v/>
      </c>
      <c r="C254" s="10">
        <f>IF(A254="","",SUMIFS(每日收货出货登记!$V:$V,每日收货出货登记!$D:$D,A254))</f>
        <v/>
      </c>
      <c r="D254" s="10">
        <f>IF(A254="","",SUMIFS(每日收货出货登记!$W:$W,每日收货出货登记!$D:$D,A254))</f>
        <v/>
      </c>
      <c r="E254" s="10">
        <f>IF(A254="","",COUNTIFS(每日收货出货登记!$D:$D,A254,每日收货出货登记!$G:$G,"&lt;&gt;"))</f>
        <v/>
      </c>
      <c r="F254" s="10">
        <f>IF(A254="","",COUNTIFS(每日收货出货登记!$D:$D,A254,每日收货出货登记!$W:$W,"&gt;0"))</f>
        <v/>
      </c>
      <c r="G254" s="9">
        <f>IF(A254="","",MAXIFS(每日收货出货登记!$A:$A,每日收货出货登记!$D:$D,A254))</f>
        <v/>
      </c>
    </row>
    <row r="255" ht="22" customHeight="1">
      <c r="A255" s="9">
        <f>IFERROR(INDEX(基础数据!$B$2:$B$500,ROW(A253)),"")</f>
        <v/>
      </c>
      <c r="B255" s="10">
        <f>IF(A255="","",SUMIFS(每日收货出货登记!$Q:$Q,每日收货出货登记!$D:$D,A255))</f>
        <v/>
      </c>
      <c r="C255" s="10">
        <f>IF(A255="","",SUMIFS(每日收货出货登记!$V:$V,每日收货出货登记!$D:$D,A255))</f>
        <v/>
      </c>
      <c r="D255" s="10">
        <f>IF(A255="","",SUMIFS(每日收货出货登记!$W:$W,每日收货出货登记!$D:$D,A255))</f>
        <v/>
      </c>
      <c r="E255" s="10">
        <f>IF(A255="","",COUNTIFS(每日收货出货登记!$D:$D,A255,每日收货出货登记!$G:$G,"&lt;&gt;"))</f>
        <v/>
      </c>
      <c r="F255" s="10">
        <f>IF(A255="","",COUNTIFS(每日收货出货登记!$D:$D,A255,每日收货出货登记!$W:$W,"&gt;0"))</f>
        <v/>
      </c>
      <c r="G255" s="9">
        <f>IF(A255="","",MAXIFS(每日收货出货登记!$A:$A,每日收货出货登记!$D:$D,A255))</f>
        <v/>
      </c>
    </row>
    <row r="256" ht="22" customHeight="1">
      <c r="A256" s="9">
        <f>IFERROR(INDEX(基础数据!$B$2:$B$500,ROW(A254)),"")</f>
        <v/>
      </c>
      <c r="B256" s="10">
        <f>IF(A256="","",SUMIFS(每日收货出货登记!$Q:$Q,每日收货出货登记!$D:$D,A256))</f>
        <v/>
      </c>
      <c r="C256" s="10">
        <f>IF(A256="","",SUMIFS(每日收货出货登记!$V:$V,每日收货出货登记!$D:$D,A256))</f>
        <v/>
      </c>
      <c r="D256" s="10">
        <f>IF(A256="","",SUMIFS(每日收货出货登记!$W:$W,每日收货出货登记!$D:$D,A256))</f>
        <v/>
      </c>
      <c r="E256" s="10">
        <f>IF(A256="","",COUNTIFS(每日收货出货登记!$D:$D,A256,每日收货出货登记!$G:$G,"&lt;&gt;"))</f>
        <v/>
      </c>
      <c r="F256" s="10">
        <f>IF(A256="","",COUNTIFS(每日收货出货登记!$D:$D,A256,每日收货出货登记!$W:$W,"&gt;0"))</f>
        <v/>
      </c>
      <c r="G256" s="9">
        <f>IF(A256="","",MAXIFS(每日收货出货登记!$A:$A,每日收货出货登记!$D:$D,A256))</f>
        <v/>
      </c>
    </row>
    <row r="257" ht="22" customHeight="1">
      <c r="A257" s="9">
        <f>IFERROR(INDEX(基础数据!$B$2:$B$500,ROW(A255)),"")</f>
        <v/>
      </c>
      <c r="B257" s="10">
        <f>IF(A257="","",SUMIFS(每日收货出货登记!$Q:$Q,每日收货出货登记!$D:$D,A257))</f>
        <v/>
      </c>
      <c r="C257" s="10">
        <f>IF(A257="","",SUMIFS(每日收货出货登记!$V:$V,每日收货出货登记!$D:$D,A257))</f>
        <v/>
      </c>
      <c r="D257" s="10">
        <f>IF(A257="","",SUMIFS(每日收货出货登记!$W:$W,每日收货出货登记!$D:$D,A257))</f>
        <v/>
      </c>
      <c r="E257" s="10">
        <f>IF(A257="","",COUNTIFS(每日收货出货登记!$D:$D,A257,每日收货出货登记!$G:$G,"&lt;&gt;"))</f>
        <v/>
      </c>
      <c r="F257" s="10">
        <f>IF(A257="","",COUNTIFS(每日收货出货登记!$D:$D,A257,每日收货出货登记!$W:$W,"&gt;0"))</f>
        <v/>
      </c>
      <c r="G257" s="9">
        <f>IF(A257="","",MAXIFS(每日收货出货登记!$A:$A,每日收货出货登记!$D:$D,A257))</f>
        <v/>
      </c>
    </row>
    <row r="258" ht="22" customHeight="1">
      <c r="A258" s="9">
        <f>IFERROR(INDEX(基础数据!$B$2:$B$500,ROW(A256)),"")</f>
        <v/>
      </c>
      <c r="B258" s="10">
        <f>IF(A258="","",SUMIFS(每日收货出货登记!$Q:$Q,每日收货出货登记!$D:$D,A258))</f>
        <v/>
      </c>
      <c r="C258" s="10">
        <f>IF(A258="","",SUMIFS(每日收货出货登记!$V:$V,每日收货出货登记!$D:$D,A258))</f>
        <v/>
      </c>
      <c r="D258" s="10">
        <f>IF(A258="","",SUMIFS(每日收货出货登记!$W:$W,每日收货出货登记!$D:$D,A258))</f>
        <v/>
      </c>
      <c r="E258" s="10">
        <f>IF(A258="","",COUNTIFS(每日收货出货登记!$D:$D,A258,每日收货出货登记!$G:$G,"&lt;&gt;"))</f>
        <v/>
      </c>
      <c r="F258" s="10">
        <f>IF(A258="","",COUNTIFS(每日收货出货登记!$D:$D,A258,每日收货出货登记!$W:$W,"&gt;0"))</f>
        <v/>
      </c>
      <c r="G258" s="9">
        <f>IF(A258="","",MAXIFS(每日收货出货登记!$A:$A,每日收货出货登记!$D:$D,A258))</f>
        <v/>
      </c>
    </row>
    <row r="259" ht="22" customHeight="1">
      <c r="A259" s="9">
        <f>IFERROR(INDEX(基础数据!$B$2:$B$500,ROW(A257)),"")</f>
        <v/>
      </c>
      <c r="B259" s="10">
        <f>IF(A259="","",SUMIFS(每日收货出货登记!$Q:$Q,每日收货出货登记!$D:$D,A259))</f>
        <v/>
      </c>
      <c r="C259" s="10">
        <f>IF(A259="","",SUMIFS(每日收货出货登记!$V:$V,每日收货出货登记!$D:$D,A259))</f>
        <v/>
      </c>
      <c r="D259" s="10">
        <f>IF(A259="","",SUMIFS(每日收货出货登记!$W:$W,每日收货出货登记!$D:$D,A259))</f>
        <v/>
      </c>
      <c r="E259" s="10">
        <f>IF(A259="","",COUNTIFS(每日收货出货登记!$D:$D,A259,每日收货出货登记!$G:$G,"&lt;&gt;"))</f>
        <v/>
      </c>
      <c r="F259" s="10">
        <f>IF(A259="","",COUNTIFS(每日收货出货登记!$D:$D,A259,每日收货出货登记!$W:$W,"&gt;0"))</f>
        <v/>
      </c>
      <c r="G259" s="9">
        <f>IF(A259="","",MAXIFS(每日收货出货登记!$A:$A,每日收货出货登记!$D:$D,A259))</f>
        <v/>
      </c>
    </row>
    <row r="260" ht="22" customHeight="1">
      <c r="A260" s="9">
        <f>IFERROR(INDEX(基础数据!$B$2:$B$500,ROW(A258)),"")</f>
        <v/>
      </c>
      <c r="B260" s="10">
        <f>IF(A260="","",SUMIFS(每日收货出货登记!$Q:$Q,每日收货出货登记!$D:$D,A260))</f>
        <v/>
      </c>
      <c r="C260" s="10">
        <f>IF(A260="","",SUMIFS(每日收货出货登记!$V:$V,每日收货出货登记!$D:$D,A260))</f>
        <v/>
      </c>
      <c r="D260" s="10">
        <f>IF(A260="","",SUMIFS(每日收货出货登记!$W:$W,每日收货出货登记!$D:$D,A260))</f>
        <v/>
      </c>
      <c r="E260" s="10">
        <f>IF(A260="","",COUNTIFS(每日收货出货登记!$D:$D,A260,每日收货出货登记!$G:$G,"&lt;&gt;"))</f>
        <v/>
      </c>
      <c r="F260" s="10">
        <f>IF(A260="","",COUNTIFS(每日收货出货登记!$D:$D,A260,每日收货出货登记!$W:$W,"&gt;0"))</f>
        <v/>
      </c>
      <c r="G260" s="9">
        <f>IF(A260="","",MAXIFS(每日收货出货登记!$A:$A,每日收货出货登记!$D:$D,A260))</f>
        <v/>
      </c>
    </row>
    <row r="261" ht="22" customHeight="1">
      <c r="A261" s="9">
        <f>IFERROR(INDEX(基础数据!$B$2:$B$500,ROW(A259)),"")</f>
        <v/>
      </c>
      <c r="B261" s="10">
        <f>IF(A261="","",SUMIFS(每日收货出货登记!$Q:$Q,每日收货出货登记!$D:$D,A261))</f>
        <v/>
      </c>
      <c r="C261" s="10">
        <f>IF(A261="","",SUMIFS(每日收货出货登记!$V:$V,每日收货出货登记!$D:$D,A261))</f>
        <v/>
      </c>
      <c r="D261" s="10">
        <f>IF(A261="","",SUMIFS(每日收货出货登记!$W:$W,每日收货出货登记!$D:$D,A261))</f>
        <v/>
      </c>
      <c r="E261" s="10">
        <f>IF(A261="","",COUNTIFS(每日收货出货登记!$D:$D,A261,每日收货出货登记!$G:$G,"&lt;&gt;"))</f>
        <v/>
      </c>
      <c r="F261" s="10">
        <f>IF(A261="","",COUNTIFS(每日收货出货登记!$D:$D,A261,每日收货出货登记!$W:$W,"&gt;0"))</f>
        <v/>
      </c>
      <c r="G261" s="9">
        <f>IF(A261="","",MAXIFS(每日收货出货登记!$A:$A,每日收货出货登记!$D:$D,A261))</f>
        <v/>
      </c>
    </row>
    <row r="262" ht="22" customHeight="1">
      <c r="A262" s="9">
        <f>IFERROR(INDEX(基础数据!$B$2:$B$500,ROW(A260)),"")</f>
        <v/>
      </c>
      <c r="B262" s="10">
        <f>IF(A262="","",SUMIFS(每日收货出货登记!$Q:$Q,每日收货出货登记!$D:$D,A262))</f>
        <v/>
      </c>
      <c r="C262" s="10">
        <f>IF(A262="","",SUMIFS(每日收货出货登记!$V:$V,每日收货出货登记!$D:$D,A262))</f>
        <v/>
      </c>
      <c r="D262" s="10">
        <f>IF(A262="","",SUMIFS(每日收货出货登记!$W:$W,每日收货出货登记!$D:$D,A262))</f>
        <v/>
      </c>
      <c r="E262" s="10">
        <f>IF(A262="","",COUNTIFS(每日收货出货登记!$D:$D,A262,每日收货出货登记!$G:$G,"&lt;&gt;"))</f>
        <v/>
      </c>
      <c r="F262" s="10">
        <f>IF(A262="","",COUNTIFS(每日收货出货登记!$D:$D,A262,每日收货出货登记!$W:$W,"&gt;0"))</f>
        <v/>
      </c>
      <c r="G262" s="9">
        <f>IF(A262="","",MAXIFS(每日收货出货登记!$A:$A,每日收货出货登记!$D:$D,A262))</f>
        <v/>
      </c>
    </row>
    <row r="263" ht="22" customHeight="1">
      <c r="A263" s="9">
        <f>IFERROR(INDEX(基础数据!$B$2:$B$500,ROW(A261)),"")</f>
        <v/>
      </c>
      <c r="B263" s="10">
        <f>IF(A263="","",SUMIFS(每日收货出货登记!$Q:$Q,每日收货出货登记!$D:$D,A263))</f>
        <v/>
      </c>
      <c r="C263" s="10">
        <f>IF(A263="","",SUMIFS(每日收货出货登记!$V:$V,每日收货出货登记!$D:$D,A263))</f>
        <v/>
      </c>
      <c r="D263" s="10">
        <f>IF(A263="","",SUMIFS(每日收货出货登记!$W:$W,每日收货出货登记!$D:$D,A263))</f>
        <v/>
      </c>
      <c r="E263" s="10">
        <f>IF(A263="","",COUNTIFS(每日收货出货登记!$D:$D,A263,每日收货出货登记!$G:$G,"&lt;&gt;"))</f>
        <v/>
      </c>
      <c r="F263" s="10">
        <f>IF(A263="","",COUNTIFS(每日收货出货登记!$D:$D,A263,每日收货出货登记!$W:$W,"&gt;0"))</f>
        <v/>
      </c>
      <c r="G263" s="9">
        <f>IF(A263="","",MAXIFS(每日收货出货登记!$A:$A,每日收货出货登记!$D:$D,A263))</f>
        <v/>
      </c>
    </row>
    <row r="264" ht="22" customHeight="1">
      <c r="A264" s="9">
        <f>IFERROR(INDEX(基础数据!$B$2:$B$500,ROW(A262)),"")</f>
        <v/>
      </c>
      <c r="B264" s="10">
        <f>IF(A264="","",SUMIFS(每日收货出货登记!$Q:$Q,每日收货出货登记!$D:$D,A264))</f>
        <v/>
      </c>
      <c r="C264" s="10">
        <f>IF(A264="","",SUMIFS(每日收货出货登记!$V:$V,每日收货出货登记!$D:$D,A264))</f>
        <v/>
      </c>
      <c r="D264" s="10">
        <f>IF(A264="","",SUMIFS(每日收货出货登记!$W:$W,每日收货出货登记!$D:$D,A264))</f>
        <v/>
      </c>
      <c r="E264" s="10">
        <f>IF(A264="","",COUNTIFS(每日收货出货登记!$D:$D,A264,每日收货出货登记!$G:$G,"&lt;&gt;"))</f>
        <v/>
      </c>
      <c r="F264" s="10">
        <f>IF(A264="","",COUNTIFS(每日收货出货登记!$D:$D,A264,每日收货出货登记!$W:$W,"&gt;0"))</f>
        <v/>
      </c>
      <c r="G264" s="9">
        <f>IF(A264="","",MAXIFS(每日收货出货登记!$A:$A,每日收货出货登记!$D:$D,A264))</f>
        <v/>
      </c>
    </row>
    <row r="265" ht="22" customHeight="1">
      <c r="A265" s="9">
        <f>IFERROR(INDEX(基础数据!$B$2:$B$500,ROW(A263)),"")</f>
        <v/>
      </c>
      <c r="B265" s="10">
        <f>IF(A265="","",SUMIFS(每日收货出货登记!$Q:$Q,每日收货出货登记!$D:$D,A265))</f>
        <v/>
      </c>
      <c r="C265" s="10">
        <f>IF(A265="","",SUMIFS(每日收货出货登记!$V:$V,每日收货出货登记!$D:$D,A265))</f>
        <v/>
      </c>
      <c r="D265" s="10">
        <f>IF(A265="","",SUMIFS(每日收货出货登记!$W:$W,每日收货出货登记!$D:$D,A265))</f>
        <v/>
      </c>
      <c r="E265" s="10">
        <f>IF(A265="","",COUNTIFS(每日收货出货登记!$D:$D,A265,每日收货出货登记!$G:$G,"&lt;&gt;"))</f>
        <v/>
      </c>
      <c r="F265" s="10">
        <f>IF(A265="","",COUNTIFS(每日收货出货登记!$D:$D,A265,每日收货出货登记!$W:$W,"&gt;0"))</f>
        <v/>
      </c>
      <c r="G265" s="9">
        <f>IF(A265="","",MAXIFS(每日收货出货登记!$A:$A,每日收货出货登记!$D:$D,A265))</f>
        <v/>
      </c>
    </row>
    <row r="266" ht="22" customHeight="1">
      <c r="A266" s="9">
        <f>IFERROR(INDEX(基础数据!$B$2:$B$500,ROW(A264)),"")</f>
        <v/>
      </c>
      <c r="B266" s="10">
        <f>IF(A266="","",SUMIFS(每日收货出货登记!$Q:$Q,每日收货出货登记!$D:$D,A266))</f>
        <v/>
      </c>
      <c r="C266" s="10">
        <f>IF(A266="","",SUMIFS(每日收货出货登记!$V:$V,每日收货出货登记!$D:$D,A266))</f>
        <v/>
      </c>
      <c r="D266" s="10">
        <f>IF(A266="","",SUMIFS(每日收货出货登记!$W:$W,每日收货出货登记!$D:$D,A266))</f>
        <v/>
      </c>
      <c r="E266" s="10">
        <f>IF(A266="","",COUNTIFS(每日收货出货登记!$D:$D,A266,每日收货出货登记!$G:$G,"&lt;&gt;"))</f>
        <v/>
      </c>
      <c r="F266" s="10">
        <f>IF(A266="","",COUNTIFS(每日收货出货登记!$D:$D,A266,每日收货出货登记!$W:$W,"&gt;0"))</f>
        <v/>
      </c>
      <c r="G266" s="9">
        <f>IF(A266="","",MAXIFS(每日收货出货登记!$A:$A,每日收货出货登记!$D:$D,A266))</f>
        <v/>
      </c>
    </row>
    <row r="267" ht="22" customHeight="1">
      <c r="A267" s="9">
        <f>IFERROR(INDEX(基础数据!$B$2:$B$500,ROW(A265)),"")</f>
        <v/>
      </c>
      <c r="B267" s="10">
        <f>IF(A267="","",SUMIFS(每日收货出货登记!$Q:$Q,每日收货出货登记!$D:$D,A267))</f>
        <v/>
      </c>
      <c r="C267" s="10">
        <f>IF(A267="","",SUMIFS(每日收货出货登记!$V:$V,每日收货出货登记!$D:$D,A267))</f>
        <v/>
      </c>
      <c r="D267" s="10">
        <f>IF(A267="","",SUMIFS(每日收货出货登记!$W:$W,每日收货出货登记!$D:$D,A267))</f>
        <v/>
      </c>
      <c r="E267" s="10">
        <f>IF(A267="","",COUNTIFS(每日收货出货登记!$D:$D,A267,每日收货出货登记!$G:$G,"&lt;&gt;"))</f>
        <v/>
      </c>
      <c r="F267" s="10">
        <f>IF(A267="","",COUNTIFS(每日收货出货登记!$D:$D,A267,每日收货出货登记!$W:$W,"&gt;0"))</f>
        <v/>
      </c>
      <c r="G267" s="9">
        <f>IF(A267="","",MAXIFS(每日收货出货登记!$A:$A,每日收货出货登记!$D:$D,A267))</f>
        <v/>
      </c>
    </row>
    <row r="268" ht="22" customHeight="1">
      <c r="A268" s="9">
        <f>IFERROR(INDEX(基础数据!$B$2:$B$500,ROW(A266)),"")</f>
        <v/>
      </c>
      <c r="B268" s="10">
        <f>IF(A268="","",SUMIFS(每日收货出货登记!$Q:$Q,每日收货出货登记!$D:$D,A268))</f>
        <v/>
      </c>
      <c r="C268" s="10">
        <f>IF(A268="","",SUMIFS(每日收货出货登记!$V:$V,每日收货出货登记!$D:$D,A268))</f>
        <v/>
      </c>
      <c r="D268" s="10">
        <f>IF(A268="","",SUMIFS(每日收货出货登记!$W:$W,每日收货出货登记!$D:$D,A268))</f>
        <v/>
      </c>
      <c r="E268" s="10">
        <f>IF(A268="","",COUNTIFS(每日收货出货登记!$D:$D,A268,每日收货出货登记!$G:$G,"&lt;&gt;"))</f>
        <v/>
      </c>
      <c r="F268" s="10">
        <f>IF(A268="","",COUNTIFS(每日收货出货登记!$D:$D,A268,每日收货出货登记!$W:$W,"&gt;0"))</f>
        <v/>
      </c>
      <c r="G268" s="9">
        <f>IF(A268="","",MAXIFS(每日收货出货登记!$A:$A,每日收货出货登记!$D:$D,A268))</f>
        <v/>
      </c>
    </row>
    <row r="269" ht="22" customHeight="1">
      <c r="A269" s="9">
        <f>IFERROR(INDEX(基础数据!$B$2:$B$500,ROW(A267)),"")</f>
        <v/>
      </c>
      <c r="B269" s="10">
        <f>IF(A269="","",SUMIFS(每日收货出货登记!$Q:$Q,每日收货出货登记!$D:$D,A269))</f>
        <v/>
      </c>
      <c r="C269" s="10">
        <f>IF(A269="","",SUMIFS(每日收货出货登记!$V:$V,每日收货出货登记!$D:$D,A269))</f>
        <v/>
      </c>
      <c r="D269" s="10">
        <f>IF(A269="","",SUMIFS(每日收货出货登记!$W:$W,每日收货出货登记!$D:$D,A269))</f>
        <v/>
      </c>
      <c r="E269" s="10">
        <f>IF(A269="","",COUNTIFS(每日收货出货登记!$D:$D,A269,每日收货出货登记!$G:$G,"&lt;&gt;"))</f>
        <v/>
      </c>
      <c r="F269" s="10">
        <f>IF(A269="","",COUNTIFS(每日收货出货登记!$D:$D,A269,每日收货出货登记!$W:$W,"&gt;0"))</f>
        <v/>
      </c>
      <c r="G269" s="9">
        <f>IF(A269="","",MAXIFS(每日收货出货登记!$A:$A,每日收货出货登记!$D:$D,A269))</f>
        <v/>
      </c>
    </row>
    <row r="270" ht="22" customHeight="1">
      <c r="A270" s="9">
        <f>IFERROR(INDEX(基础数据!$B$2:$B$500,ROW(A268)),"")</f>
        <v/>
      </c>
      <c r="B270" s="10">
        <f>IF(A270="","",SUMIFS(每日收货出货登记!$Q:$Q,每日收货出货登记!$D:$D,A270))</f>
        <v/>
      </c>
      <c r="C270" s="10">
        <f>IF(A270="","",SUMIFS(每日收货出货登记!$V:$V,每日收货出货登记!$D:$D,A270))</f>
        <v/>
      </c>
      <c r="D270" s="10">
        <f>IF(A270="","",SUMIFS(每日收货出货登记!$W:$W,每日收货出货登记!$D:$D,A270))</f>
        <v/>
      </c>
      <c r="E270" s="10">
        <f>IF(A270="","",COUNTIFS(每日收货出货登记!$D:$D,A270,每日收货出货登记!$G:$G,"&lt;&gt;"))</f>
        <v/>
      </c>
      <c r="F270" s="10">
        <f>IF(A270="","",COUNTIFS(每日收货出货登记!$D:$D,A270,每日收货出货登记!$W:$W,"&gt;0"))</f>
        <v/>
      </c>
      <c r="G270" s="9">
        <f>IF(A270="","",MAXIFS(每日收货出货登记!$A:$A,每日收货出货登记!$D:$D,A270))</f>
        <v/>
      </c>
    </row>
    <row r="271" ht="22" customHeight="1">
      <c r="A271" s="9">
        <f>IFERROR(INDEX(基础数据!$B$2:$B$500,ROW(A269)),"")</f>
        <v/>
      </c>
      <c r="B271" s="10">
        <f>IF(A271="","",SUMIFS(每日收货出货登记!$Q:$Q,每日收货出货登记!$D:$D,A271))</f>
        <v/>
      </c>
      <c r="C271" s="10">
        <f>IF(A271="","",SUMIFS(每日收货出货登记!$V:$V,每日收货出货登记!$D:$D,A271))</f>
        <v/>
      </c>
      <c r="D271" s="10">
        <f>IF(A271="","",SUMIFS(每日收货出货登记!$W:$W,每日收货出货登记!$D:$D,A271))</f>
        <v/>
      </c>
      <c r="E271" s="10">
        <f>IF(A271="","",COUNTIFS(每日收货出货登记!$D:$D,A271,每日收货出货登记!$G:$G,"&lt;&gt;"))</f>
        <v/>
      </c>
      <c r="F271" s="10">
        <f>IF(A271="","",COUNTIFS(每日收货出货登记!$D:$D,A271,每日收货出货登记!$W:$W,"&gt;0"))</f>
        <v/>
      </c>
      <c r="G271" s="9">
        <f>IF(A271="","",MAXIFS(每日收货出货登记!$A:$A,每日收货出货登记!$D:$D,A271))</f>
        <v/>
      </c>
    </row>
    <row r="272" ht="22" customHeight="1">
      <c r="A272" s="9">
        <f>IFERROR(INDEX(基础数据!$B$2:$B$500,ROW(A270)),"")</f>
        <v/>
      </c>
      <c r="B272" s="10">
        <f>IF(A272="","",SUMIFS(每日收货出货登记!$Q:$Q,每日收货出货登记!$D:$D,A272))</f>
        <v/>
      </c>
      <c r="C272" s="10">
        <f>IF(A272="","",SUMIFS(每日收货出货登记!$V:$V,每日收货出货登记!$D:$D,A272))</f>
        <v/>
      </c>
      <c r="D272" s="10">
        <f>IF(A272="","",SUMIFS(每日收货出货登记!$W:$W,每日收货出货登记!$D:$D,A272))</f>
        <v/>
      </c>
      <c r="E272" s="10">
        <f>IF(A272="","",COUNTIFS(每日收货出货登记!$D:$D,A272,每日收货出货登记!$G:$G,"&lt;&gt;"))</f>
        <v/>
      </c>
      <c r="F272" s="10">
        <f>IF(A272="","",COUNTIFS(每日收货出货登记!$D:$D,A272,每日收货出货登记!$W:$W,"&gt;0"))</f>
        <v/>
      </c>
      <c r="G272" s="9">
        <f>IF(A272="","",MAXIFS(每日收货出货登记!$A:$A,每日收货出货登记!$D:$D,A272))</f>
        <v/>
      </c>
    </row>
    <row r="273" ht="22" customHeight="1">
      <c r="A273" s="9">
        <f>IFERROR(INDEX(基础数据!$B$2:$B$500,ROW(A271)),"")</f>
        <v/>
      </c>
      <c r="B273" s="10">
        <f>IF(A273="","",SUMIFS(每日收货出货登记!$Q:$Q,每日收货出货登记!$D:$D,A273))</f>
        <v/>
      </c>
      <c r="C273" s="10">
        <f>IF(A273="","",SUMIFS(每日收货出货登记!$V:$V,每日收货出货登记!$D:$D,A273))</f>
        <v/>
      </c>
      <c r="D273" s="10">
        <f>IF(A273="","",SUMIFS(每日收货出货登记!$W:$W,每日收货出货登记!$D:$D,A273))</f>
        <v/>
      </c>
      <c r="E273" s="10">
        <f>IF(A273="","",COUNTIFS(每日收货出货登记!$D:$D,A273,每日收货出货登记!$G:$G,"&lt;&gt;"))</f>
        <v/>
      </c>
      <c r="F273" s="10">
        <f>IF(A273="","",COUNTIFS(每日收货出货登记!$D:$D,A273,每日收货出货登记!$W:$W,"&gt;0"))</f>
        <v/>
      </c>
      <c r="G273" s="9">
        <f>IF(A273="","",MAXIFS(每日收货出货登记!$A:$A,每日收货出货登记!$D:$D,A273))</f>
        <v/>
      </c>
    </row>
    <row r="274" ht="22" customHeight="1">
      <c r="A274" s="9">
        <f>IFERROR(INDEX(基础数据!$B$2:$B$500,ROW(A272)),"")</f>
        <v/>
      </c>
      <c r="B274" s="10">
        <f>IF(A274="","",SUMIFS(每日收货出货登记!$Q:$Q,每日收货出货登记!$D:$D,A274))</f>
        <v/>
      </c>
      <c r="C274" s="10">
        <f>IF(A274="","",SUMIFS(每日收货出货登记!$V:$V,每日收货出货登记!$D:$D,A274))</f>
        <v/>
      </c>
      <c r="D274" s="10">
        <f>IF(A274="","",SUMIFS(每日收货出货登记!$W:$W,每日收货出货登记!$D:$D,A274))</f>
        <v/>
      </c>
      <c r="E274" s="10">
        <f>IF(A274="","",COUNTIFS(每日收货出货登记!$D:$D,A274,每日收货出货登记!$G:$G,"&lt;&gt;"))</f>
        <v/>
      </c>
      <c r="F274" s="10">
        <f>IF(A274="","",COUNTIFS(每日收货出货登记!$D:$D,A274,每日收货出货登记!$W:$W,"&gt;0"))</f>
        <v/>
      </c>
      <c r="G274" s="9">
        <f>IF(A274="","",MAXIFS(每日收货出货登记!$A:$A,每日收货出货登记!$D:$D,A274))</f>
        <v/>
      </c>
    </row>
    <row r="275" ht="22" customHeight="1">
      <c r="A275" s="9">
        <f>IFERROR(INDEX(基础数据!$B$2:$B$500,ROW(A273)),"")</f>
        <v/>
      </c>
      <c r="B275" s="10">
        <f>IF(A275="","",SUMIFS(每日收货出货登记!$Q:$Q,每日收货出货登记!$D:$D,A275))</f>
        <v/>
      </c>
      <c r="C275" s="10">
        <f>IF(A275="","",SUMIFS(每日收货出货登记!$V:$V,每日收货出货登记!$D:$D,A275))</f>
        <v/>
      </c>
      <c r="D275" s="10">
        <f>IF(A275="","",SUMIFS(每日收货出货登记!$W:$W,每日收货出货登记!$D:$D,A275))</f>
        <v/>
      </c>
      <c r="E275" s="10">
        <f>IF(A275="","",COUNTIFS(每日收货出货登记!$D:$D,A275,每日收货出货登记!$G:$G,"&lt;&gt;"))</f>
        <v/>
      </c>
      <c r="F275" s="10">
        <f>IF(A275="","",COUNTIFS(每日收货出货登记!$D:$D,A275,每日收货出货登记!$W:$W,"&gt;0"))</f>
        <v/>
      </c>
      <c r="G275" s="9">
        <f>IF(A275="","",MAXIFS(每日收货出货登记!$A:$A,每日收货出货登记!$D:$D,A275))</f>
        <v/>
      </c>
    </row>
    <row r="276" ht="22" customHeight="1">
      <c r="A276" s="9">
        <f>IFERROR(INDEX(基础数据!$B$2:$B$500,ROW(A274)),"")</f>
        <v/>
      </c>
      <c r="B276" s="10">
        <f>IF(A276="","",SUMIFS(每日收货出货登记!$Q:$Q,每日收货出货登记!$D:$D,A276))</f>
        <v/>
      </c>
      <c r="C276" s="10">
        <f>IF(A276="","",SUMIFS(每日收货出货登记!$V:$V,每日收货出货登记!$D:$D,A276))</f>
        <v/>
      </c>
      <c r="D276" s="10">
        <f>IF(A276="","",SUMIFS(每日收货出货登记!$W:$W,每日收货出货登记!$D:$D,A276))</f>
        <v/>
      </c>
      <c r="E276" s="10">
        <f>IF(A276="","",COUNTIFS(每日收货出货登记!$D:$D,A276,每日收货出货登记!$G:$G,"&lt;&gt;"))</f>
        <v/>
      </c>
      <c r="F276" s="10">
        <f>IF(A276="","",COUNTIFS(每日收货出货登记!$D:$D,A276,每日收货出货登记!$W:$W,"&gt;0"))</f>
        <v/>
      </c>
      <c r="G276" s="9">
        <f>IF(A276="","",MAXIFS(每日收货出货登记!$A:$A,每日收货出货登记!$D:$D,A276))</f>
        <v/>
      </c>
    </row>
    <row r="277" ht="22" customHeight="1">
      <c r="A277" s="9">
        <f>IFERROR(INDEX(基础数据!$B$2:$B$500,ROW(A275)),"")</f>
        <v/>
      </c>
      <c r="B277" s="10">
        <f>IF(A277="","",SUMIFS(每日收货出货登记!$Q:$Q,每日收货出货登记!$D:$D,A277))</f>
        <v/>
      </c>
      <c r="C277" s="10">
        <f>IF(A277="","",SUMIFS(每日收货出货登记!$V:$V,每日收货出货登记!$D:$D,A277))</f>
        <v/>
      </c>
      <c r="D277" s="10">
        <f>IF(A277="","",SUMIFS(每日收货出货登记!$W:$W,每日收货出货登记!$D:$D,A277))</f>
        <v/>
      </c>
      <c r="E277" s="10">
        <f>IF(A277="","",COUNTIFS(每日收货出货登记!$D:$D,A277,每日收货出货登记!$G:$G,"&lt;&gt;"))</f>
        <v/>
      </c>
      <c r="F277" s="10">
        <f>IF(A277="","",COUNTIFS(每日收货出货登记!$D:$D,A277,每日收货出货登记!$W:$W,"&gt;0"))</f>
        <v/>
      </c>
      <c r="G277" s="9">
        <f>IF(A277="","",MAXIFS(每日收货出货登记!$A:$A,每日收货出货登记!$D:$D,A277))</f>
        <v/>
      </c>
    </row>
    <row r="278" ht="22" customHeight="1">
      <c r="A278" s="9">
        <f>IFERROR(INDEX(基础数据!$B$2:$B$500,ROW(A276)),"")</f>
        <v/>
      </c>
      <c r="B278" s="10">
        <f>IF(A278="","",SUMIFS(每日收货出货登记!$Q:$Q,每日收货出货登记!$D:$D,A278))</f>
        <v/>
      </c>
      <c r="C278" s="10">
        <f>IF(A278="","",SUMIFS(每日收货出货登记!$V:$V,每日收货出货登记!$D:$D,A278))</f>
        <v/>
      </c>
      <c r="D278" s="10">
        <f>IF(A278="","",SUMIFS(每日收货出货登记!$W:$W,每日收货出货登记!$D:$D,A278))</f>
        <v/>
      </c>
      <c r="E278" s="10">
        <f>IF(A278="","",COUNTIFS(每日收货出货登记!$D:$D,A278,每日收货出货登记!$G:$G,"&lt;&gt;"))</f>
        <v/>
      </c>
      <c r="F278" s="10">
        <f>IF(A278="","",COUNTIFS(每日收货出货登记!$D:$D,A278,每日收货出货登记!$W:$W,"&gt;0"))</f>
        <v/>
      </c>
      <c r="G278" s="9">
        <f>IF(A278="","",MAXIFS(每日收货出货登记!$A:$A,每日收货出货登记!$D:$D,A278))</f>
        <v/>
      </c>
    </row>
    <row r="279" ht="22" customHeight="1">
      <c r="A279" s="9">
        <f>IFERROR(INDEX(基础数据!$B$2:$B$500,ROW(A277)),"")</f>
        <v/>
      </c>
      <c r="B279" s="10">
        <f>IF(A279="","",SUMIFS(每日收货出货登记!$Q:$Q,每日收货出货登记!$D:$D,A279))</f>
        <v/>
      </c>
      <c r="C279" s="10">
        <f>IF(A279="","",SUMIFS(每日收货出货登记!$V:$V,每日收货出货登记!$D:$D,A279))</f>
        <v/>
      </c>
      <c r="D279" s="10">
        <f>IF(A279="","",SUMIFS(每日收货出货登记!$W:$W,每日收货出货登记!$D:$D,A279))</f>
        <v/>
      </c>
      <c r="E279" s="10">
        <f>IF(A279="","",COUNTIFS(每日收货出货登记!$D:$D,A279,每日收货出货登记!$G:$G,"&lt;&gt;"))</f>
        <v/>
      </c>
      <c r="F279" s="10">
        <f>IF(A279="","",COUNTIFS(每日收货出货登记!$D:$D,A279,每日收货出货登记!$W:$W,"&gt;0"))</f>
        <v/>
      </c>
      <c r="G279" s="9">
        <f>IF(A279="","",MAXIFS(每日收货出货登记!$A:$A,每日收货出货登记!$D:$D,A279))</f>
        <v/>
      </c>
    </row>
    <row r="280" ht="22" customHeight="1">
      <c r="A280" s="9">
        <f>IFERROR(INDEX(基础数据!$B$2:$B$500,ROW(A278)),"")</f>
        <v/>
      </c>
      <c r="B280" s="10">
        <f>IF(A280="","",SUMIFS(每日收货出货登记!$Q:$Q,每日收货出货登记!$D:$D,A280))</f>
        <v/>
      </c>
      <c r="C280" s="10">
        <f>IF(A280="","",SUMIFS(每日收货出货登记!$V:$V,每日收货出货登记!$D:$D,A280))</f>
        <v/>
      </c>
      <c r="D280" s="10">
        <f>IF(A280="","",SUMIFS(每日收货出货登记!$W:$W,每日收货出货登记!$D:$D,A280))</f>
        <v/>
      </c>
      <c r="E280" s="10">
        <f>IF(A280="","",COUNTIFS(每日收货出货登记!$D:$D,A280,每日收货出货登记!$G:$G,"&lt;&gt;"))</f>
        <v/>
      </c>
      <c r="F280" s="10">
        <f>IF(A280="","",COUNTIFS(每日收货出货登记!$D:$D,A280,每日收货出货登记!$W:$W,"&gt;0"))</f>
        <v/>
      </c>
      <c r="G280" s="9">
        <f>IF(A280="","",MAXIFS(每日收货出货登记!$A:$A,每日收货出货登记!$D:$D,A280))</f>
        <v/>
      </c>
    </row>
    <row r="281" ht="22" customHeight="1">
      <c r="A281" s="9">
        <f>IFERROR(INDEX(基础数据!$B$2:$B$500,ROW(A279)),"")</f>
        <v/>
      </c>
      <c r="B281" s="10">
        <f>IF(A281="","",SUMIFS(每日收货出货登记!$Q:$Q,每日收货出货登记!$D:$D,A281))</f>
        <v/>
      </c>
      <c r="C281" s="10">
        <f>IF(A281="","",SUMIFS(每日收货出货登记!$V:$V,每日收货出货登记!$D:$D,A281))</f>
        <v/>
      </c>
      <c r="D281" s="10">
        <f>IF(A281="","",SUMIFS(每日收货出货登记!$W:$W,每日收货出货登记!$D:$D,A281))</f>
        <v/>
      </c>
      <c r="E281" s="10">
        <f>IF(A281="","",COUNTIFS(每日收货出货登记!$D:$D,A281,每日收货出货登记!$G:$G,"&lt;&gt;"))</f>
        <v/>
      </c>
      <c r="F281" s="10">
        <f>IF(A281="","",COUNTIFS(每日收货出货登记!$D:$D,A281,每日收货出货登记!$W:$W,"&gt;0"))</f>
        <v/>
      </c>
      <c r="G281" s="9">
        <f>IF(A281="","",MAXIFS(每日收货出货登记!$A:$A,每日收货出货登记!$D:$D,A281))</f>
        <v/>
      </c>
    </row>
    <row r="282" ht="22" customHeight="1">
      <c r="A282" s="9">
        <f>IFERROR(INDEX(基础数据!$B$2:$B$500,ROW(A280)),"")</f>
        <v/>
      </c>
      <c r="B282" s="10">
        <f>IF(A282="","",SUMIFS(每日收货出货登记!$Q:$Q,每日收货出货登记!$D:$D,A282))</f>
        <v/>
      </c>
      <c r="C282" s="10">
        <f>IF(A282="","",SUMIFS(每日收货出货登记!$V:$V,每日收货出货登记!$D:$D,A282))</f>
        <v/>
      </c>
      <c r="D282" s="10">
        <f>IF(A282="","",SUMIFS(每日收货出货登记!$W:$W,每日收货出货登记!$D:$D,A282))</f>
        <v/>
      </c>
      <c r="E282" s="10">
        <f>IF(A282="","",COUNTIFS(每日收货出货登记!$D:$D,A282,每日收货出货登记!$G:$G,"&lt;&gt;"))</f>
        <v/>
      </c>
      <c r="F282" s="10">
        <f>IF(A282="","",COUNTIFS(每日收货出货登记!$D:$D,A282,每日收货出货登记!$W:$W,"&gt;0"))</f>
        <v/>
      </c>
      <c r="G282" s="9">
        <f>IF(A282="","",MAXIFS(每日收货出货登记!$A:$A,每日收货出货登记!$D:$D,A282))</f>
        <v/>
      </c>
    </row>
    <row r="283" ht="22" customHeight="1">
      <c r="A283" s="9">
        <f>IFERROR(INDEX(基础数据!$B$2:$B$500,ROW(A281)),"")</f>
        <v/>
      </c>
      <c r="B283" s="10">
        <f>IF(A283="","",SUMIFS(每日收货出货登记!$Q:$Q,每日收货出货登记!$D:$D,A283))</f>
        <v/>
      </c>
      <c r="C283" s="10">
        <f>IF(A283="","",SUMIFS(每日收货出货登记!$V:$V,每日收货出货登记!$D:$D,A283))</f>
        <v/>
      </c>
      <c r="D283" s="10">
        <f>IF(A283="","",SUMIFS(每日收货出货登记!$W:$W,每日收货出货登记!$D:$D,A283))</f>
        <v/>
      </c>
      <c r="E283" s="10">
        <f>IF(A283="","",COUNTIFS(每日收货出货登记!$D:$D,A283,每日收货出货登记!$G:$G,"&lt;&gt;"))</f>
        <v/>
      </c>
      <c r="F283" s="10">
        <f>IF(A283="","",COUNTIFS(每日收货出货登记!$D:$D,A283,每日收货出货登记!$W:$W,"&gt;0"))</f>
        <v/>
      </c>
      <c r="G283" s="9">
        <f>IF(A283="","",MAXIFS(每日收货出货登记!$A:$A,每日收货出货登记!$D:$D,A283))</f>
        <v/>
      </c>
    </row>
    <row r="284" ht="22" customHeight="1">
      <c r="A284" s="9">
        <f>IFERROR(INDEX(基础数据!$B$2:$B$500,ROW(A282)),"")</f>
        <v/>
      </c>
      <c r="B284" s="10">
        <f>IF(A284="","",SUMIFS(每日收货出货登记!$Q:$Q,每日收货出货登记!$D:$D,A284))</f>
        <v/>
      </c>
      <c r="C284" s="10">
        <f>IF(A284="","",SUMIFS(每日收货出货登记!$V:$V,每日收货出货登记!$D:$D,A284))</f>
        <v/>
      </c>
      <c r="D284" s="10">
        <f>IF(A284="","",SUMIFS(每日收货出货登记!$W:$W,每日收货出货登记!$D:$D,A284))</f>
        <v/>
      </c>
      <c r="E284" s="10">
        <f>IF(A284="","",COUNTIFS(每日收货出货登记!$D:$D,A284,每日收货出货登记!$G:$G,"&lt;&gt;"))</f>
        <v/>
      </c>
      <c r="F284" s="10">
        <f>IF(A284="","",COUNTIFS(每日收货出货登记!$D:$D,A284,每日收货出货登记!$W:$W,"&gt;0"))</f>
        <v/>
      </c>
      <c r="G284" s="9">
        <f>IF(A284="","",MAXIFS(每日收货出货登记!$A:$A,每日收货出货登记!$D:$D,A284))</f>
        <v/>
      </c>
    </row>
    <row r="285" ht="22" customHeight="1">
      <c r="A285" s="9">
        <f>IFERROR(INDEX(基础数据!$B$2:$B$500,ROW(A283)),"")</f>
        <v/>
      </c>
      <c r="B285" s="10">
        <f>IF(A285="","",SUMIFS(每日收货出货登记!$Q:$Q,每日收货出货登记!$D:$D,A285))</f>
        <v/>
      </c>
      <c r="C285" s="10">
        <f>IF(A285="","",SUMIFS(每日收货出货登记!$V:$V,每日收货出货登记!$D:$D,A285))</f>
        <v/>
      </c>
      <c r="D285" s="10">
        <f>IF(A285="","",SUMIFS(每日收货出货登记!$W:$W,每日收货出货登记!$D:$D,A285))</f>
        <v/>
      </c>
      <c r="E285" s="10">
        <f>IF(A285="","",COUNTIFS(每日收货出货登记!$D:$D,A285,每日收货出货登记!$G:$G,"&lt;&gt;"))</f>
        <v/>
      </c>
      <c r="F285" s="10">
        <f>IF(A285="","",COUNTIFS(每日收货出货登记!$D:$D,A285,每日收货出货登记!$W:$W,"&gt;0"))</f>
        <v/>
      </c>
      <c r="G285" s="9">
        <f>IF(A285="","",MAXIFS(每日收货出货登记!$A:$A,每日收货出货登记!$D:$D,A285))</f>
        <v/>
      </c>
    </row>
    <row r="286" ht="22" customHeight="1">
      <c r="A286" s="9">
        <f>IFERROR(INDEX(基础数据!$B$2:$B$500,ROW(A284)),"")</f>
        <v/>
      </c>
      <c r="B286" s="10">
        <f>IF(A286="","",SUMIFS(每日收货出货登记!$Q:$Q,每日收货出货登记!$D:$D,A286))</f>
        <v/>
      </c>
      <c r="C286" s="10">
        <f>IF(A286="","",SUMIFS(每日收货出货登记!$V:$V,每日收货出货登记!$D:$D,A286))</f>
        <v/>
      </c>
      <c r="D286" s="10">
        <f>IF(A286="","",SUMIFS(每日收货出货登记!$W:$W,每日收货出货登记!$D:$D,A286))</f>
        <v/>
      </c>
      <c r="E286" s="10">
        <f>IF(A286="","",COUNTIFS(每日收货出货登记!$D:$D,A286,每日收货出货登记!$G:$G,"&lt;&gt;"))</f>
        <v/>
      </c>
      <c r="F286" s="10">
        <f>IF(A286="","",COUNTIFS(每日收货出货登记!$D:$D,A286,每日收货出货登记!$W:$W,"&gt;0"))</f>
        <v/>
      </c>
      <c r="G286" s="9">
        <f>IF(A286="","",MAXIFS(每日收货出货登记!$A:$A,每日收货出货登记!$D:$D,A286))</f>
        <v/>
      </c>
    </row>
    <row r="287" ht="22" customHeight="1">
      <c r="A287" s="9">
        <f>IFERROR(INDEX(基础数据!$B$2:$B$500,ROW(A285)),"")</f>
        <v/>
      </c>
      <c r="B287" s="10">
        <f>IF(A287="","",SUMIFS(每日收货出货登记!$Q:$Q,每日收货出货登记!$D:$D,A287))</f>
        <v/>
      </c>
      <c r="C287" s="10">
        <f>IF(A287="","",SUMIFS(每日收货出货登记!$V:$V,每日收货出货登记!$D:$D,A287))</f>
        <v/>
      </c>
      <c r="D287" s="10">
        <f>IF(A287="","",SUMIFS(每日收货出货登记!$W:$W,每日收货出货登记!$D:$D,A287))</f>
        <v/>
      </c>
      <c r="E287" s="10">
        <f>IF(A287="","",COUNTIFS(每日收货出货登记!$D:$D,A287,每日收货出货登记!$G:$G,"&lt;&gt;"))</f>
        <v/>
      </c>
      <c r="F287" s="10">
        <f>IF(A287="","",COUNTIFS(每日收货出货登记!$D:$D,A287,每日收货出货登记!$W:$W,"&gt;0"))</f>
        <v/>
      </c>
      <c r="G287" s="9">
        <f>IF(A287="","",MAXIFS(每日收货出货登记!$A:$A,每日收货出货登记!$D:$D,A287))</f>
        <v/>
      </c>
    </row>
    <row r="288" ht="22" customHeight="1">
      <c r="A288" s="9">
        <f>IFERROR(INDEX(基础数据!$B$2:$B$500,ROW(A286)),"")</f>
        <v/>
      </c>
      <c r="B288" s="10">
        <f>IF(A288="","",SUMIFS(每日收货出货登记!$Q:$Q,每日收货出货登记!$D:$D,A288))</f>
        <v/>
      </c>
      <c r="C288" s="10">
        <f>IF(A288="","",SUMIFS(每日收货出货登记!$V:$V,每日收货出货登记!$D:$D,A288))</f>
        <v/>
      </c>
      <c r="D288" s="10">
        <f>IF(A288="","",SUMIFS(每日收货出货登记!$W:$W,每日收货出货登记!$D:$D,A288))</f>
        <v/>
      </c>
      <c r="E288" s="10">
        <f>IF(A288="","",COUNTIFS(每日收货出货登记!$D:$D,A288,每日收货出货登记!$G:$G,"&lt;&gt;"))</f>
        <v/>
      </c>
      <c r="F288" s="10">
        <f>IF(A288="","",COUNTIFS(每日收货出货登记!$D:$D,A288,每日收货出货登记!$W:$W,"&gt;0"))</f>
        <v/>
      </c>
      <c r="G288" s="9">
        <f>IF(A288="","",MAXIFS(每日收货出货登记!$A:$A,每日收货出货登记!$D:$D,A288))</f>
        <v/>
      </c>
    </row>
    <row r="289" ht="22" customHeight="1">
      <c r="A289" s="9">
        <f>IFERROR(INDEX(基础数据!$B$2:$B$500,ROW(A287)),"")</f>
        <v/>
      </c>
      <c r="B289" s="10">
        <f>IF(A289="","",SUMIFS(每日收货出货登记!$Q:$Q,每日收货出货登记!$D:$D,A289))</f>
        <v/>
      </c>
      <c r="C289" s="10">
        <f>IF(A289="","",SUMIFS(每日收货出货登记!$V:$V,每日收货出货登记!$D:$D,A289))</f>
        <v/>
      </c>
      <c r="D289" s="10">
        <f>IF(A289="","",SUMIFS(每日收货出货登记!$W:$W,每日收货出货登记!$D:$D,A289))</f>
        <v/>
      </c>
      <c r="E289" s="10">
        <f>IF(A289="","",COUNTIFS(每日收货出货登记!$D:$D,A289,每日收货出货登记!$G:$G,"&lt;&gt;"))</f>
        <v/>
      </c>
      <c r="F289" s="10">
        <f>IF(A289="","",COUNTIFS(每日收货出货登记!$D:$D,A289,每日收货出货登记!$W:$W,"&gt;0"))</f>
        <v/>
      </c>
      <c r="G289" s="9">
        <f>IF(A289="","",MAXIFS(每日收货出货登记!$A:$A,每日收货出货登记!$D:$D,A289))</f>
        <v/>
      </c>
    </row>
    <row r="290" ht="22" customHeight="1">
      <c r="A290" s="9">
        <f>IFERROR(INDEX(基础数据!$B$2:$B$500,ROW(A288)),"")</f>
        <v/>
      </c>
      <c r="B290" s="10">
        <f>IF(A290="","",SUMIFS(每日收货出货登记!$Q:$Q,每日收货出货登记!$D:$D,A290))</f>
        <v/>
      </c>
      <c r="C290" s="10">
        <f>IF(A290="","",SUMIFS(每日收货出货登记!$V:$V,每日收货出货登记!$D:$D,A290))</f>
        <v/>
      </c>
      <c r="D290" s="10">
        <f>IF(A290="","",SUMIFS(每日收货出货登记!$W:$W,每日收货出货登记!$D:$D,A290))</f>
        <v/>
      </c>
      <c r="E290" s="10">
        <f>IF(A290="","",COUNTIFS(每日收货出货登记!$D:$D,A290,每日收货出货登记!$G:$G,"&lt;&gt;"))</f>
        <v/>
      </c>
      <c r="F290" s="10">
        <f>IF(A290="","",COUNTIFS(每日收货出货登记!$D:$D,A290,每日收货出货登记!$W:$W,"&gt;0"))</f>
        <v/>
      </c>
      <c r="G290" s="9">
        <f>IF(A290="","",MAXIFS(每日收货出货登记!$A:$A,每日收货出货登记!$D:$D,A290))</f>
        <v/>
      </c>
    </row>
    <row r="291" ht="22" customHeight="1">
      <c r="A291" s="9">
        <f>IFERROR(INDEX(基础数据!$B$2:$B$500,ROW(A289)),"")</f>
        <v/>
      </c>
      <c r="B291" s="10">
        <f>IF(A291="","",SUMIFS(每日收货出货登记!$Q:$Q,每日收货出货登记!$D:$D,A291))</f>
        <v/>
      </c>
      <c r="C291" s="10">
        <f>IF(A291="","",SUMIFS(每日收货出货登记!$V:$V,每日收货出货登记!$D:$D,A291))</f>
        <v/>
      </c>
      <c r="D291" s="10">
        <f>IF(A291="","",SUMIFS(每日收货出货登记!$W:$W,每日收货出货登记!$D:$D,A291))</f>
        <v/>
      </c>
      <c r="E291" s="10">
        <f>IF(A291="","",COUNTIFS(每日收货出货登记!$D:$D,A291,每日收货出货登记!$G:$G,"&lt;&gt;"))</f>
        <v/>
      </c>
      <c r="F291" s="10">
        <f>IF(A291="","",COUNTIFS(每日收货出货登记!$D:$D,A291,每日收货出货登记!$W:$W,"&gt;0"))</f>
        <v/>
      </c>
      <c r="G291" s="9">
        <f>IF(A291="","",MAXIFS(每日收货出货登记!$A:$A,每日收货出货登记!$D:$D,A291))</f>
        <v/>
      </c>
    </row>
    <row r="292" ht="22" customHeight="1">
      <c r="A292" s="9">
        <f>IFERROR(INDEX(基础数据!$B$2:$B$500,ROW(A290)),"")</f>
        <v/>
      </c>
      <c r="B292" s="10">
        <f>IF(A292="","",SUMIFS(每日收货出货登记!$Q:$Q,每日收货出货登记!$D:$D,A292))</f>
        <v/>
      </c>
      <c r="C292" s="10">
        <f>IF(A292="","",SUMIFS(每日收货出货登记!$V:$V,每日收货出货登记!$D:$D,A292))</f>
        <v/>
      </c>
      <c r="D292" s="10">
        <f>IF(A292="","",SUMIFS(每日收货出货登记!$W:$W,每日收货出货登记!$D:$D,A292))</f>
        <v/>
      </c>
      <c r="E292" s="10">
        <f>IF(A292="","",COUNTIFS(每日收货出货登记!$D:$D,A292,每日收货出货登记!$G:$G,"&lt;&gt;"))</f>
        <v/>
      </c>
      <c r="F292" s="10">
        <f>IF(A292="","",COUNTIFS(每日收货出货登记!$D:$D,A292,每日收货出货登记!$W:$W,"&gt;0"))</f>
        <v/>
      </c>
      <c r="G292" s="9">
        <f>IF(A292="","",MAXIFS(每日收货出货登记!$A:$A,每日收货出货登记!$D:$D,A292))</f>
        <v/>
      </c>
    </row>
    <row r="293" ht="22" customHeight="1">
      <c r="A293" s="9">
        <f>IFERROR(INDEX(基础数据!$B$2:$B$500,ROW(A291)),"")</f>
        <v/>
      </c>
      <c r="B293" s="10">
        <f>IF(A293="","",SUMIFS(每日收货出货登记!$Q:$Q,每日收货出货登记!$D:$D,A293))</f>
        <v/>
      </c>
      <c r="C293" s="10">
        <f>IF(A293="","",SUMIFS(每日收货出货登记!$V:$V,每日收货出货登记!$D:$D,A293))</f>
        <v/>
      </c>
      <c r="D293" s="10">
        <f>IF(A293="","",SUMIFS(每日收货出货登记!$W:$W,每日收货出货登记!$D:$D,A293))</f>
        <v/>
      </c>
      <c r="E293" s="10">
        <f>IF(A293="","",COUNTIFS(每日收货出货登记!$D:$D,A293,每日收货出货登记!$G:$G,"&lt;&gt;"))</f>
        <v/>
      </c>
      <c r="F293" s="10">
        <f>IF(A293="","",COUNTIFS(每日收货出货登记!$D:$D,A293,每日收货出货登记!$W:$W,"&gt;0"))</f>
        <v/>
      </c>
      <c r="G293" s="9">
        <f>IF(A293="","",MAXIFS(每日收货出货登记!$A:$A,每日收货出货登记!$D:$D,A293))</f>
        <v/>
      </c>
    </row>
    <row r="294" ht="22" customHeight="1">
      <c r="A294" s="9">
        <f>IFERROR(INDEX(基础数据!$B$2:$B$500,ROW(A292)),"")</f>
        <v/>
      </c>
      <c r="B294" s="10">
        <f>IF(A294="","",SUMIFS(每日收货出货登记!$Q:$Q,每日收货出货登记!$D:$D,A294))</f>
        <v/>
      </c>
      <c r="C294" s="10">
        <f>IF(A294="","",SUMIFS(每日收货出货登记!$V:$V,每日收货出货登记!$D:$D,A294))</f>
        <v/>
      </c>
      <c r="D294" s="10">
        <f>IF(A294="","",SUMIFS(每日收货出货登记!$W:$W,每日收货出货登记!$D:$D,A294))</f>
        <v/>
      </c>
      <c r="E294" s="10">
        <f>IF(A294="","",COUNTIFS(每日收货出货登记!$D:$D,A294,每日收货出货登记!$G:$G,"&lt;&gt;"))</f>
        <v/>
      </c>
      <c r="F294" s="10">
        <f>IF(A294="","",COUNTIFS(每日收货出货登记!$D:$D,A294,每日收货出货登记!$W:$W,"&gt;0"))</f>
        <v/>
      </c>
      <c r="G294" s="9">
        <f>IF(A294="","",MAXIFS(每日收货出货登记!$A:$A,每日收货出货登记!$D:$D,A294))</f>
        <v/>
      </c>
    </row>
    <row r="295" ht="22" customHeight="1">
      <c r="A295" s="9">
        <f>IFERROR(INDEX(基础数据!$B$2:$B$500,ROW(A293)),"")</f>
        <v/>
      </c>
      <c r="B295" s="10">
        <f>IF(A295="","",SUMIFS(每日收货出货登记!$Q:$Q,每日收货出货登记!$D:$D,A295))</f>
        <v/>
      </c>
      <c r="C295" s="10">
        <f>IF(A295="","",SUMIFS(每日收货出货登记!$V:$V,每日收货出货登记!$D:$D,A295))</f>
        <v/>
      </c>
      <c r="D295" s="10">
        <f>IF(A295="","",SUMIFS(每日收货出货登记!$W:$W,每日收货出货登记!$D:$D,A295))</f>
        <v/>
      </c>
      <c r="E295" s="10">
        <f>IF(A295="","",COUNTIFS(每日收货出货登记!$D:$D,A295,每日收货出货登记!$G:$G,"&lt;&gt;"))</f>
        <v/>
      </c>
      <c r="F295" s="10">
        <f>IF(A295="","",COUNTIFS(每日收货出货登记!$D:$D,A295,每日收货出货登记!$W:$W,"&gt;0"))</f>
        <v/>
      </c>
      <c r="G295" s="9">
        <f>IF(A295="","",MAXIFS(每日收货出货登记!$A:$A,每日收货出货登记!$D:$D,A295))</f>
        <v/>
      </c>
    </row>
    <row r="296" ht="22" customHeight="1">
      <c r="A296" s="9">
        <f>IFERROR(INDEX(基础数据!$B$2:$B$500,ROW(A294)),"")</f>
        <v/>
      </c>
      <c r="B296" s="10">
        <f>IF(A296="","",SUMIFS(每日收货出货登记!$Q:$Q,每日收货出货登记!$D:$D,A296))</f>
        <v/>
      </c>
      <c r="C296" s="10">
        <f>IF(A296="","",SUMIFS(每日收货出货登记!$V:$V,每日收货出货登记!$D:$D,A296))</f>
        <v/>
      </c>
      <c r="D296" s="10">
        <f>IF(A296="","",SUMIFS(每日收货出货登记!$W:$W,每日收货出货登记!$D:$D,A296))</f>
        <v/>
      </c>
      <c r="E296" s="10">
        <f>IF(A296="","",COUNTIFS(每日收货出货登记!$D:$D,A296,每日收货出货登记!$G:$G,"&lt;&gt;"))</f>
        <v/>
      </c>
      <c r="F296" s="10">
        <f>IF(A296="","",COUNTIFS(每日收货出货登记!$D:$D,A296,每日收货出货登记!$W:$W,"&gt;0"))</f>
        <v/>
      </c>
      <c r="G296" s="9">
        <f>IF(A296="","",MAXIFS(每日收货出货登记!$A:$A,每日收货出货登记!$D:$D,A296))</f>
        <v/>
      </c>
    </row>
    <row r="297" ht="22" customHeight="1">
      <c r="A297" s="9">
        <f>IFERROR(INDEX(基础数据!$B$2:$B$500,ROW(A295)),"")</f>
        <v/>
      </c>
      <c r="B297" s="10">
        <f>IF(A297="","",SUMIFS(每日收货出货登记!$Q:$Q,每日收货出货登记!$D:$D,A297))</f>
        <v/>
      </c>
      <c r="C297" s="10">
        <f>IF(A297="","",SUMIFS(每日收货出货登记!$V:$V,每日收货出货登记!$D:$D,A297))</f>
        <v/>
      </c>
      <c r="D297" s="10">
        <f>IF(A297="","",SUMIFS(每日收货出货登记!$W:$W,每日收货出货登记!$D:$D,A297))</f>
        <v/>
      </c>
      <c r="E297" s="10">
        <f>IF(A297="","",COUNTIFS(每日收货出货登记!$D:$D,A297,每日收货出货登记!$G:$G,"&lt;&gt;"))</f>
        <v/>
      </c>
      <c r="F297" s="10">
        <f>IF(A297="","",COUNTIFS(每日收货出货登记!$D:$D,A297,每日收货出货登记!$W:$W,"&gt;0"))</f>
        <v/>
      </c>
      <c r="G297" s="9">
        <f>IF(A297="","",MAXIFS(每日收货出货登记!$A:$A,每日收货出货登记!$D:$D,A297))</f>
        <v/>
      </c>
    </row>
    <row r="298" ht="22" customHeight="1">
      <c r="A298" s="9">
        <f>IFERROR(INDEX(基础数据!$B$2:$B$500,ROW(A296)),"")</f>
        <v/>
      </c>
      <c r="B298" s="10">
        <f>IF(A298="","",SUMIFS(每日收货出货登记!$Q:$Q,每日收货出货登记!$D:$D,A298))</f>
        <v/>
      </c>
      <c r="C298" s="10">
        <f>IF(A298="","",SUMIFS(每日收货出货登记!$V:$V,每日收货出货登记!$D:$D,A298))</f>
        <v/>
      </c>
      <c r="D298" s="10">
        <f>IF(A298="","",SUMIFS(每日收货出货登记!$W:$W,每日收货出货登记!$D:$D,A298))</f>
        <v/>
      </c>
      <c r="E298" s="10">
        <f>IF(A298="","",COUNTIFS(每日收货出货登记!$D:$D,A298,每日收货出货登记!$G:$G,"&lt;&gt;"))</f>
        <v/>
      </c>
      <c r="F298" s="10">
        <f>IF(A298="","",COUNTIFS(每日收货出货登记!$D:$D,A298,每日收货出货登记!$W:$W,"&gt;0"))</f>
        <v/>
      </c>
      <c r="G298" s="9">
        <f>IF(A298="","",MAXIFS(每日收货出货登记!$A:$A,每日收货出货登记!$D:$D,A298))</f>
        <v/>
      </c>
    </row>
    <row r="299" ht="22" customHeight="1">
      <c r="A299" s="9">
        <f>IFERROR(INDEX(基础数据!$B$2:$B$500,ROW(A297)),"")</f>
        <v/>
      </c>
      <c r="B299" s="10">
        <f>IF(A299="","",SUMIFS(每日收货出货登记!$Q:$Q,每日收货出货登记!$D:$D,A299))</f>
        <v/>
      </c>
      <c r="C299" s="10">
        <f>IF(A299="","",SUMIFS(每日收货出货登记!$V:$V,每日收货出货登记!$D:$D,A299))</f>
        <v/>
      </c>
      <c r="D299" s="10">
        <f>IF(A299="","",SUMIFS(每日收货出货登记!$W:$W,每日收货出货登记!$D:$D,A299))</f>
        <v/>
      </c>
      <c r="E299" s="10">
        <f>IF(A299="","",COUNTIFS(每日收货出货登记!$D:$D,A299,每日收货出货登记!$G:$G,"&lt;&gt;"))</f>
        <v/>
      </c>
      <c r="F299" s="10">
        <f>IF(A299="","",COUNTIFS(每日收货出货登记!$D:$D,A299,每日收货出货登记!$W:$W,"&gt;0"))</f>
        <v/>
      </c>
      <c r="G299" s="9">
        <f>IF(A299="","",MAXIFS(每日收货出货登记!$A:$A,每日收货出货登记!$D:$D,A299))</f>
        <v/>
      </c>
    </row>
    <row r="300" ht="22" customHeight="1">
      <c r="A300" s="9">
        <f>IFERROR(INDEX(基础数据!$B$2:$B$500,ROW(A298)),"")</f>
        <v/>
      </c>
      <c r="B300" s="10">
        <f>IF(A300="","",SUMIFS(每日收货出货登记!$Q:$Q,每日收货出货登记!$D:$D,A300))</f>
        <v/>
      </c>
      <c r="C300" s="10">
        <f>IF(A300="","",SUMIFS(每日收货出货登记!$V:$V,每日收货出货登记!$D:$D,A300))</f>
        <v/>
      </c>
      <c r="D300" s="10">
        <f>IF(A300="","",SUMIFS(每日收货出货登记!$W:$W,每日收货出货登记!$D:$D,A300))</f>
        <v/>
      </c>
      <c r="E300" s="10">
        <f>IF(A300="","",COUNTIFS(每日收货出货登记!$D:$D,A300,每日收货出货登记!$G:$G,"&lt;&gt;"))</f>
        <v/>
      </c>
      <c r="F300" s="10">
        <f>IF(A300="","",COUNTIFS(每日收货出货登记!$D:$D,A300,每日收货出货登记!$W:$W,"&gt;0"))</f>
        <v/>
      </c>
      <c r="G300" s="9">
        <f>IF(A300="","",MAXIFS(每日收货出货登记!$A:$A,每日收货出货登记!$D:$D,A300))</f>
        <v/>
      </c>
    </row>
    <row r="301" ht="22" customHeight="1">
      <c r="A301" s="9">
        <f>IFERROR(INDEX(基础数据!$B$2:$B$500,ROW(A299)),"")</f>
        <v/>
      </c>
      <c r="B301" s="10">
        <f>IF(A301="","",SUMIFS(每日收货出货登记!$Q:$Q,每日收货出货登记!$D:$D,A301))</f>
        <v/>
      </c>
      <c r="C301" s="10">
        <f>IF(A301="","",SUMIFS(每日收货出货登记!$V:$V,每日收货出货登记!$D:$D,A301))</f>
        <v/>
      </c>
      <c r="D301" s="10">
        <f>IF(A301="","",SUMIFS(每日收货出货登记!$W:$W,每日收货出货登记!$D:$D,A301))</f>
        <v/>
      </c>
      <c r="E301" s="10">
        <f>IF(A301="","",COUNTIFS(每日收货出货登记!$D:$D,A301,每日收货出货登记!$G:$G,"&lt;&gt;"))</f>
        <v/>
      </c>
      <c r="F301" s="10">
        <f>IF(A301="","",COUNTIFS(每日收货出货登记!$D:$D,A301,每日收货出货登记!$W:$W,"&gt;0"))</f>
        <v/>
      </c>
      <c r="G301" s="9">
        <f>IF(A301="","",MAXIFS(每日收货出货登记!$A:$A,每日收货出货登记!$D:$D,A301))</f>
        <v/>
      </c>
    </row>
    <row r="302" ht="22" customHeight="1">
      <c r="A302" s="9">
        <f>IFERROR(INDEX(基础数据!$B$2:$B$500,ROW(A300)),"")</f>
        <v/>
      </c>
      <c r="B302" s="10">
        <f>IF(A302="","",SUMIFS(每日收货出货登记!$Q:$Q,每日收货出货登记!$D:$D,A302))</f>
        <v/>
      </c>
      <c r="C302" s="10">
        <f>IF(A302="","",SUMIFS(每日收货出货登记!$V:$V,每日收货出货登记!$D:$D,A302))</f>
        <v/>
      </c>
      <c r="D302" s="10">
        <f>IF(A302="","",SUMIFS(每日收货出货登记!$W:$W,每日收货出货登记!$D:$D,A302))</f>
        <v/>
      </c>
      <c r="E302" s="10">
        <f>IF(A302="","",COUNTIFS(每日收货出货登记!$D:$D,A302,每日收货出货登记!$G:$G,"&lt;&gt;"))</f>
        <v/>
      </c>
      <c r="F302" s="10">
        <f>IF(A302="","",COUNTIFS(每日收货出货登记!$D:$D,A302,每日收货出货登记!$W:$W,"&gt;0"))</f>
        <v/>
      </c>
      <c r="G302" s="9">
        <f>IF(A302="","",MAXIFS(每日收货出货登记!$A:$A,每日收货出货登记!$D:$D,A302))</f>
        <v/>
      </c>
    </row>
  </sheetData>
  <autoFilter ref="A2:G302"/>
  <conditionalFormatting sqref="D3:D302">
    <cfRule type="cellIs" priority="1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4" customWidth="1" min="10" max="10"/>
  </cols>
  <sheetData>
    <row r="1" ht="22" customHeight="1">
      <c r="A1" s="1" t="inlineStr">
        <is>
          <t>未核销明细</t>
        </is>
      </c>
    </row>
    <row r="2" ht="34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</row>
    <row r="3" ht="22" customHeight="1">
      <c r="A3" s="9">
        <f>IF(每日收货出货登记!W3&gt;0,每日收货出货登记!A3,"")</f>
        <v/>
      </c>
      <c r="B3" s="10">
        <f>IF(每日收货出货登记!W3&gt;0,每日收货出货登记!D3,"")</f>
        <v/>
      </c>
      <c r="C3" s="10">
        <f>IF(每日收货出货登记!W3&gt;0,每日收货出货登记!G3,"")</f>
        <v/>
      </c>
      <c r="D3" s="10">
        <f>IF(每日收货出货登记!W3&gt;0,每日收货出货登记!E3,"")</f>
        <v/>
      </c>
      <c r="E3" s="10">
        <f>IF(每日收货出货登记!W3&gt;0,每日收货出货登记!Q3,"")</f>
        <v/>
      </c>
      <c r="F3" s="10">
        <f>IF(每日收货出货登记!W3&gt;0,每日收货出货登记!V3,"")</f>
        <v/>
      </c>
      <c r="G3" s="10">
        <f>IF(每日收货出货登记!W3&gt;0,每日收货出货登记!W3,"")</f>
        <v/>
      </c>
      <c r="H3" s="10">
        <f>IF(每日收货出货登记!W3&gt;0,每日收货出货登记!R3,"")</f>
        <v/>
      </c>
      <c r="I3" s="9">
        <f>IF(每日收货出货登记!W3&gt;0,每日收货出货登记!S3,"")</f>
        <v/>
      </c>
      <c r="J3" s="9">
        <f>IF(每日收货出货登记!W3&gt;0,每日收货出货登记!AB3,"")</f>
        <v/>
      </c>
    </row>
    <row r="4" ht="22" customHeight="1">
      <c r="A4" s="9">
        <f>IF(每日收货出货登记!W4&gt;0,每日收货出货登记!A4,"")</f>
        <v/>
      </c>
      <c r="B4" s="10">
        <f>IF(每日收货出货登记!W4&gt;0,每日收货出货登记!D4,"")</f>
        <v/>
      </c>
      <c r="C4" s="10">
        <f>IF(每日收货出货登记!W4&gt;0,每日收货出货登记!G4,"")</f>
        <v/>
      </c>
      <c r="D4" s="10">
        <f>IF(每日收货出货登记!W4&gt;0,每日收货出货登记!E4,"")</f>
        <v/>
      </c>
      <c r="E4" s="10">
        <f>IF(每日收货出货登记!W4&gt;0,每日收货出货登记!Q4,"")</f>
        <v/>
      </c>
      <c r="F4" s="10">
        <f>IF(每日收货出货登记!W4&gt;0,每日收货出货登记!V4,"")</f>
        <v/>
      </c>
      <c r="G4" s="10">
        <f>IF(每日收货出货登记!W4&gt;0,每日收货出货登记!W4,"")</f>
        <v/>
      </c>
      <c r="H4" s="10">
        <f>IF(每日收货出货登记!W4&gt;0,每日收货出货登记!R4,"")</f>
        <v/>
      </c>
      <c r="I4" s="9">
        <f>IF(每日收货出货登记!W4&gt;0,每日收货出货登记!S4,"")</f>
        <v/>
      </c>
      <c r="J4" s="9">
        <f>IF(每日收货出货登记!W4&gt;0,每日收货出货登记!AB4,"")</f>
        <v/>
      </c>
    </row>
    <row r="5" ht="22" customHeight="1">
      <c r="A5" s="9">
        <f>IF(每日收货出货登记!W5&gt;0,每日收货出货登记!A5,"")</f>
        <v/>
      </c>
      <c r="B5" s="10">
        <f>IF(每日收货出货登记!W5&gt;0,每日收货出货登记!D5,"")</f>
        <v/>
      </c>
      <c r="C5" s="10">
        <f>IF(每日收货出货登记!W5&gt;0,每日收货出货登记!G5,"")</f>
        <v/>
      </c>
      <c r="D5" s="10">
        <f>IF(每日收货出货登记!W5&gt;0,每日收货出货登记!E5,"")</f>
        <v/>
      </c>
      <c r="E5" s="10">
        <f>IF(每日收货出货登记!W5&gt;0,每日收货出货登记!Q5,"")</f>
        <v/>
      </c>
      <c r="F5" s="10">
        <f>IF(每日收货出货登记!W5&gt;0,每日收货出货登记!V5,"")</f>
        <v/>
      </c>
      <c r="G5" s="10">
        <f>IF(每日收货出货登记!W5&gt;0,每日收货出货登记!W5,"")</f>
        <v/>
      </c>
      <c r="H5" s="10">
        <f>IF(每日收货出货登记!W5&gt;0,每日收货出货登记!R5,"")</f>
        <v/>
      </c>
      <c r="I5" s="9">
        <f>IF(每日收货出货登记!W5&gt;0,每日收货出货登记!S5,"")</f>
        <v/>
      </c>
      <c r="J5" s="9">
        <f>IF(每日收货出货登记!W5&gt;0,每日收货出货登记!AB5,"")</f>
        <v/>
      </c>
    </row>
    <row r="6" ht="22" customHeight="1">
      <c r="A6" s="9">
        <f>IF(每日收货出货登记!W6&gt;0,每日收货出货登记!A6,"")</f>
        <v/>
      </c>
      <c r="B6" s="10">
        <f>IF(每日收货出货登记!W6&gt;0,每日收货出货登记!D6,"")</f>
        <v/>
      </c>
      <c r="C6" s="10">
        <f>IF(每日收货出货登记!W6&gt;0,每日收货出货登记!G6,"")</f>
        <v/>
      </c>
      <c r="D6" s="10">
        <f>IF(每日收货出货登记!W6&gt;0,每日收货出货登记!E6,"")</f>
        <v/>
      </c>
      <c r="E6" s="10">
        <f>IF(每日收货出货登记!W6&gt;0,每日收货出货登记!Q6,"")</f>
        <v/>
      </c>
      <c r="F6" s="10">
        <f>IF(每日收货出货登记!W6&gt;0,每日收货出货登记!V6,"")</f>
        <v/>
      </c>
      <c r="G6" s="10">
        <f>IF(每日收货出货登记!W6&gt;0,每日收货出货登记!W6,"")</f>
        <v/>
      </c>
      <c r="H6" s="10">
        <f>IF(每日收货出货登记!W6&gt;0,每日收货出货登记!R6,"")</f>
        <v/>
      </c>
      <c r="I6" s="9">
        <f>IF(每日收货出货登记!W6&gt;0,每日收货出货登记!S6,"")</f>
        <v/>
      </c>
      <c r="J6" s="9">
        <f>IF(每日收货出货登记!W6&gt;0,每日收货出货登记!AB6,"")</f>
        <v/>
      </c>
    </row>
    <row r="7" ht="22" customHeight="1">
      <c r="A7" s="9">
        <f>IF(每日收货出货登记!W7&gt;0,每日收货出货登记!A7,"")</f>
        <v/>
      </c>
      <c r="B7" s="10">
        <f>IF(每日收货出货登记!W7&gt;0,每日收货出货登记!D7,"")</f>
        <v/>
      </c>
      <c r="C7" s="10">
        <f>IF(每日收货出货登记!W7&gt;0,每日收货出货登记!G7,"")</f>
        <v/>
      </c>
      <c r="D7" s="10">
        <f>IF(每日收货出货登记!W7&gt;0,每日收货出货登记!E7,"")</f>
        <v/>
      </c>
      <c r="E7" s="10">
        <f>IF(每日收货出货登记!W7&gt;0,每日收货出货登记!Q7,"")</f>
        <v/>
      </c>
      <c r="F7" s="10">
        <f>IF(每日收货出货登记!W7&gt;0,每日收货出货登记!V7,"")</f>
        <v/>
      </c>
      <c r="G7" s="10">
        <f>IF(每日收货出货登记!W7&gt;0,每日收货出货登记!W7,"")</f>
        <v/>
      </c>
      <c r="H7" s="10">
        <f>IF(每日收货出货登记!W7&gt;0,每日收货出货登记!R7,"")</f>
        <v/>
      </c>
      <c r="I7" s="9">
        <f>IF(每日收货出货登记!W7&gt;0,每日收货出货登记!S7,"")</f>
        <v/>
      </c>
      <c r="J7" s="9">
        <f>IF(每日收货出货登记!W7&gt;0,每日收货出货登记!AB7,"")</f>
        <v/>
      </c>
    </row>
    <row r="8" ht="22" customHeight="1">
      <c r="A8" s="9">
        <f>IF(每日收货出货登记!W8&gt;0,每日收货出货登记!A8,"")</f>
        <v/>
      </c>
      <c r="B8" s="10">
        <f>IF(每日收货出货登记!W8&gt;0,每日收货出货登记!D8,"")</f>
        <v/>
      </c>
      <c r="C8" s="10">
        <f>IF(每日收货出货登记!W8&gt;0,每日收货出货登记!G8,"")</f>
        <v/>
      </c>
      <c r="D8" s="10">
        <f>IF(每日收货出货登记!W8&gt;0,每日收货出货登记!E8,"")</f>
        <v/>
      </c>
      <c r="E8" s="10">
        <f>IF(每日收货出货登记!W8&gt;0,每日收货出货登记!Q8,"")</f>
        <v/>
      </c>
      <c r="F8" s="10">
        <f>IF(每日收货出货登记!W8&gt;0,每日收货出货登记!V8,"")</f>
        <v/>
      </c>
      <c r="G8" s="10">
        <f>IF(每日收货出货登记!W8&gt;0,每日收货出货登记!W8,"")</f>
        <v/>
      </c>
      <c r="H8" s="10">
        <f>IF(每日收货出货登记!W8&gt;0,每日收货出货登记!R8,"")</f>
        <v/>
      </c>
      <c r="I8" s="9">
        <f>IF(每日收货出货登记!W8&gt;0,每日收货出货登记!S8,"")</f>
        <v/>
      </c>
      <c r="J8" s="9">
        <f>IF(每日收货出货登记!W8&gt;0,每日收货出货登记!AB8,"")</f>
        <v/>
      </c>
    </row>
    <row r="9" ht="22" customHeight="1">
      <c r="A9" s="9">
        <f>IF(每日收货出货登记!W9&gt;0,每日收货出货登记!A9,"")</f>
        <v/>
      </c>
      <c r="B9" s="10">
        <f>IF(每日收货出货登记!W9&gt;0,每日收货出货登记!D9,"")</f>
        <v/>
      </c>
      <c r="C9" s="10">
        <f>IF(每日收货出货登记!W9&gt;0,每日收货出货登记!G9,"")</f>
        <v/>
      </c>
      <c r="D9" s="10">
        <f>IF(每日收货出货登记!W9&gt;0,每日收货出货登记!E9,"")</f>
        <v/>
      </c>
      <c r="E9" s="10">
        <f>IF(每日收货出货登记!W9&gt;0,每日收货出货登记!Q9,"")</f>
        <v/>
      </c>
      <c r="F9" s="10">
        <f>IF(每日收货出货登记!W9&gt;0,每日收货出货登记!V9,"")</f>
        <v/>
      </c>
      <c r="G9" s="10">
        <f>IF(每日收货出货登记!W9&gt;0,每日收货出货登记!W9,"")</f>
        <v/>
      </c>
      <c r="H9" s="10">
        <f>IF(每日收货出货登记!W9&gt;0,每日收货出货登记!R9,"")</f>
        <v/>
      </c>
      <c r="I9" s="9">
        <f>IF(每日收货出货登记!W9&gt;0,每日收货出货登记!S9,"")</f>
        <v/>
      </c>
      <c r="J9" s="9">
        <f>IF(每日收货出货登记!W9&gt;0,每日收货出货登记!AB9,"")</f>
        <v/>
      </c>
    </row>
    <row r="10" ht="22" customHeight="1">
      <c r="A10" s="9">
        <f>IF(每日收货出货登记!W10&gt;0,每日收货出货登记!A10,"")</f>
        <v/>
      </c>
      <c r="B10" s="10">
        <f>IF(每日收货出货登记!W10&gt;0,每日收货出货登记!D10,"")</f>
        <v/>
      </c>
      <c r="C10" s="10">
        <f>IF(每日收货出货登记!W10&gt;0,每日收货出货登记!G10,"")</f>
        <v/>
      </c>
      <c r="D10" s="10">
        <f>IF(每日收货出货登记!W10&gt;0,每日收货出货登记!E10,"")</f>
        <v/>
      </c>
      <c r="E10" s="10">
        <f>IF(每日收货出货登记!W10&gt;0,每日收货出货登记!Q10,"")</f>
        <v/>
      </c>
      <c r="F10" s="10">
        <f>IF(每日收货出货登记!W10&gt;0,每日收货出货登记!V10,"")</f>
        <v/>
      </c>
      <c r="G10" s="10">
        <f>IF(每日收货出货登记!W10&gt;0,每日收货出货登记!W10,"")</f>
        <v/>
      </c>
      <c r="H10" s="10">
        <f>IF(每日收货出货登记!W10&gt;0,每日收货出货登记!R10,"")</f>
        <v/>
      </c>
      <c r="I10" s="9">
        <f>IF(每日收货出货登记!W10&gt;0,每日收货出货登记!S10,"")</f>
        <v/>
      </c>
      <c r="J10" s="9">
        <f>IF(每日收货出货登记!W10&gt;0,每日收货出货登记!AB10,"")</f>
        <v/>
      </c>
    </row>
    <row r="11" ht="22" customHeight="1">
      <c r="A11" s="9">
        <f>IF(每日收货出货登记!W11&gt;0,每日收货出货登记!A11,"")</f>
        <v/>
      </c>
      <c r="B11" s="10">
        <f>IF(每日收货出货登记!W11&gt;0,每日收货出货登记!D11,"")</f>
        <v/>
      </c>
      <c r="C11" s="10">
        <f>IF(每日收货出货登记!W11&gt;0,每日收货出货登记!G11,"")</f>
        <v/>
      </c>
      <c r="D11" s="10">
        <f>IF(每日收货出货登记!W11&gt;0,每日收货出货登记!E11,"")</f>
        <v/>
      </c>
      <c r="E11" s="10">
        <f>IF(每日收货出货登记!W11&gt;0,每日收货出货登记!Q11,"")</f>
        <v/>
      </c>
      <c r="F11" s="10">
        <f>IF(每日收货出货登记!W11&gt;0,每日收货出货登记!V11,"")</f>
        <v/>
      </c>
      <c r="G11" s="10">
        <f>IF(每日收货出货登记!W11&gt;0,每日收货出货登记!W11,"")</f>
        <v/>
      </c>
      <c r="H11" s="10">
        <f>IF(每日收货出货登记!W11&gt;0,每日收货出货登记!R11,"")</f>
        <v/>
      </c>
      <c r="I11" s="9">
        <f>IF(每日收货出货登记!W11&gt;0,每日收货出货登记!S11,"")</f>
        <v/>
      </c>
      <c r="J11" s="9">
        <f>IF(每日收货出货登记!W11&gt;0,每日收货出货登记!AB11,"")</f>
        <v/>
      </c>
    </row>
    <row r="12" ht="22" customHeight="1">
      <c r="A12" s="9">
        <f>IF(每日收货出货登记!W12&gt;0,每日收货出货登记!A12,"")</f>
        <v/>
      </c>
      <c r="B12" s="10">
        <f>IF(每日收货出货登记!W12&gt;0,每日收货出货登记!D12,"")</f>
        <v/>
      </c>
      <c r="C12" s="10">
        <f>IF(每日收货出货登记!W12&gt;0,每日收货出货登记!G12,"")</f>
        <v/>
      </c>
      <c r="D12" s="10">
        <f>IF(每日收货出货登记!W12&gt;0,每日收货出货登记!E12,"")</f>
        <v/>
      </c>
      <c r="E12" s="10">
        <f>IF(每日收货出货登记!W12&gt;0,每日收货出货登记!Q12,"")</f>
        <v/>
      </c>
      <c r="F12" s="10">
        <f>IF(每日收货出货登记!W12&gt;0,每日收货出货登记!V12,"")</f>
        <v/>
      </c>
      <c r="G12" s="10">
        <f>IF(每日收货出货登记!W12&gt;0,每日收货出货登记!W12,"")</f>
        <v/>
      </c>
      <c r="H12" s="10">
        <f>IF(每日收货出货登记!W12&gt;0,每日收货出货登记!R12,"")</f>
        <v/>
      </c>
      <c r="I12" s="9">
        <f>IF(每日收货出货登记!W12&gt;0,每日收货出货登记!S12,"")</f>
        <v/>
      </c>
      <c r="J12" s="9">
        <f>IF(每日收货出货登记!W12&gt;0,每日收货出货登记!AB12,"")</f>
        <v/>
      </c>
    </row>
    <row r="13" ht="22" customHeight="1">
      <c r="A13" s="9">
        <f>IF(每日收货出货登记!W13&gt;0,每日收货出货登记!A13,"")</f>
        <v/>
      </c>
      <c r="B13" s="10">
        <f>IF(每日收货出货登记!W13&gt;0,每日收货出货登记!D13,"")</f>
        <v/>
      </c>
      <c r="C13" s="10">
        <f>IF(每日收货出货登记!W13&gt;0,每日收货出货登记!G13,"")</f>
        <v/>
      </c>
      <c r="D13" s="10">
        <f>IF(每日收货出货登记!W13&gt;0,每日收货出货登记!E13,"")</f>
        <v/>
      </c>
      <c r="E13" s="10">
        <f>IF(每日收货出货登记!W13&gt;0,每日收货出货登记!Q13,"")</f>
        <v/>
      </c>
      <c r="F13" s="10">
        <f>IF(每日收货出货登记!W13&gt;0,每日收货出货登记!V13,"")</f>
        <v/>
      </c>
      <c r="G13" s="10">
        <f>IF(每日收货出货登记!W13&gt;0,每日收货出货登记!W13,"")</f>
        <v/>
      </c>
      <c r="H13" s="10">
        <f>IF(每日收货出货登记!W13&gt;0,每日收货出货登记!R13,"")</f>
        <v/>
      </c>
      <c r="I13" s="9">
        <f>IF(每日收货出货登记!W13&gt;0,每日收货出货登记!S13,"")</f>
        <v/>
      </c>
      <c r="J13" s="9">
        <f>IF(每日收货出货登记!W13&gt;0,每日收货出货登记!AB13,"")</f>
        <v/>
      </c>
    </row>
    <row r="14" ht="22" customHeight="1">
      <c r="A14" s="9">
        <f>IF(每日收货出货登记!W14&gt;0,每日收货出货登记!A14,"")</f>
        <v/>
      </c>
      <c r="B14" s="10">
        <f>IF(每日收货出货登记!W14&gt;0,每日收货出货登记!D14,"")</f>
        <v/>
      </c>
      <c r="C14" s="10">
        <f>IF(每日收货出货登记!W14&gt;0,每日收货出货登记!G14,"")</f>
        <v/>
      </c>
      <c r="D14" s="10">
        <f>IF(每日收货出货登记!W14&gt;0,每日收货出货登记!E14,"")</f>
        <v/>
      </c>
      <c r="E14" s="10">
        <f>IF(每日收货出货登记!W14&gt;0,每日收货出货登记!Q14,"")</f>
        <v/>
      </c>
      <c r="F14" s="10">
        <f>IF(每日收货出货登记!W14&gt;0,每日收货出货登记!V14,"")</f>
        <v/>
      </c>
      <c r="G14" s="10">
        <f>IF(每日收货出货登记!W14&gt;0,每日收货出货登记!W14,"")</f>
        <v/>
      </c>
      <c r="H14" s="10">
        <f>IF(每日收货出货登记!W14&gt;0,每日收货出货登记!R14,"")</f>
        <v/>
      </c>
      <c r="I14" s="9">
        <f>IF(每日收货出货登记!W14&gt;0,每日收货出货登记!S14,"")</f>
        <v/>
      </c>
      <c r="J14" s="9">
        <f>IF(每日收货出货登记!W14&gt;0,每日收货出货登记!AB14,"")</f>
        <v/>
      </c>
    </row>
    <row r="15" ht="22" customHeight="1">
      <c r="A15" s="9">
        <f>IF(每日收货出货登记!W15&gt;0,每日收货出货登记!A15,"")</f>
        <v/>
      </c>
      <c r="B15" s="10">
        <f>IF(每日收货出货登记!W15&gt;0,每日收货出货登记!D15,"")</f>
        <v/>
      </c>
      <c r="C15" s="10">
        <f>IF(每日收货出货登记!W15&gt;0,每日收货出货登记!G15,"")</f>
        <v/>
      </c>
      <c r="D15" s="10">
        <f>IF(每日收货出货登记!W15&gt;0,每日收货出货登记!E15,"")</f>
        <v/>
      </c>
      <c r="E15" s="10">
        <f>IF(每日收货出货登记!W15&gt;0,每日收货出货登记!Q15,"")</f>
        <v/>
      </c>
      <c r="F15" s="10">
        <f>IF(每日收货出货登记!W15&gt;0,每日收货出货登记!V15,"")</f>
        <v/>
      </c>
      <c r="G15" s="10">
        <f>IF(每日收货出货登记!W15&gt;0,每日收货出货登记!W15,"")</f>
        <v/>
      </c>
      <c r="H15" s="10">
        <f>IF(每日收货出货登记!W15&gt;0,每日收货出货登记!R15,"")</f>
        <v/>
      </c>
      <c r="I15" s="9">
        <f>IF(每日收货出货登记!W15&gt;0,每日收货出货登记!S15,"")</f>
        <v/>
      </c>
      <c r="J15" s="9">
        <f>IF(每日收货出货登记!W15&gt;0,每日收货出货登记!AB15,"")</f>
        <v/>
      </c>
    </row>
    <row r="16" ht="22" customHeight="1">
      <c r="A16" s="9">
        <f>IF(每日收货出货登记!W16&gt;0,每日收货出货登记!A16,"")</f>
        <v/>
      </c>
      <c r="B16" s="10">
        <f>IF(每日收货出货登记!W16&gt;0,每日收货出货登记!D16,"")</f>
        <v/>
      </c>
      <c r="C16" s="10">
        <f>IF(每日收货出货登记!W16&gt;0,每日收货出货登记!G16,"")</f>
        <v/>
      </c>
      <c r="D16" s="10">
        <f>IF(每日收货出货登记!W16&gt;0,每日收货出货登记!E16,"")</f>
        <v/>
      </c>
      <c r="E16" s="10">
        <f>IF(每日收货出货登记!W16&gt;0,每日收货出货登记!Q16,"")</f>
        <v/>
      </c>
      <c r="F16" s="10">
        <f>IF(每日收货出货登记!W16&gt;0,每日收货出货登记!V16,"")</f>
        <v/>
      </c>
      <c r="G16" s="10">
        <f>IF(每日收货出货登记!W16&gt;0,每日收货出货登记!W16,"")</f>
        <v/>
      </c>
      <c r="H16" s="10">
        <f>IF(每日收货出货登记!W16&gt;0,每日收货出货登记!R16,"")</f>
        <v/>
      </c>
      <c r="I16" s="9">
        <f>IF(每日收货出货登记!W16&gt;0,每日收货出货登记!S16,"")</f>
        <v/>
      </c>
      <c r="J16" s="9">
        <f>IF(每日收货出货登记!W16&gt;0,每日收货出货登记!AB16,"")</f>
        <v/>
      </c>
    </row>
    <row r="17" ht="22" customHeight="1">
      <c r="A17" s="9">
        <f>IF(每日收货出货登记!W17&gt;0,每日收货出货登记!A17,"")</f>
        <v/>
      </c>
      <c r="B17" s="10">
        <f>IF(每日收货出货登记!W17&gt;0,每日收货出货登记!D17,"")</f>
        <v/>
      </c>
      <c r="C17" s="10">
        <f>IF(每日收货出货登记!W17&gt;0,每日收货出货登记!G17,"")</f>
        <v/>
      </c>
      <c r="D17" s="10">
        <f>IF(每日收货出货登记!W17&gt;0,每日收货出货登记!E17,"")</f>
        <v/>
      </c>
      <c r="E17" s="10">
        <f>IF(每日收货出货登记!W17&gt;0,每日收货出货登记!Q17,"")</f>
        <v/>
      </c>
      <c r="F17" s="10">
        <f>IF(每日收货出货登记!W17&gt;0,每日收货出货登记!V17,"")</f>
        <v/>
      </c>
      <c r="G17" s="10">
        <f>IF(每日收货出货登记!W17&gt;0,每日收货出货登记!W17,"")</f>
        <v/>
      </c>
      <c r="H17" s="10">
        <f>IF(每日收货出货登记!W17&gt;0,每日收货出货登记!R17,"")</f>
        <v/>
      </c>
      <c r="I17" s="9">
        <f>IF(每日收货出货登记!W17&gt;0,每日收货出货登记!S17,"")</f>
        <v/>
      </c>
      <c r="J17" s="9">
        <f>IF(每日收货出货登记!W17&gt;0,每日收货出货登记!AB17,"")</f>
        <v/>
      </c>
    </row>
    <row r="18" ht="22" customHeight="1">
      <c r="A18" s="9">
        <f>IF(每日收货出货登记!W18&gt;0,每日收货出货登记!A18,"")</f>
        <v/>
      </c>
      <c r="B18" s="10">
        <f>IF(每日收货出货登记!W18&gt;0,每日收货出货登记!D18,"")</f>
        <v/>
      </c>
      <c r="C18" s="10">
        <f>IF(每日收货出货登记!W18&gt;0,每日收货出货登记!G18,"")</f>
        <v/>
      </c>
      <c r="D18" s="10">
        <f>IF(每日收货出货登记!W18&gt;0,每日收货出货登记!E18,"")</f>
        <v/>
      </c>
      <c r="E18" s="10">
        <f>IF(每日收货出货登记!W18&gt;0,每日收货出货登记!Q18,"")</f>
        <v/>
      </c>
      <c r="F18" s="10">
        <f>IF(每日收货出货登记!W18&gt;0,每日收货出货登记!V18,"")</f>
        <v/>
      </c>
      <c r="G18" s="10">
        <f>IF(每日收货出货登记!W18&gt;0,每日收货出货登记!W18,"")</f>
        <v/>
      </c>
      <c r="H18" s="10">
        <f>IF(每日收货出货登记!W18&gt;0,每日收货出货登记!R18,"")</f>
        <v/>
      </c>
      <c r="I18" s="9">
        <f>IF(每日收货出货登记!W18&gt;0,每日收货出货登记!S18,"")</f>
        <v/>
      </c>
      <c r="J18" s="9">
        <f>IF(每日收货出货登记!W18&gt;0,每日收货出货登记!AB18,"")</f>
        <v/>
      </c>
    </row>
    <row r="19" ht="22" customHeight="1">
      <c r="A19" s="9">
        <f>IF(每日收货出货登记!W19&gt;0,每日收货出货登记!A19,"")</f>
        <v/>
      </c>
      <c r="B19" s="10">
        <f>IF(每日收货出货登记!W19&gt;0,每日收货出货登记!D19,"")</f>
        <v/>
      </c>
      <c r="C19" s="10">
        <f>IF(每日收货出货登记!W19&gt;0,每日收货出货登记!G19,"")</f>
        <v/>
      </c>
      <c r="D19" s="10">
        <f>IF(每日收货出货登记!W19&gt;0,每日收货出货登记!E19,"")</f>
        <v/>
      </c>
      <c r="E19" s="10">
        <f>IF(每日收货出货登记!W19&gt;0,每日收货出货登记!Q19,"")</f>
        <v/>
      </c>
      <c r="F19" s="10">
        <f>IF(每日收货出货登记!W19&gt;0,每日收货出货登记!V19,"")</f>
        <v/>
      </c>
      <c r="G19" s="10">
        <f>IF(每日收货出货登记!W19&gt;0,每日收货出货登记!W19,"")</f>
        <v/>
      </c>
      <c r="H19" s="10">
        <f>IF(每日收货出货登记!W19&gt;0,每日收货出货登记!R19,"")</f>
        <v/>
      </c>
      <c r="I19" s="9">
        <f>IF(每日收货出货登记!W19&gt;0,每日收货出货登记!S19,"")</f>
        <v/>
      </c>
      <c r="J19" s="9">
        <f>IF(每日收货出货登记!W19&gt;0,每日收货出货登记!AB19,"")</f>
        <v/>
      </c>
    </row>
    <row r="20" ht="22" customHeight="1">
      <c r="A20" s="9">
        <f>IF(每日收货出货登记!W20&gt;0,每日收货出货登记!A20,"")</f>
        <v/>
      </c>
      <c r="B20" s="10">
        <f>IF(每日收货出货登记!W20&gt;0,每日收货出货登记!D20,"")</f>
        <v/>
      </c>
      <c r="C20" s="10">
        <f>IF(每日收货出货登记!W20&gt;0,每日收货出货登记!G20,"")</f>
        <v/>
      </c>
      <c r="D20" s="10">
        <f>IF(每日收货出货登记!W20&gt;0,每日收货出货登记!E20,"")</f>
        <v/>
      </c>
      <c r="E20" s="10">
        <f>IF(每日收货出货登记!W20&gt;0,每日收货出货登记!Q20,"")</f>
        <v/>
      </c>
      <c r="F20" s="10">
        <f>IF(每日收货出货登记!W20&gt;0,每日收货出货登记!V20,"")</f>
        <v/>
      </c>
      <c r="G20" s="10">
        <f>IF(每日收货出货登记!W20&gt;0,每日收货出货登记!W20,"")</f>
        <v/>
      </c>
      <c r="H20" s="10">
        <f>IF(每日收货出货登记!W20&gt;0,每日收货出货登记!R20,"")</f>
        <v/>
      </c>
      <c r="I20" s="9">
        <f>IF(每日收货出货登记!W20&gt;0,每日收货出货登记!S20,"")</f>
        <v/>
      </c>
      <c r="J20" s="9">
        <f>IF(每日收货出货登记!W20&gt;0,每日收货出货登记!AB20,"")</f>
        <v/>
      </c>
    </row>
    <row r="21" ht="22" customHeight="1">
      <c r="A21" s="9">
        <f>IF(每日收货出货登记!W21&gt;0,每日收货出货登记!A21,"")</f>
        <v/>
      </c>
      <c r="B21" s="10">
        <f>IF(每日收货出货登记!W21&gt;0,每日收货出货登记!D21,"")</f>
        <v/>
      </c>
      <c r="C21" s="10">
        <f>IF(每日收货出货登记!W21&gt;0,每日收货出货登记!G21,"")</f>
        <v/>
      </c>
      <c r="D21" s="10">
        <f>IF(每日收货出货登记!W21&gt;0,每日收货出货登记!E21,"")</f>
        <v/>
      </c>
      <c r="E21" s="10">
        <f>IF(每日收货出货登记!W21&gt;0,每日收货出货登记!Q21,"")</f>
        <v/>
      </c>
      <c r="F21" s="10">
        <f>IF(每日收货出货登记!W21&gt;0,每日收货出货登记!V21,"")</f>
        <v/>
      </c>
      <c r="G21" s="10">
        <f>IF(每日收货出货登记!W21&gt;0,每日收货出货登记!W21,"")</f>
        <v/>
      </c>
      <c r="H21" s="10">
        <f>IF(每日收货出货登记!W21&gt;0,每日收货出货登记!R21,"")</f>
        <v/>
      </c>
      <c r="I21" s="9">
        <f>IF(每日收货出货登记!W21&gt;0,每日收货出货登记!S21,"")</f>
        <v/>
      </c>
      <c r="J21" s="9">
        <f>IF(每日收货出货登记!W21&gt;0,每日收货出货登记!AB21,"")</f>
        <v/>
      </c>
    </row>
    <row r="22" ht="22" customHeight="1">
      <c r="A22" s="9">
        <f>IF(每日收货出货登记!W22&gt;0,每日收货出货登记!A22,"")</f>
        <v/>
      </c>
      <c r="B22" s="10">
        <f>IF(每日收货出货登记!W22&gt;0,每日收货出货登记!D22,"")</f>
        <v/>
      </c>
      <c r="C22" s="10">
        <f>IF(每日收货出货登记!W22&gt;0,每日收货出货登记!G22,"")</f>
        <v/>
      </c>
      <c r="D22" s="10">
        <f>IF(每日收货出货登记!W22&gt;0,每日收货出货登记!E22,"")</f>
        <v/>
      </c>
      <c r="E22" s="10">
        <f>IF(每日收货出货登记!W22&gt;0,每日收货出货登记!Q22,"")</f>
        <v/>
      </c>
      <c r="F22" s="10">
        <f>IF(每日收货出货登记!W22&gt;0,每日收货出货登记!V22,"")</f>
        <v/>
      </c>
      <c r="G22" s="10">
        <f>IF(每日收货出货登记!W22&gt;0,每日收货出货登记!W22,"")</f>
        <v/>
      </c>
      <c r="H22" s="10">
        <f>IF(每日收货出货登记!W22&gt;0,每日收货出货登记!R22,"")</f>
        <v/>
      </c>
      <c r="I22" s="9">
        <f>IF(每日收货出货登记!W22&gt;0,每日收货出货登记!S22,"")</f>
        <v/>
      </c>
      <c r="J22" s="9">
        <f>IF(每日收货出货登记!W22&gt;0,每日收货出货登记!AB22,"")</f>
        <v/>
      </c>
    </row>
    <row r="23" ht="22" customHeight="1">
      <c r="A23" s="9">
        <f>IF(每日收货出货登记!W23&gt;0,每日收货出货登记!A23,"")</f>
        <v/>
      </c>
      <c r="B23" s="10">
        <f>IF(每日收货出货登记!W23&gt;0,每日收货出货登记!D23,"")</f>
        <v/>
      </c>
      <c r="C23" s="10">
        <f>IF(每日收货出货登记!W23&gt;0,每日收货出货登记!G23,"")</f>
        <v/>
      </c>
      <c r="D23" s="10">
        <f>IF(每日收货出货登记!W23&gt;0,每日收货出货登记!E23,"")</f>
        <v/>
      </c>
      <c r="E23" s="10">
        <f>IF(每日收货出货登记!W23&gt;0,每日收货出货登记!Q23,"")</f>
        <v/>
      </c>
      <c r="F23" s="10">
        <f>IF(每日收货出货登记!W23&gt;0,每日收货出货登记!V23,"")</f>
        <v/>
      </c>
      <c r="G23" s="10">
        <f>IF(每日收货出货登记!W23&gt;0,每日收货出货登记!W23,"")</f>
        <v/>
      </c>
      <c r="H23" s="10">
        <f>IF(每日收货出货登记!W23&gt;0,每日收货出货登记!R23,"")</f>
        <v/>
      </c>
      <c r="I23" s="9">
        <f>IF(每日收货出货登记!W23&gt;0,每日收货出货登记!S23,"")</f>
        <v/>
      </c>
      <c r="J23" s="9">
        <f>IF(每日收货出货登记!W23&gt;0,每日收货出货登记!AB23,"")</f>
        <v/>
      </c>
    </row>
    <row r="24" ht="22" customHeight="1">
      <c r="A24" s="9">
        <f>IF(每日收货出货登记!W24&gt;0,每日收货出货登记!A24,"")</f>
        <v/>
      </c>
      <c r="B24" s="10">
        <f>IF(每日收货出货登记!W24&gt;0,每日收货出货登记!D24,"")</f>
        <v/>
      </c>
      <c r="C24" s="10">
        <f>IF(每日收货出货登记!W24&gt;0,每日收货出货登记!G24,"")</f>
        <v/>
      </c>
      <c r="D24" s="10">
        <f>IF(每日收货出货登记!W24&gt;0,每日收货出货登记!E24,"")</f>
        <v/>
      </c>
      <c r="E24" s="10">
        <f>IF(每日收货出货登记!W24&gt;0,每日收货出货登记!Q24,"")</f>
        <v/>
      </c>
      <c r="F24" s="10">
        <f>IF(每日收货出货登记!W24&gt;0,每日收货出货登记!V24,"")</f>
        <v/>
      </c>
      <c r="G24" s="10">
        <f>IF(每日收货出货登记!W24&gt;0,每日收货出货登记!W24,"")</f>
        <v/>
      </c>
      <c r="H24" s="10">
        <f>IF(每日收货出货登记!W24&gt;0,每日收货出货登记!R24,"")</f>
        <v/>
      </c>
      <c r="I24" s="9">
        <f>IF(每日收货出货登记!W24&gt;0,每日收货出货登记!S24,"")</f>
        <v/>
      </c>
      <c r="J24" s="9">
        <f>IF(每日收货出货登记!W24&gt;0,每日收货出货登记!AB24,"")</f>
        <v/>
      </c>
    </row>
    <row r="25" ht="22" customHeight="1">
      <c r="A25" s="9">
        <f>IF(每日收货出货登记!W25&gt;0,每日收货出货登记!A25,"")</f>
        <v/>
      </c>
      <c r="B25" s="10">
        <f>IF(每日收货出货登记!W25&gt;0,每日收货出货登记!D25,"")</f>
        <v/>
      </c>
      <c r="C25" s="10">
        <f>IF(每日收货出货登记!W25&gt;0,每日收货出货登记!G25,"")</f>
        <v/>
      </c>
      <c r="D25" s="10">
        <f>IF(每日收货出货登记!W25&gt;0,每日收货出货登记!E25,"")</f>
        <v/>
      </c>
      <c r="E25" s="10">
        <f>IF(每日收货出货登记!W25&gt;0,每日收货出货登记!Q25,"")</f>
        <v/>
      </c>
      <c r="F25" s="10">
        <f>IF(每日收货出货登记!W25&gt;0,每日收货出货登记!V25,"")</f>
        <v/>
      </c>
      <c r="G25" s="10">
        <f>IF(每日收货出货登记!W25&gt;0,每日收货出货登记!W25,"")</f>
        <v/>
      </c>
      <c r="H25" s="10">
        <f>IF(每日收货出货登记!W25&gt;0,每日收货出货登记!R25,"")</f>
        <v/>
      </c>
      <c r="I25" s="9">
        <f>IF(每日收货出货登记!W25&gt;0,每日收货出货登记!S25,"")</f>
        <v/>
      </c>
      <c r="J25" s="9">
        <f>IF(每日收货出货登记!W25&gt;0,每日收货出货登记!AB25,"")</f>
        <v/>
      </c>
    </row>
    <row r="26" ht="22" customHeight="1">
      <c r="A26" s="9">
        <f>IF(每日收货出货登记!W26&gt;0,每日收货出货登记!A26,"")</f>
        <v/>
      </c>
      <c r="B26" s="10">
        <f>IF(每日收货出货登记!W26&gt;0,每日收货出货登记!D26,"")</f>
        <v/>
      </c>
      <c r="C26" s="10">
        <f>IF(每日收货出货登记!W26&gt;0,每日收货出货登记!G26,"")</f>
        <v/>
      </c>
      <c r="D26" s="10">
        <f>IF(每日收货出货登记!W26&gt;0,每日收货出货登记!E26,"")</f>
        <v/>
      </c>
      <c r="E26" s="10">
        <f>IF(每日收货出货登记!W26&gt;0,每日收货出货登记!Q26,"")</f>
        <v/>
      </c>
      <c r="F26" s="10">
        <f>IF(每日收货出货登记!W26&gt;0,每日收货出货登记!V26,"")</f>
        <v/>
      </c>
      <c r="G26" s="10">
        <f>IF(每日收货出货登记!W26&gt;0,每日收货出货登记!W26,"")</f>
        <v/>
      </c>
      <c r="H26" s="10">
        <f>IF(每日收货出货登记!W26&gt;0,每日收货出货登记!R26,"")</f>
        <v/>
      </c>
      <c r="I26" s="9">
        <f>IF(每日收货出货登记!W26&gt;0,每日收货出货登记!S26,"")</f>
        <v/>
      </c>
      <c r="J26" s="9">
        <f>IF(每日收货出货登记!W26&gt;0,每日收货出货登记!AB26,"")</f>
        <v/>
      </c>
    </row>
    <row r="27" ht="22" customHeight="1">
      <c r="A27" s="9">
        <f>IF(每日收货出货登记!W27&gt;0,每日收货出货登记!A27,"")</f>
        <v/>
      </c>
      <c r="B27" s="10">
        <f>IF(每日收货出货登记!W27&gt;0,每日收货出货登记!D27,"")</f>
        <v/>
      </c>
      <c r="C27" s="10">
        <f>IF(每日收货出货登记!W27&gt;0,每日收货出货登记!G27,"")</f>
        <v/>
      </c>
      <c r="D27" s="10">
        <f>IF(每日收货出货登记!W27&gt;0,每日收货出货登记!E27,"")</f>
        <v/>
      </c>
      <c r="E27" s="10">
        <f>IF(每日收货出货登记!W27&gt;0,每日收货出货登记!Q27,"")</f>
        <v/>
      </c>
      <c r="F27" s="10">
        <f>IF(每日收货出货登记!W27&gt;0,每日收货出货登记!V27,"")</f>
        <v/>
      </c>
      <c r="G27" s="10">
        <f>IF(每日收货出货登记!W27&gt;0,每日收货出货登记!W27,"")</f>
        <v/>
      </c>
      <c r="H27" s="10">
        <f>IF(每日收货出货登记!W27&gt;0,每日收货出货登记!R27,"")</f>
        <v/>
      </c>
      <c r="I27" s="9">
        <f>IF(每日收货出货登记!W27&gt;0,每日收货出货登记!S27,"")</f>
        <v/>
      </c>
      <c r="J27" s="9">
        <f>IF(每日收货出货登记!W27&gt;0,每日收货出货登记!AB27,"")</f>
        <v/>
      </c>
    </row>
    <row r="28" ht="22" customHeight="1">
      <c r="A28" s="9">
        <f>IF(每日收货出货登记!W28&gt;0,每日收货出货登记!A28,"")</f>
        <v/>
      </c>
      <c r="B28" s="10">
        <f>IF(每日收货出货登记!W28&gt;0,每日收货出货登记!D28,"")</f>
        <v/>
      </c>
      <c r="C28" s="10">
        <f>IF(每日收货出货登记!W28&gt;0,每日收货出货登记!G28,"")</f>
        <v/>
      </c>
      <c r="D28" s="10">
        <f>IF(每日收货出货登记!W28&gt;0,每日收货出货登记!E28,"")</f>
        <v/>
      </c>
      <c r="E28" s="10">
        <f>IF(每日收货出货登记!W28&gt;0,每日收货出货登记!Q28,"")</f>
        <v/>
      </c>
      <c r="F28" s="10">
        <f>IF(每日收货出货登记!W28&gt;0,每日收货出货登记!V28,"")</f>
        <v/>
      </c>
      <c r="G28" s="10">
        <f>IF(每日收货出货登记!W28&gt;0,每日收货出货登记!W28,"")</f>
        <v/>
      </c>
      <c r="H28" s="10">
        <f>IF(每日收货出货登记!W28&gt;0,每日收货出货登记!R28,"")</f>
        <v/>
      </c>
      <c r="I28" s="9">
        <f>IF(每日收货出货登记!W28&gt;0,每日收货出货登记!S28,"")</f>
        <v/>
      </c>
      <c r="J28" s="9">
        <f>IF(每日收货出货登记!W28&gt;0,每日收货出货登记!AB28,"")</f>
        <v/>
      </c>
    </row>
    <row r="29" ht="22" customHeight="1">
      <c r="A29" s="9">
        <f>IF(每日收货出货登记!W29&gt;0,每日收货出货登记!A29,"")</f>
        <v/>
      </c>
      <c r="B29" s="10">
        <f>IF(每日收货出货登记!W29&gt;0,每日收货出货登记!D29,"")</f>
        <v/>
      </c>
      <c r="C29" s="10">
        <f>IF(每日收货出货登记!W29&gt;0,每日收货出货登记!G29,"")</f>
        <v/>
      </c>
      <c r="D29" s="10">
        <f>IF(每日收货出货登记!W29&gt;0,每日收货出货登记!E29,"")</f>
        <v/>
      </c>
      <c r="E29" s="10">
        <f>IF(每日收货出货登记!W29&gt;0,每日收货出货登记!Q29,"")</f>
        <v/>
      </c>
      <c r="F29" s="10">
        <f>IF(每日收货出货登记!W29&gt;0,每日收货出货登记!V29,"")</f>
        <v/>
      </c>
      <c r="G29" s="10">
        <f>IF(每日收货出货登记!W29&gt;0,每日收货出货登记!W29,"")</f>
        <v/>
      </c>
      <c r="H29" s="10">
        <f>IF(每日收货出货登记!W29&gt;0,每日收货出货登记!R29,"")</f>
        <v/>
      </c>
      <c r="I29" s="9">
        <f>IF(每日收货出货登记!W29&gt;0,每日收货出货登记!S29,"")</f>
        <v/>
      </c>
      <c r="J29" s="9">
        <f>IF(每日收货出货登记!W29&gt;0,每日收货出货登记!AB29,"")</f>
        <v/>
      </c>
    </row>
    <row r="30" ht="22" customHeight="1">
      <c r="A30" s="9">
        <f>IF(每日收货出货登记!W30&gt;0,每日收货出货登记!A30,"")</f>
        <v/>
      </c>
      <c r="B30" s="10">
        <f>IF(每日收货出货登记!W30&gt;0,每日收货出货登记!D30,"")</f>
        <v/>
      </c>
      <c r="C30" s="10">
        <f>IF(每日收货出货登记!W30&gt;0,每日收货出货登记!G30,"")</f>
        <v/>
      </c>
      <c r="D30" s="10">
        <f>IF(每日收货出货登记!W30&gt;0,每日收货出货登记!E30,"")</f>
        <v/>
      </c>
      <c r="E30" s="10">
        <f>IF(每日收货出货登记!W30&gt;0,每日收货出货登记!Q30,"")</f>
        <v/>
      </c>
      <c r="F30" s="10">
        <f>IF(每日收货出货登记!W30&gt;0,每日收货出货登记!V30,"")</f>
        <v/>
      </c>
      <c r="G30" s="10">
        <f>IF(每日收货出货登记!W30&gt;0,每日收货出货登记!W30,"")</f>
        <v/>
      </c>
      <c r="H30" s="10">
        <f>IF(每日收货出货登记!W30&gt;0,每日收货出货登记!R30,"")</f>
        <v/>
      </c>
      <c r="I30" s="9">
        <f>IF(每日收货出货登记!W30&gt;0,每日收货出货登记!S30,"")</f>
        <v/>
      </c>
      <c r="J30" s="9">
        <f>IF(每日收货出货登记!W30&gt;0,每日收货出货登记!AB30,"")</f>
        <v/>
      </c>
    </row>
    <row r="31" ht="22" customHeight="1">
      <c r="A31" s="9">
        <f>IF(每日收货出货登记!W31&gt;0,每日收货出货登记!A31,"")</f>
        <v/>
      </c>
      <c r="B31" s="10">
        <f>IF(每日收货出货登记!W31&gt;0,每日收货出货登记!D31,"")</f>
        <v/>
      </c>
      <c r="C31" s="10">
        <f>IF(每日收货出货登记!W31&gt;0,每日收货出货登记!G31,"")</f>
        <v/>
      </c>
      <c r="D31" s="10">
        <f>IF(每日收货出货登记!W31&gt;0,每日收货出货登记!E31,"")</f>
        <v/>
      </c>
      <c r="E31" s="10">
        <f>IF(每日收货出货登记!W31&gt;0,每日收货出货登记!Q31,"")</f>
        <v/>
      </c>
      <c r="F31" s="10">
        <f>IF(每日收货出货登记!W31&gt;0,每日收货出货登记!V31,"")</f>
        <v/>
      </c>
      <c r="G31" s="10">
        <f>IF(每日收货出货登记!W31&gt;0,每日收货出货登记!W31,"")</f>
        <v/>
      </c>
      <c r="H31" s="10">
        <f>IF(每日收货出货登记!W31&gt;0,每日收货出货登记!R31,"")</f>
        <v/>
      </c>
      <c r="I31" s="9">
        <f>IF(每日收货出货登记!W31&gt;0,每日收货出货登记!S31,"")</f>
        <v/>
      </c>
      <c r="J31" s="9">
        <f>IF(每日收货出货登记!W31&gt;0,每日收货出货登记!AB31,"")</f>
        <v/>
      </c>
    </row>
    <row r="32" ht="22" customHeight="1">
      <c r="A32" s="9">
        <f>IF(每日收货出货登记!W32&gt;0,每日收货出货登记!A32,"")</f>
        <v/>
      </c>
      <c r="B32" s="10">
        <f>IF(每日收货出货登记!W32&gt;0,每日收货出货登记!D32,"")</f>
        <v/>
      </c>
      <c r="C32" s="10">
        <f>IF(每日收货出货登记!W32&gt;0,每日收货出货登记!G32,"")</f>
        <v/>
      </c>
      <c r="D32" s="10">
        <f>IF(每日收货出货登记!W32&gt;0,每日收货出货登记!E32,"")</f>
        <v/>
      </c>
      <c r="E32" s="10">
        <f>IF(每日收货出货登记!W32&gt;0,每日收货出货登记!Q32,"")</f>
        <v/>
      </c>
      <c r="F32" s="10">
        <f>IF(每日收货出货登记!W32&gt;0,每日收货出货登记!V32,"")</f>
        <v/>
      </c>
      <c r="G32" s="10">
        <f>IF(每日收货出货登记!W32&gt;0,每日收货出货登记!W32,"")</f>
        <v/>
      </c>
      <c r="H32" s="10">
        <f>IF(每日收货出货登记!W32&gt;0,每日收货出货登记!R32,"")</f>
        <v/>
      </c>
      <c r="I32" s="9">
        <f>IF(每日收货出货登记!W32&gt;0,每日收货出货登记!S32,"")</f>
        <v/>
      </c>
      <c r="J32" s="9">
        <f>IF(每日收货出货登记!W32&gt;0,每日收货出货登记!AB32,"")</f>
        <v/>
      </c>
    </row>
    <row r="33" ht="22" customHeight="1">
      <c r="A33" s="9">
        <f>IF(每日收货出货登记!W33&gt;0,每日收货出货登记!A33,"")</f>
        <v/>
      </c>
      <c r="B33" s="10">
        <f>IF(每日收货出货登记!W33&gt;0,每日收货出货登记!D33,"")</f>
        <v/>
      </c>
      <c r="C33" s="10">
        <f>IF(每日收货出货登记!W33&gt;0,每日收货出货登记!G33,"")</f>
        <v/>
      </c>
      <c r="D33" s="10">
        <f>IF(每日收货出货登记!W33&gt;0,每日收货出货登记!E33,"")</f>
        <v/>
      </c>
      <c r="E33" s="10">
        <f>IF(每日收货出货登记!W33&gt;0,每日收货出货登记!Q33,"")</f>
        <v/>
      </c>
      <c r="F33" s="10">
        <f>IF(每日收货出货登记!W33&gt;0,每日收货出货登记!V33,"")</f>
        <v/>
      </c>
      <c r="G33" s="10">
        <f>IF(每日收货出货登记!W33&gt;0,每日收货出货登记!W33,"")</f>
        <v/>
      </c>
      <c r="H33" s="10">
        <f>IF(每日收货出货登记!W33&gt;0,每日收货出货登记!R33,"")</f>
        <v/>
      </c>
      <c r="I33" s="9">
        <f>IF(每日收货出货登记!W33&gt;0,每日收货出货登记!S33,"")</f>
        <v/>
      </c>
      <c r="J33" s="9">
        <f>IF(每日收货出货登记!W33&gt;0,每日收货出货登记!AB33,"")</f>
        <v/>
      </c>
    </row>
    <row r="34" ht="22" customHeight="1">
      <c r="A34" s="9">
        <f>IF(每日收货出货登记!W34&gt;0,每日收货出货登记!A34,"")</f>
        <v/>
      </c>
      <c r="B34" s="10">
        <f>IF(每日收货出货登记!W34&gt;0,每日收货出货登记!D34,"")</f>
        <v/>
      </c>
      <c r="C34" s="10">
        <f>IF(每日收货出货登记!W34&gt;0,每日收货出货登记!G34,"")</f>
        <v/>
      </c>
      <c r="D34" s="10">
        <f>IF(每日收货出货登记!W34&gt;0,每日收货出货登记!E34,"")</f>
        <v/>
      </c>
      <c r="E34" s="10">
        <f>IF(每日收货出货登记!W34&gt;0,每日收货出货登记!Q34,"")</f>
        <v/>
      </c>
      <c r="F34" s="10">
        <f>IF(每日收货出货登记!W34&gt;0,每日收货出货登记!V34,"")</f>
        <v/>
      </c>
      <c r="G34" s="10">
        <f>IF(每日收货出货登记!W34&gt;0,每日收货出货登记!W34,"")</f>
        <v/>
      </c>
      <c r="H34" s="10">
        <f>IF(每日收货出货登记!W34&gt;0,每日收货出货登记!R34,"")</f>
        <v/>
      </c>
      <c r="I34" s="9">
        <f>IF(每日收货出货登记!W34&gt;0,每日收货出货登记!S34,"")</f>
        <v/>
      </c>
      <c r="J34" s="9">
        <f>IF(每日收货出货登记!W34&gt;0,每日收货出货登记!AB34,"")</f>
        <v/>
      </c>
    </row>
    <row r="35" ht="22" customHeight="1">
      <c r="A35" s="9">
        <f>IF(每日收货出货登记!W35&gt;0,每日收货出货登记!A35,"")</f>
        <v/>
      </c>
      <c r="B35" s="10">
        <f>IF(每日收货出货登记!W35&gt;0,每日收货出货登记!D35,"")</f>
        <v/>
      </c>
      <c r="C35" s="10">
        <f>IF(每日收货出货登记!W35&gt;0,每日收货出货登记!G35,"")</f>
        <v/>
      </c>
      <c r="D35" s="10">
        <f>IF(每日收货出货登记!W35&gt;0,每日收货出货登记!E35,"")</f>
        <v/>
      </c>
      <c r="E35" s="10">
        <f>IF(每日收货出货登记!W35&gt;0,每日收货出货登记!Q35,"")</f>
        <v/>
      </c>
      <c r="F35" s="10">
        <f>IF(每日收货出货登记!W35&gt;0,每日收货出货登记!V35,"")</f>
        <v/>
      </c>
      <c r="G35" s="10">
        <f>IF(每日收货出货登记!W35&gt;0,每日收货出货登记!W35,"")</f>
        <v/>
      </c>
      <c r="H35" s="10">
        <f>IF(每日收货出货登记!W35&gt;0,每日收货出货登记!R35,"")</f>
        <v/>
      </c>
      <c r="I35" s="9">
        <f>IF(每日收货出货登记!W35&gt;0,每日收货出货登记!S35,"")</f>
        <v/>
      </c>
      <c r="J35" s="9">
        <f>IF(每日收货出货登记!W35&gt;0,每日收货出货登记!AB35,"")</f>
        <v/>
      </c>
    </row>
    <row r="36" ht="22" customHeight="1">
      <c r="A36" s="9">
        <f>IF(每日收货出货登记!W36&gt;0,每日收货出货登记!A36,"")</f>
        <v/>
      </c>
      <c r="B36" s="10">
        <f>IF(每日收货出货登记!W36&gt;0,每日收货出货登记!D36,"")</f>
        <v/>
      </c>
      <c r="C36" s="10">
        <f>IF(每日收货出货登记!W36&gt;0,每日收货出货登记!G36,"")</f>
        <v/>
      </c>
      <c r="D36" s="10">
        <f>IF(每日收货出货登记!W36&gt;0,每日收货出货登记!E36,"")</f>
        <v/>
      </c>
      <c r="E36" s="10">
        <f>IF(每日收货出货登记!W36&gt;0,每日收货出货登记!Q36,"")</f>
        <v/>
      </c>
      <c r="F36" s="10">
        <f>IF(每日收货出货登记!W36&gt;0,每日收货出货登记!V36,"")</f>
        <v/>
      </c>
      <c r="G36" s="10">
        <f>IF(每日收货出货登记!W36&gt;0,每日收货出货登记!W36,"")</f>
        <v/>
      </c>
      <c r="H36" s="10">
        <f>IF(每日收货出货登记!W36&gt;0,每日收货出货登记!R36,"")</f>
        <v/>
      </c>
      <c r="I36" s="9">
        <f>IF(每日收货出货登记!W36&gt;0,每日收货出货登记!S36,"")</f>
        <v/>
      </c>
      <c r="J36" s="9">
        <f>IF(每日收货出货登记!W36&gt;0,每日收货出货登记!AB36,"")</f>
        <v/>
      </c>
    </row>
    <row r="37" ht="22" customHeight="1">
      <c r="A37" s="9">
        <f>IF(每日收货出货登记!W37&gt;0,每日收货出货登记!A37,"")</f>
        <v/>
      </c>
      <c r="B37" s="10">
        <f>IF(每日收货出货登记!W37&gt;0,每日收货出货登记!D37,"")</f>
        <v/>
      </c>
      <c r="C37" s="10">
        <f>IF(每日收货出货登记!W37&gt;0,每日收货出货登记!G37,"")</f>
        <v/>
      </c>
      <c r="D37" s="10">
        <f>IF(每日收货出货登记!W37&gt;0,每日收货出货登记!E37,"")</f>
        <v/>
      </c>
      <c r="E37" s="10">
        <f>IF(每日收货出货登记!W37&gt;0,每日收货出货登记!Q37,"")</f>
        <v/>
      </c>
      <c r="F37" s="10">
        <f>IF(每日收货出货登记!W37&gt;0,每日收货出货登记!V37,"")</f>
        <v/>
      </c>
      <c r="G37" s="10">
        <f>IF(每日收货出货登记!W37&gt;0,每日收货出货登记!W37,"")</f>
        <v/>
      </c>
      <c r="H37" s="10">
        <f>IF(每日收货出货登记!W37&gt;0,每日收货出货登记!R37,"")</f>
        <v/>
      </c>
      <c r="I37" s="9">
        <f>IF(每日收货出货登记!W37&gt;0,每日收货出货登记!S37,"")</f>
        <v/>
      </c>
      <c r="J37" s="9">
        <f>IF(每日收货出货登记!W37&gt;0,每日收货出货登记!AB37,"")</f>
        <v/>
      </c>
    </row>
    <row r="38" ht="22" customHeight="1">
      <c r="A38" s="9">
        <f>IF(每日收货出货登记!W38&gt;0,每日收货出货登记!A38,"")</f>
        <v/>
      </c>
      <c r="B38" s="10">
        <f>IF(每日收货出货登记!W38&gt;0,每日收货出货登记!D38,"")</f>
        <v/>
      </c>
      <c r="C38" s="10">
        <f>IF(每日收货出货登记!W38&gt;0,每日收货出货登记!G38,"")</f>
        <v/>
      </c>
      <c r="D38" s="10">
        <f>IF(每日收货出货登记!W38&gt;0,每日收货出货登记!E38,"")</f>
        <v/>
      </c>
      <c r="E38" s="10">
        <f>IF(每日收货出货登记!W38&gt;0,每日收货出货登记!Q38,"")</f>
        <v/>
      </c>
      <c r="F38" s="10">
        <f>IF(每日收货出货登记!W38&gt;0,每日收货出货登记!V38,"")</f>
        <v/>
      </c>
      <c r="G38" s="10">
        <f>IF(每日收货出货登记!W38&gt;0,每日收货出货登记!W38,"")</f>
        <v/>
      </c>
      <c r="H38" s="10">
        <f>IF(每日收货出货登记!W38&gt;0,每日收货出货登记!R38,"")</f>
        <v/>
      </c>
      <c r="I38" s="9">
        <f>IF(每日收货出货登记!W38&gt;0,每日收货出货登记!S38,"")</f>
        <v/>
      </c>
      <c r="J38" s="9">
        <f>IF(每日收货出货登记!W38&gt;0,每日收货出货登记!AB38,"")</f>
        <v/>
      </c>
    </row>
    <row r="39" ht="22" customHeight="1">
      <c r="A39" s="9">
        <f>IF(每日收货出货登记!W39&gt;0,每日收货出货登记!A39,"")</f>
        <v/>
      </c>
      <c r="B39" s="10">
        <f>IF(每日收货出货登记!W39&gt;0,每日收货出货登记!D39,"")</f>
        <v/>
      </c>
      <c r="C39" s="10">
        <f>IF(每日收货出货登记!W39&gt;0,每日收货出货登记!G39,"")</f>
        <v/>
      </c>
      <c r="D39" s="10">
        <f>IF(每日收货出货登记!W39&gt;0,每日收货出货登记!E39,"")</f>
        <v/>
      </c>
      <c r="E39" s="10">
        <f>IF(每日收货出货登记!W39&gt;0,每日收货出货登记!Q39,"")</f>
        <v/>
      </c>
      <c r="F39" s="10">
        <f>IF(每日收货出货登记!W39&gt;0,每日收货出货登记!V39,"")</f>
        <v/>
      </c>
      <c r="G39" s="10">
        <f>IF(每日收货出货登记!W39&gt;0,每日收货出货登记!W39,"")</f>
        <v/>
      </c>
      <c r="H39" s="10">
        <f>IF(每日收货出货登记!W39&gt;0,每日收货出货登记!R39,"")</f>
        <v/>
      </c>
      <c r="I39" s="9">
        <f>IF(每日收货出货登记!W39&gt;0,每日收货出货登记!S39,"")</f>
        <v/>
      </c>
      <c r="J39" s="9">
        <f>IF(每日收货出货登记!W39&gt;0,每日收货出货登记!AB39,"")</f>
        <v/>
      </c>
    </row>
    <row r="40" ht="22" customHeight="1">
      <c r="A40" s="9">
        <f>IF(每日收货出货登记!W40&gt;0,每日收货出货登记!A40,"")</f>
        <v/>
      </c>
      <c r="B40" s="10">
        <f>IF(每日收货出货登记!W40&gt;0,每日收货出货登记!D40,"")</f>
        <v/>
      </c>
      <c r="C40" s="10">
        <f>IF(每日收货出货登记!W40&gt;0,每日收货出货登记!G40,"")</f>
        <v/>
      </c>
      <c r="D40" s="10">
        <f>IF(每日收货出货登记!W40&gt;0,每日收货出货登记!E40,"")</f>
        <v/>
      </c>
      <c r="E40" s="10">
        <f>IF(每日收货出货登记!W40&gt;0,每日收货出货登记!Q40,"")</f>
        <v/>
      </c>
      <c r="F40" s="10">
        <f>IF(每日收货出货登记!W40&gt;0,每日收货出货登记!V40,"")</f>
        <v/>
      </c>
      <c r="G40" s="10">
        <f>IF(每日收货出货登记!W40&gt;0,每日收货出货登记!W40,"")</f>
        <v/>
      </c>
      <c r="H40" s="10">
        <f>IF(每日收货出货登记!W40&gt;0,每日收货出货登记!R40,"")</f>
        <v/>
      </c>
      <c r="I40" s="9">
        <f>IF(每日收货出货登记!W40&gt;0,每日收货出货登记!S40,"")</f>
        <v/>
      </c>
      <c r="J40" s="9">
        <f>IF(每日收货出货登记!W40&gt;0,每日收货出货登记!AB40,"")</f>
        <v/>
      </c>
    </row>
    <row r="41" ht="22" customHeight="1">
      <c r="A41" s="9">
        <f>IF(每日收货出货登记!W41&gt;0,每日收货出货登记!A41,"")</f>
        <v/>
      </c>
      <c r="B41" s="10">
        <f>IF(每日收货出货登记!W41&gt;0,每日收货出货登记!D41,"")</f>
        <v/>
      </c>
      <c r="C41" s="10">
        <f>IF(每日收货出货登记!W41&gt;0,每日收货出货登记!G41,"")</f>
        <v/>
      </c>
      <c r="D41" s="10">
        <f>IF(每日收货出货登记!W41&gt;0,每日收货出货登记!E41,"")</f>
        <v/>
      </c>
      <c r="E41" s="10">
        <f>IF(每日收货出货登记!W41&gt;0,每日收货出货登记!Q41,"")</f>
        <v/>
      </c>
      <c r="F41" s="10">
        <f>IF(每日收货出货登记!W41&gt;0,每日收货出货登记!V41,"")</f>
        <v/>
      </c>
      <c r="G41" s="10">
        <f>IF(每日收货出货登记!W41&gt;0,每日收货出货登记!W41,"")</f>
        <v/>
      </c>
      <c r="H41" s="10">
        <f>IF(每日收货出货登记!W41&gt;0,每日收货出货登记!R41,"")</f>
        <v/>
      </c>
      <c r="I41" s="9">
        <f>IF(每日收货出货登记!W41&gt;0,每日收货出货登记!S41,"")</f>
        <v/>
      </c>
      <c r="J41" s="9">
        <f>IF(每日收货出货登记!W41&gt;0,每日收货出货登记!AB41,"")</f>
        <v/>
      </c>
    </row>
    <row r="42" ht="22" customHeight="1">
      <c r="A42" s="9">
        <f>IF(每日收货出货登记!W42&gt;0,每日收货出货登记!A42,"")</f>
        <v/>
      </c>
      <c r="B42" s="10">
        <f>IF(每日收货出货登记!W42&gt;0,每日收货出货登记!D42,"")</f>
        <v/>
      </c>
      <c r="C42" s="10">
        <f>IF(每日收货出货登记!W42&gt;0,每日收货出货登记!G42,"")</f>
        <v/>
      </c>
      <c r="D42" s="10">
        <f>IF(每日收货出货登记!W42&gt;0,每日收货出货登记!E42,"")</f>
        <v/>
      </c>
      <c r="E42" s="10">
        <f>IF(每日收货出货登记!W42&gt;0,每日收货出货登记!Q42,"")</f>
        <v/>
      </c>
      <c r="F42" s="10">
        <f>IF(每日收货出货登记!W42&gt;0,每日收货出货登记!V42,"")</f>
        <v/>
      </c>
      <c r="G42" s="10">
        <f>IF(每日收货出货登记!W42&gt;0,每日收货出货登记!W42,"")</f>
        <v/>
      </c>
      <c r="H42" s="10">
        <f>IF(每日收货出货登记!W42&gt;0,每日收货出货登记!R42,"")</f>
        <v/>
      </c>
      <c r="I42" s="9">
        <f>IF(每日收货出货登记!W42&gt;0,每日收货出货登记!S42,"")</f>
        <v/>
      </c>
      <c r="J42" s="9">
        <f>IF(每日收货出货登记!W42&gt;0,每日收货出货登记!AB42,"")</f>
        <v/>
      </c>
    </row>
    <row r="43" ht="22" customHeight="1">
      <c r="A43" s="9">
        <f>IF(每日收货出货登记!W43&gt;0,每日收货出货登记!A43,"")</f>
        <v/>
      </c>
      <c r="B43" s="10">
        <f>IF(每日收货出货登记!W43&gt;0,每日收货出货登记!D43,"")</f>
        <v/>
      </c>
      <c r="C43" s="10">
        <f>IF(每日收货出货登记!W43&gt;0,每日收货出货登记!G43,"")</f>
        <v/>
      </c>
      <c r="D43" s="10">
        <f>IF(每日收货出货登记!W43&gt;0,每日收货出货登记!E43,"")</f>
        <v/>
      </c>
      <c r="E43" s="10">
        <f>IF(每日收货出货登记!W43&gt;0,每日收货出货登记!Q43,"")</f>
        <v/>
      </c>
      <c r="F43" s="10">
        <f>IF(每日收货出货登记!W43&gt;0,每日收货出货登记!V43,"")</f>
        <v/>
      </c>
      <c r="G43" s="10">
        <f>IF(每日收货出货登记!W43&gt;0,每日收货出货登记!W43,"")</f>
        <v/>
      </c>
      <c r="H43" s="10">
        <f>IF(每日收货出货登记!W43&gt;0,每日收货出货登记!R43,"")</f>
        <v/>
      </c>
      <c r="I43" s="9">
        <f>IF(每日收货出货登记!W43&gt;0,每日收货出货登记!S43,"")</f>
        <v/>
      </c>
      <c r="J43" s="9">
        <f>IF(每日收货出货登记!W43&gt;0,每日收货出货登记!AB43,"")</f>
        <v/>
      </c>
    </row>
    <row r="44" ht="22" customHeight="1">
      <c r="A44" s="9">
        <f>IF(每日收货出货登记!W44&gt;0,每日收货出货登记!A44,"")</f>
        <v/>
      </c>
      <c r="B44" s="10">
        <f>IF(每日收货出货登记!W44&gt;0,每日收货出货登记!D44,"")</f>
        <v/>
      </c>
      <c r="C44" s="10">
        <f>IF(每日收货出货登记!W44&gt;0,每日收货出货登记!G44,"")</f>
        <v/>
      </c>
      <c r="D44" s="10">
        <f>IF(每日收货出货登记!W44&gt;0,每日收货出货登记!E44,"")</f>
        <v/>
      </c>
      <c r="E44" s="10">
        <f>IF(每日收货出货登记!W44&gt;0,每日收货出货登记!Q44,"")</f>
        <v/>
      </c>
      <c r="F44" s="10">
        <f>IF(每日收货出货登记!W44&gt;0,每日收货出货登记!V44,"")</f>
        <v/>
      </c>
      <c r="G44" s="10">
        <f>IF(每日收货出货登记!W44&gt;0,每日收货出货登记!W44,"")</f>
        <v/>
      </c>
      <c r="H44" s="10">
        <f>IF(每日收货出货登记!W44&gt;0,每日收货出货登记!R44,"")</f>
        <v/>
      </c>
      <c r="I44" s="9">
        <f>IF(每日收货出货登记!W44&gt;0,每日收货出货登记!S44,"")</f>
        <v/>
      </c>
      <c r="J44" s="9">
        <f>IF(每日收货出货登记!W44&gt;0,每日收货出货登记!AB44,"")</f>
        <v/>
      </c>
    </row>
    <row r="45" ht="22" customHeight="1">
      <c r="A45" s="9">
        <f>IF(每日收货出货登记!W45&gt;0,每日收货出货登记!A45,"")</f>
        <v/>
      </c>
      <c r="B45" s="10">
        <f>IF(每日收货出货登记!W45&gt;0,每日收货出货登记!D45,"")</f>
        <v/>
      </c>
      <c r="C45" s="10">
        <f>IF(每日收货出货登记!W45&gt;0,每日收货出货登记!G45,"")</f>
        <v/>
      </c>
      <c r="D45" s="10">
        <f>IF(每日收货出货登记!W45&gt;0,每日收货出货登记!E45,"")</f>
        <v/>
      </c>
      <c r="E45" s="10">
        <f>IF(每日收货出货登记!W45&gt;0,每日收货出货登记!Q45,"")</f>
        <v/>
      </c>
      <c r="F45" s="10">
        <f>IF(每日收货出货登记!W45&gt;0,每日收货出货登记!V45,"")</f>
        <v/>
      </c>
      <c r="G45" s="10">
        <f>IF(每日收货出货登记!W45&gt;0,每日收货出货登记!W45,"")</f>
        <v/>
      </c>
      <c r="H45" s="10">
        <f>IF(每日收货出货登记!W45&gt;0,每日收货出货登记!R45,"")</f>
        <v/>
      </c>
      <c r="I45" s="9">
        <f>IF(每日收货出货登记!W45&gt;0,每日收货出货登记!S45,"")</f>
        <v/>
      </c>
      <c r="J45" s="9">
        <f>IF(每日收货出货登记!W45&gt;0,每日收货出货登记!AB45,"")</f>
        <v/>
      </c>
    </row>
    <row r="46" ht="22" customHeight="1">
      <c r="A46" s="9">
        <f>IF(每日收货出货登记!W46&gt;0,每日收货出货登记!A46,"")</f>
        <v/>
      </c>
      <c r="B46" s="10">
        <f>IF(每日收货出货登记!W46&gt;0,每日收货出货登记!D46,"")</f>
        <v/>
      </c>
      <c r="C46" s="10">
        <f>IF(每日收货出货登记!W46&gt;0,每日收货出货登记!G46,"")</f>
        <v/>
      </c>
      <c r="D46" s="10">
        <f>IF(每日收货出货登记!W46&gt;0,每日收货出货登记!E46,"")</f>
        <v/>
      </c>
      <c r="E46" s="10">
        <f>IF(每日收货出货登记!W46&gt;0,每日收货出货登记!Q46,"")</f>
        <v/>
      </c>
      <c r="F46" s="10">
        <f>IF(每日收货出货登记!W46&gt;0,每日收货出货登记!V46,"")</f>
        <v/>
      </c>
      <c r="G46" s="10">
        <f>IF(每日收货出货登记!W46&gt;0,每日收货出货登记!W46,"")</f>
        <v/>
      </c>
      <c r="H46" s="10">
        <f>IF(每日收货出货登记!W46&gt;0,每日收货出货登记!R46,"")</f>
        <v/>
      </c>
      <c r="I46" s="9">
        <f>IF(每日收货出货登记!W46&gt;0,每日收货出货登记!S46,"")</f>
        <v/>
      </c>
      <c r="J46" s="9">
        <f>IF(每日收货出货登记!W46&gt;0,每日收货出货登记!AB46,"")</f>
        <v/>
      </c>
    </row>
    <row r="47" ht="22" customHeight="1">
      <c r="A47" s="9">
        <f>IF(每日收货出货登记!W47&gt;0,每日收货出货登记!A47,"")</f>
        <v/>
      </c>
      <c r="B47" s="10">
        <f>IF(每日收货出货登记!W47&gt;0,每日收货出货登记!D47,"")</f>
        <v/>
      </c>
      <c r="C47" s="10">
        <f>IF(每日收货出货登记!W47&gt;0,每日收货出货登记!G47,"")</f>
        <v/>
      </c>
      <c r="D47" s="10">
        <f>IF(每日收货出货登记!W47&gt;0,每日收货出货登记!E47,"")</f>
        <v/>
      </c>
      <c r="E47" s="10">
        <f>IF(每日收货出货登记!W47&gt;0,每日收货出货登记!Q47,"")</f>
        <v/>
      </c>
      <c r="F47" s="10">
        <f>IF(每日收货出货登记!W47&gt;0,每日收货出货登记!V47,"")</f>
        <v/>
      </c>
      <c r="G47" s="10">
        <f>IF(每日收货出货登记!W47&gt;0,每日收货出货登记!W47,"")</f>
        <v/>
      </c>
      <c r="H47" s="10">
        <f>IF(每日收货出货登记!W47&gt;0,每日收货出货登记!R47,"")</f>
        <v/>
      </c>
      <c r="I47" s="9">
        <f>IF(每日收货出货登记!W47&gt;0,每日收货出货登记!S47,"")</f>
        <v/>
      </c>
      <c r="J47" s="9">
        <f>IF(每日收货出货登记!W47&gt;0,每日收货出货登记!AB47,"")</f>
        <v/>
      </c>
    </row>
    <row r="48" ht="22" customHeight="1">
      <c r="A48" s="9">
        <f>IF(每日收货出货登记!W48&gt;0,每日收货出货登记!A48,"")</f>
        <v/>
      </c>
      <c r="B48" s="10">
        <f>IF(每日收货出货登记!W48&gt;0,每日收货出货登记!D48,"")</f>
        <v/>
      </c>
      <c r="C48" s="10">
        <f>IF(每日收货出货登记!W48&gt;0,每日收货出货登记!G48,"")</f>
        <v/>
      </c>
      <c r="D48" s="10">
        <f>IF(每日收货出货登记!W48&gt;0,每日收货出货登记!E48,"")</f>
        <v/>
      </c>
      <c r="E48" s="10">
        <f>IF(每日收货出货登记!W48&gt;0,每日收货出货登记!Q48,"")</f>
        <v/>
      </c>
      <c r="F48" s="10">
        <f>IF(每日收货出货登记!W48&gt;0,每日收货出货登记!V48,"")</f>
        <v/>
      </c>
      <c r="G48" s="10">
        <f>IF(每日收货出货登记!W48&gt;0,每日收货出货登记!W48,"")</f>
        <v/>
      </c>
      <c r="H48" s="10">
        <f>IF(每日收货出货登记!W48&gt;0,每日收货出货登记!R48,"")</f>
        <v/>
      </c>
      <c r="I48" s="9">
        <f>IF(每日收货出货登记!W48&gt;0,每日收货出货登记!S48,"")</f>
        <v/>
      </c>
      <c r="J48" s="9">
        <f>IF(每日收货出货登记!W48&gt;0,每日收货出货登记!AB48,"")</f>
        <v/>
      </c>
    </row>
    <row r="49" ht="22" customHeight="1">
      <c r="A49" s="9">
        <f>IF(每日收货出货登记!W49&gt;0,每日收货出货登记!A49,"")</f>
        <v/>
      </c>
      <c r="B49" s="10">
        <f>IF(每日收货出货登记!W49&gt;0,每日收货出货登记!D49,"")</f>
        <v/>
      </c>
      <c r="C49" s="10">
        <f>IF(每日收货出货登记!W49&gt;0,每日收货出货登记!G49,"")</f>
        <v/>
      </c>
      <c r="D49" s="10">
        <f>IF(每日收货出货登记!W49&gt;0,每日收货出货登记!E49,"")</f>
        <v/>
      </c>
      <c r="E49" s="10">
        <f>IF(每日收货出货登记!W49&gt;0,每日收货出货登记!Q49,"")</f>
        <v/>
      </c>
      <c r="F49" s="10">
        <f>IF(每日收货出货登记!W49&gt;0,每日收货出货登记!V49,"")</f>
        <v/>
      </c>
      <c r="G49" s="10">
        <f>IF(每日收货出货登记!W49&gt;0,每日收货出货登记!W49,"")</f>
        <v/>
      </c>
      <c r="H49" s="10">
        <f>IF(每日收货出货登记!W49&gt;0,每日收货出货登记!R49,"")</f>
        <v/>
      </c>
      <c r="I49" s="9">
        <f>IF(每日收货出货登记!W49&gt;0,每日收货出货登记!S49,"")</f>
        <v/>
      </c>
      <c r="J49" s="9">
        <f>IF(每日收货出货登记!W49&gt;0,每日收货出货登记!AB49,"")</f>
        <v/>
      </c>
    </row>
    <row r="50" ht="22" customHeight="1">
      <c r="A50" s="9">
        <f>IF(每日收货出货登记!W50&gt;0,每日收货出货登记!A50,"")</f>
        <v/>
      </c>
      <c r="B50" s="10">
        <f>IF(每日收货出货登记!W50&gt;0,每日收货出货登记!D50,"")</f>
        <v/>
      </c>
      <c r="C50" s="10">
        <f>IF(每日收货出货登记!W50&gt;0,每日收货出货登记!G50,"")</f>
        <v/>
      </c>
      <c r="D50" s="10">
        <f>IF(每日收货出货登记!W50&gt;0,每日收货出货登记!E50,"")</f>
        <v/>
      </c>
      <c r="E50" s="10">
        <f>IF(每日收货出货登记!W50&gt;0,每日收货出货登记!Q50,"")</f>
        <v/>
      </c>
      <c r="F50" s="10">
        <f>IF(每日收货出货登记!W50&gt;0,每日收货出货登记!V50,"")</f>
        <v/>
      </c>
      <c r="G50" s="10">
        <f>IF(每日收货出货登记!W50&gt;0,每日收货出货登记!W50,"")</f>
        <v/>
      </c>
      <c r="H50" s="10">
        <f>IF(每日收货出货登记!W50&gt;0,每日收货出货登记!R50,"")</f>
        <v/>
      </c>
      <c r="I50" s="9">
        <f>IF(每日收货出货登记!W50&gt;0,每日收货出货登记!S50,"")</f>
        <v/>
      </c>
      <c r="J50" s="9">
        <f>IF(每日收货出货登记!W50&gt;0,每日收货出货登记!AB50,"")</f>
        <v/>
      </c>
    </row>
    <row r="51" ht="22" customHeight="1">
      <c r="A51" s="9">
        <f>IF(每日收货出货登记!W51&gt;0,每日收货出货登记!A51,"")</f>
        <v/>
      </c>
      <c r="B51" s="10">
        <f>IF(每日收货出货登记!W51&gt;0,每日收货出货登记!D51,"")</f>
        <v/>
      </c>
      <c r="C51" s="10">
        <f>IF(每日收货出货登记!W51&gt;0,每日收货出货登记!G51,"")</f>
        <v/>
      </c>
      <c r="D51" s="10">
        <f>IF(每日收货出货登记!W51&gt;0,每日收货出货登记!E51,"")</f>
        <v/>
      </c>
      <c r="E51" s="10">
        <f>IF(每日收货出货登记!W51&gt;0,每日收货出货登记!Q51,"")</f>
        <v/>
      </c>
      <c r="F51" s="10">
        <f>IF(每日收货出货登记!W51&gt;0,每日收货出货登记!V51,"")</f>
        <v/>
      </c>
      <c r="G51" s="10">
        <f>IF(每日收货出货登记!W51&gt;0,每日收货出货登记!W51,"")</f>
        <v/>
      </c>
      <c r="H51" s="10">
        <f>IF(每日收货出货登记!W51&gt;0,每日收货出货登记!R51,"")</f>
        <v/>
      </c>
      <c r="I51" s="9">
        <f>IF(每日收货出货登记!W51&gt;0,每日收货出货登记!S51,"")</f>
        <v/>
      </c>
      <c r="J51" s="9">
        <f>IF(每日收货出货登记!W51&gt;0,每日收货出货登记!AB51,"")</f>
        <v/>
      </c>
    </row>
    <row r="52" ht="22" customHeight="1">
      <c r="A52" s="9">
        <f>IF(每日收货出货登记!W52&gt;0,每日收货出货登记!A52,"")</f>
        <v/>
      </c>
      <c r="B52" s="10">
        <f>IF(每日收货出货登记!W52&gt;0,每日收货出货登记!D52,"")</f>
        <v/>
      </c>
      <c r="C52" s="10">
        <f>IF(每日收货出货登记!W52&gt;0,每日收货出货登记!G52,"")</f>
        <v/>
      </c>
      <c r="D52" s="10">
        <f>IF(每日收货出货登记!W52&gt;0,每日收货出货登记!E52,"")</f>
        <v/>
      </c>
      <c r="E52" s="10">
        <f>IF(每日收货出货登记!W52&gt;0,每日收货出货登记!Q52,"")</f>
        <v/>
      </c>
      <c r="F52" s="10">
        <f>IF(每日收货出货登记!W52&gt;0,每日收货出货登记!V52,"")</f>
        <v/>
      </c>
      <c r="G52" s="10">
        <f>IF(每日收货出货登记!W52&gt;0,每日收货出货登记!W52,"")</f>
        <v/>
      </c>
      <c r="H52" s="10">
        <f>IF(每日收货出货登记!W52&gt;0,每日收货出货登记!R52,"")</f>
        <v/>
      </c>
      <c r="I52" s="9">
        <f>IF(每日收货出货登记!W52&gt;0,每日收货出货登记!S52,"")</f>
        <v/>
      </c>
      <c r="J52" s="9">
        <f>IF(每日收货出货登记!W52&gt;0,每日收货出货登记!AB52,"")</f>
        <v/>
      </c>
    </row>
    <row r="53" ht="22" customHeight="1">
      <c r="A53" s="9">
        <f>IF(每日收货出货登记!W53&gt;0,每日收货出货登记!A53,"")</f>
        <v/>
      </c>
      <c r="B53" s="10">
        <f>IF(每日收货出货登记!W53&gt;0,每日收货出货登记!D53,"")</f>
        <v/>
      </c>
      <c r="C53" s="10">
        <f>IF(每日收货出货登记!W53&gt;0,每日收货出货登记!G53,"")</f>
        <v/>
      </c>
      <c r="D53" s="10">
        <f>IF(每日收货出货登记!W53&gt;0,每日收货出货登记!E53,"")</f>
        <v/>
      </c>
      <c r="E53" s="10">
        <f>IF(每日收货出货登记!W53&gt;0,每日收货出货登记!Q53,"")</f>
        <v/>
      </c>
      <c r="F53" s="10">
        <f>IF(每日收货出货登记!W53&gt;0,每日收货出货登记!V53,"")</f>
        <v/>
      </c>
      <c r="G53" s="10">
        <f>IF(每日收货出货登记!W53&gt;0,每日收货出货登记!W53,"")</f>
        <v/>
      </c>
      <c r="H53" s="10">
        <f>IF(每日收货出货登记!W53&gt;0,每日收货出货登记!R53,"")</f>
        <v/>
      </c>
      <c r="I53" s="9">
        <f>IF(每日收货出货登记!W53&gt;0,每日收货出货登记!S53,"")</f>
        <v/>
      </c>
      <c r="J53" s="9">
        <f>IF(每日收货出货登记!W53&gt;0,每日收货出货登记!AB53,"")</f>
        <v/>
      </c>
    </row>
    <row r="54" ht="22" customHeight="1">
      <c r="A54" s="9">
        <f>IF(每日收货出货登记!W54&gt;0,每日收货出货登记!A54,"")</f>
        <v/>
      </c>
      <c r="B54" s="10">
        <f>IF(每日收货出货登记!W54&gt;0,每日收货出货登记!D54,"")</f>
        <v/>
      </c>
      <c r="C54" s="10">
        <f>IF(每日收货出货登记!W54&gt;0,每日收货出货登记!G54,"")</f>
        <v/>
      </c>
      <c r="D54" s="10">
        <f>IF(每日收货出货登记!W54&gt;0,每日收货出货登记!E54,"")</f>
        <v/>
      </c>
      <c r="E54" s="10">
        <f>IF(每日收货出货登记!W54&gt;0,每日收货出货登记!Q54,"")</f>
        <v/>
      </c>
      <c r="F54" s="10">
        <f>IF(每日收货出货登记!W54&gt;0,每日收货出货登记!V54,"")</f>
        <v/>
      </c>
      <c r="G54" s="10">
        <f>IF(每日收货出货登记!W54&gt;0,每日收货出货登记!W54,"")</f>
        <v/>
      </c>
      <c r="H54" s="10">
        <f>IF(每日收货出货登记!W54&gt;0,每日收货出货登记!R54,"")</f>
        <v/>
      </c>
      <c r="I54" s="9">
        <f>IF(每日收货出货登记!W54&gt;0,每日收货出货登记!S54,"")</f>
        <v/>
      </c>
      <c r="J54" s="9">
        <f>IF(每日收货出货登记!W54&gt;0,每日收货出货登记!AB54,"")</f>
        <v/>
      </c>
    </row>
    <row r="55" ht="22" customHeight="1">
      <c r="A55" s="9">
        <f>IF(每日收货出货登记!W55&gt;0,每日收货出货登记!A55,"")</f>
        <v/>
      </c>
      <c r="B55" s="10">
        <f>IF(每日收货出货登记!W55&gt;0,每日收货出货登记!D55,"")</f>
        <v/>
      </c>
      <c r="C55" s="10">
        <f>IF(每日收货出货登记!W55&gt;0,每日收货出货登记!G55,"")</f>
        <v/>
      </c>
      <c r="D55" s="10">
        <f>IF(每日收货出货登记!W55&gt;0,每日收货出货登记!E55,"")</f>
        <v/>
      </c>
      <c r="E55" s="10">
        <f>IF(每日收货出货登记!W55&gt;0,每日收货出货登记!Q55,"")</f>
        <v/>
      </c>
      <c r="F55" s="10">
        <f>IF(每日收货出货登记!W55&gt;0,每日收货出货登记!V55,"")</f>
        <v/>
      </c>
      <c r="G55" s="10">
        <f>IF(每日收货出货登记!W55&gt;0,每日收货出货登记!W55,"")</f>
        <v/>
      </c>
      <c r="H55" s="10">
        <f>IF(每日收货出货登记!W55&gt;0,每日收货出货登记!R55,"")</f>
        <v/>
      </c>
      <c r="I55" s="9">
        <f>IF(每日收货出货登记!W55&gt;0,每日收货出货登记!S55,"")</f>
        <v/>
      </c>
      <c r="J55" s="9">
        <f>IF(每日收货出货登记!W55&gt;0,每日收货出货登记!AB55,"")</f>
        <v/>
      </c>
    </row>
    <row r="56" ht="22" customHeight="1">
      <c r="A56" s="9">
        <f>IF(每日收货出货登记!W56&gt;0,每日收货出货登记!A56,"")</f>
        <v/>
      </c>
      <c r="B56" s="10">
        <f>IF(每日收货出货登记!W56&gt;0,每日收货出货登记!D56,"")</f>
        <v/>
      </c>
      <c r="C56" s="10">
        <f>IF(每日收货出货登记!W56&gt;0,每日收货出货登记!G56,"")</f>
        <v/>
      </c>
      <c r="D56" s="10">
        <f>IF(每日收货出货登记!W56&gt;0,每日收货出货登记!E56,"")</f>
        <v/>
      </c>
      <c r="E56" s="10">
        <f>IF(每日收货出货登记!W56&gt;0,每日收货出货登记!Q56,"")</f>
        <v/>
      </c>
      <c r="F56" s="10">
        <f>IF(每日收货出货登记!W56&gt;0,每日收货出货登记!V56,"")</f>
        <v/>
      </c>
      <c r="G56" s="10">
        <f>IF(每日收货出货登记!W56&gt;0,每日收货出货登记!W56,"")</f>
        <v/>
      </c>
      <c r="H56" s="10">
        <f>IF(每日收货出货登记!W56&gt;0,每日收货出货登记!R56,"")</f>
        <v/>
      </c>
      <c r="I56" s="9">
        <f>IF(每日收货出货登记!W56&gt;0,每日收货出货登记!S56,"")</f>
        <v/>
      </c>
      <c r="J56" s="9">
        <f>IF(每日收货出货登记!W56&gt;0,每日收货出货登记!AB56,"")</f>
        <v/>
      </c>
    </row>
    <row r="57" ht="22" customHeight="1">
      <c r="A57" s="9">
        <f>IF(每日收货出货登记!W57&gt;0,每日收货出货登记!A57,"")</f>
        <v/>
      </c>
      <c r="B57" s="10">
        <f>IF(每日收货出货登记!W57&gt;0,每日收货出货登记!D57,"")</f>
        <v/>
      </c>
      <c r="C57" s="10">
        <f>IF(每日收货出货登记!W57&gt;0,每日收货出货登记!G57,"")</f>
        <v/>
      </c>
      <c r="D57" s="10">
        <f>IF(每日收货出货登记!W57&gt;0,每日收货出货登记!E57,"")</f>
        <v/>
      </c>
      <c r="E57" s="10">
        <f>IF(每日收货出货登记!W57&gt;0,每日收货出货登记!Q57,"")</f>
        <v/>
      </c>
      <c r="F57" s="10">
        <f>IF(每日收货出货登记!W57&gt;0,每日收货出货登记!V57,"")</f>
        <v/>
      </c>
      <c r="G57" s="10">
        <f>IF(每日收货出货登记!W57&gt;0,每日收货出货登记!W57,"")</f>
        <v/>
      </c>
      <c r="H57" s="10">
        <f>IF(每日收货出货登记!W57&gt;0,每日收货出货登记!R57,"")</f>
        <v/>
      </c>
      <c r="I57" s="9">
        <f>IF(每日收货出货登记!W57&gt;0,每日收货出货登记!S57,"")</f>
        <v/>
      </c>
      <c r="J57" s="9">
        <f>IF(每日收货出货登记!W57&gt;0,每日收货出货登记!AB57,"")</f>
        <v/>
      </c>
    </row>
    <row r="58" ht="22" customHeight="1">
      <c r="A58" s="9">
        <f>IF(每日收货出货登记!W58&gt;0,每日收货出货登记!A58,"")</f>
        <v/>
      </c>
      <c r="B58" s="10">
        <f>IF(每日收货出货登记!W58&gt;0,每日收货出货登记!D58,"")</f>
        <v/>
      </c>
      <c r="C58" s="10">
        <f>IF(每日收货出货登记!W58&gt;0,每日收货出货登记!G58,"")</f>
        <v/>
      </c>
      <c r="D58" s="10">
        <f>IF(每日收货出货登记!W58&gt;0,每日收货出货登记!E58,"")</f>
        <v/>
      </c>
      <c r="E58" s="10">
        <f>IF(每日收货出货登记!W58&gt;0,每日收货出货登记!Q58,"")</f>
        <v/>
      </c>
      <c r="F58" s="10">
        <f>IF(每日收货出货登记!W58&gt;0,每日收货出货登记!V58,"")</f>
        <v/>
      </c>
      <c r="G58" s="10">
        <f>IF(每日收货出货登记!W58&gt;0,每日收货出货登记!W58,"")</f>
        <v/>
      </c>
      <c r="H58" s="10">
        <f>IF(每日收货出货登记!W58&gt;0,每日收货出货登记!R58,"")</f>
        <v/>
      </c>
      <c r="I58" s="9">
        <f>IF(每日收货出货登记!W58&gt;0,每日收货出货登记!S58,"")</f>
        <v/>
      </c>
      <c r="J58" s="9">
        <f>IF(每日收货出货登记!W58&gt;0,每日收货出货登记!AB58,"")</f>
        <v/>
      </c>
    </row>
    <row r="59" ht="22" customHeight="1">
      <c r="A59" s="9">
        <f>IF(每日收货出货登记!W59&gt;0,每日收货出货登记!A59,"")</f>
        <v/>
      </c>
      <c r="B59" s="10">
        <f>IF(每日收货出货登记!W59&gt;0,每日收货出货登记!D59,"")</f>
        <v/>
      </c>
      <c r="C59" s="10">
        <f>IF(每日收货出货登记!W59&gt;0,每日收货出货登记!G59,"")</f>
        <v/>
      </c>
      <c r="D59" s="10">
        <f>IF(每日收货出货登记!W59&gt;0,每日收货出货登记!E59,"")</f>
        <v/>
      </c>
      <c r="E59" s="10">
        <f>IF(每日收货出货登记!W59&gt;0,每日收货出货登记!Q59,"")</f>
        <v/>
      </c>
      <c r="F59" s="10">
        <f>IF(每日收货出货登记!W59&gt;0,每日收货出货登记!V59,"")</f>
        <v/>
      </c>
      <c r="G59" s="10">
        <f>IF(每日收货出货登记!W59&gt;0,每日收货出货登记!W59,"")</f>
        <v/>
      </c>
      <c r="H59" s="10">
        <f>IF(每日收货出货登记!W59&gt;0,每日收货出货登记!R59,"")</f>
        <v/>
      </c>
      <c r="I59" s="9">
        <f>IF(每日收货出货登记!W59&gt;0,每日收货出货登记!S59,"")</f>
        <v/>
      </c>
      <c r="J59" s="9">
        <f>IF(每日收货出货登记!W59&gt;0,每日收货出货登记!AB59,"")</f>
        <v/>
      </c>
    </row>
    <row r="60" ht="22" customHeight="1">
      <c r="A60" s="9">
        <f>IF(每日收货出货登记!W60&gt;0,每日收货出货登记!A60,"")</f>
        <v/>
      </c>
      <c r="B60" s="10">
        <f>IF(每日收货出货登记!W60&gt;0,每日收货出货登记!D60,"")</f>
        <v/>
      </c>
      <c r="C60" s="10">
        <f>IF(每日收货出货登记!W60&gt;0,每日收货出货登记!G60,"")</f>
        <v/>
      </c>
      <c r="D60" s="10">
        <f>IF(每日收货出货登记!W60&gt;0,每日收货出货登记!E60,"")</f>
        <v/>
      </c>
      <c r="E60" s="10">
        <f>IF(每日收货出货登记!W60&gt;0,每日收货出货登记!Q60,"")</f>
        <v/>
      </c>
      <c r="F60" s="10">
        <f>IF(每日收货出货登记!W60&gt;0,每日收货出货登记!V60,"")</f>
        <v/>
      </c>
      <c r="G60" s="10">
        <f>IF(每日收货出货登记!W60&gt;0,每日收货出货登记!W60,"")</f>
        <v/>
      </c>
      <c r="H60" s="10">
        <f>IF(每日收货出货登记!W60&gt;0,每日收货出货登记!R60,"")</f>
        <v/>
      </c>
      <c r="I60" s="9">
        <f>IF(每日收货出货登记!W60&gt;0,每日收货出货登记!S60,"")</f>
        <v/>
      </c>
      <c r="J60" s="9">
        <f>IF(每日收货出货登记!W60&gt;0,每日收货出货登记!AB60,"")</f>
        <v/>
      </c>
    </row>
    <row r="61" ht="22" customHeight="1">
      <c r="A61" s="9">
        <f>IF(每日收货出货登记!W61&gt;0,每日收货出货登记!A61,"")</f>
        <v/>
      </c>
      <c r="B61" s="10">
        <f>IF(每日收货出货登记!W61&gt;0,每日收货出货登记!D61,"")</f>
        <v/>
      </c>
      <c r="C61" s="10">
        <f>IF(每日收货出货登记!W61&gt;0,每日收货出货登记!G61,"")</f>
        <v/>
      </c>
      <c r="D61" s="10">
        <f>IF(每日收货出货登记!W61&gt;0,每日收货出货登记!E61,"")</f>
        <v/>
      </c>
      <c r="E61" s="10">
        <f>IF(每日收货出货登记!W61&gt;0,每日收货出货登记!Q61,"")</f>
        <v/>
      </c>
      <c r="F61" s="10">
        <f>IF(每日收货出货登记!W61&gt;0,每日收货出货登记!V61,"")</f>
        <v/>
      </c>
      <c r="G61" s="10">
        <f>IF(每日收货出货登记!W61&gt;0,每日收货出货登记!W61,"")</f>
        <v/>
      </c>
      <c r="H61" s="10">
        <f>IF(每日收货出货登记!W61&gt;0,每日收货出货登记!R61,"")</f>
        <v/>
      </c>
      <c r="I61" s="9">
        <f>IF(每日收货出货登记!W61&gt;0,每日收货出货登记!S61,"")</f>
        <v/>
      </c>
      <c r="J61" s="9">
        <f>IF(每日收货出货登记!W61&gt;0,每日收货出货登记!AB61,"")</f>
        <v/>
      </c>
    </row>
    <row r="62" ht="22" customHeight="1">
      <c r="A62" s="9">
        <f>IF(每日收货出货登记!W62&gt;0,每日收货出货登记!A62,"")</f>
        <v/>
      </c>
      <c r="B62" s="10">
        <f>IF(每日收货出货登记!W62&gt;0,每日收货出货登记!D62,"")</f>
        <v/>
      </c>
      <c r="C62" s="10">
        <f>IF(每日收货出货登记!W62&gt;0,每日收货出货登记!G62,"")</f>
        <v/>
      </c>
      <c r="D62" s="10">
        <f>IF(每日收货出货登记!W62&gt;0,每日收货出货登记!E62,"")</f>
        <v/>
      </c>
      <c r="E62" s="10">
        <f>IF(每日收货出货登记!W62&gt;0,每日收货出货登记!Q62,"")</f>
        <v/>
      </c>
      <c r="F62" s="10">
        <f>IF(每日收货出货登记!W62&gt;0,每日收货出货登记!V62,"")</f>
        <v/>
      </c>
      <c r="G62" s="10">
        <f>IF(每日收货出货登记!W62&gt;0,每日收货出货登记!W62,"")</f>
        <v/>
      </c>
      <c r="H62" s="10">
        <f>IF(每日收货出货登记!W62&gt;0,每日收货出货登记!R62,"")</f>
        <v/>
      </c>
      <c r="I62" s="9">
        <f>IF(每日收货出货登记!W62&gt;0,每日收货出货登记!S62,"")</f>
        <v/>
      </c>
      <c r="J62" s="9">
        <f>IF(每日收货出货登记!W62&gt;0,每日收货出货登记!AB62,"")</f>
        <v/>
      </c>
    </row>
    <row r="63" ht="22" customHeight="1">
      <c r="A63" s="9">
        <f>IF(每日收货出货登记!W63&gt;0,每日收货出货登记!A63,"")</f>
        <v/>
      </c>
      <c r="B63" s="10">
        <f>IF(每日收货出货登记!W63&gt;0,每日收货出货登记!D63,"")</f>
        <v/>
      </c>
      <c r="C63" s="10">
        <f>IF(每日收货出货登记!W63&gt;0,每日收货出货登记!G63,"")</f>
        <v/>
      </c>
      <c r="D63" s="10">
        <f>IF(每日收货出货登记!W63&gt;0,每日收货出货登记!E63,"")</f>
        <v/>
      </c>
      <c r="E63" s="10">
        <f>IF(每日收货出货登记!W63&gt;0,每日收货出货登记!Q63,"")</f>
        <v/>
      </c>
      <c r="F63" s="10">
        <f>IF(每日收货出货登记!W63&gt;0,每日收货出货登记!V63,"")</f>
        <v/>
      </c>
      <c r="G63" s="10">
        <f>IF(每日收货出货登记!W63&gt;0,每日收货出货登记!W63,"")</f>
        <v/>
      </c>
      <c r="H63" s="10">
        <f>IF(每日收货出货登记!W63&gt;0,每日收货出货登记!R63,"")</f>
        <v/>
      </c>
      <c r="I63" s="9">
        <f>IF(每日收货出货登记!W63&gt;0,每日收货出货登记!S63,"")</f>
        <v/>
      </c>
      <c r="J63" s="9">
        <f>IF(每日收货出货登记!W63&gt;0,每日收货出货登记!AB63,"")</f>
        <v/>
      </c>
    </row>
    <row r="64" ht="22" customHeight="1">
      <c r="A64" s="9">
        <f>IF(每日收货出货登记!W64&gt;0,每日收货出货登记!A64,"")</f>
        <v/>
      </c>
      <c r="B64" s="10">
        <f>IF(每日收货出货登记!W64&gt;0,每日收货出货登记!D64,"")</f>
        <v/>
      </c>
      <c r="C64" s="10">
        <f>IF(每日收货出货登记!W64&gt;0,每日收货出货登记!G64,"")</f>
        <v/>
      </c>
      <c r="D64" s="10">
        <f>IF(每日收货出货登记!W64&gt;0,每日收货出货登记!E64,"")</f>
        <v/>
      </c>
      <c r="E64" s="10">
        <f>IF(每日收货出货登记!W64&gt;0,每日收货出货登记!Q64,"")</f>
        <v/>
      </c>
      <c r="F64" s="10">
        <f>IF(每日收货出货登记!W64&gt;0,每日收货出货登记!V64,"")</f>
        <v/>
      </c>
      <c r="G64" s="10">
        <f>IF(每日收货出货登记!W64&gt;0,每日收货出货登记!W64,"")</f>
        <v/>
      </c>
      <c r="H64" s="10">
        <f>IF(每日收货出货登记!W64&gt;0,每日收货出货登记!R64,"")</f>
        <v/>
      </c>
      <c r="I64" s="9">
        <f>IF(每日收货出货登记!W64&gt;0,每日收货出货登记!S64,"")</f>
        <v/>
      </c>
      <c r="J64" s="9">
        <f>IF(每日收货出货登记!W64&gt;0,每日收货出货登记!AB64,"")</f>
        <v/>
      </c>
    </row>
    <row r="65" ht="22" customHeight="1">
      <c r="A65" s="9">
        <f>IF(每日收货出货登记!W65&gt;0,每日收货出货登记!A65,"")</f>
        <v/>
      </c>
      <c r="B65" s="10">
        <f>IF(每日收货出货登记!W65&gt;0,每日收货出货登记!D65,"")</f>
        <v/>
      </c>
      <c r="C65" s="10">
        <f>IF(每日收货出货登记!W65&gt;0,每日收货出货登记!G65,"")</f>
        <v/>
      </c>
      <c r="D65" s="10">
        <f>IF(每日收货出货登记!W65&gt;0,每日收货出货登记!E65,"")</f>
        <v/>
      </c>
      <c r="E65" s="10">
        <f>IF(每日收货出货登记!W65&gt;0,每日收货出货登记!Q65,"")</f>
        <v/>
      </c>
      <c r="F65" s="10">
        <f>IF(每日收货出货登记!W65&gt;0,每日收货出货登记!V65,"")</f>
        <v/>
      </c>
      <c r="G65" s="10">
        <f>IF(每日收货出货登记!W65&gt;0,每日收货出货登记!W65,"")</f>
        <v/>
      </c>
      <c r="H65" s="10">
        <f>IF(每日收货出货登记!W65&gt;0,每日收货出货登记!R65,"")</f>
        <v/>
      </c>
      <c r="I65" s="9">
        <f>IF(每日收货出货登记!W65&gt;0,每日收货出货登记!S65,"")</f>
        <v/>
      </c>
      <c r="J65" s="9">
        <f>IF(每日收货出货登记!W65&gt;0,每日收货出货登记!AB65,"")</f>
        <v/>
      </c>
    </row>
    <row r="66" ht="22" customHeight="1">
      <c r="A66" s="9">
        <f>IF(每日收货出货登记!W66&gt;0,每日收货出货登记!A66,"")</f>
        <v/>
      </c>
      <c r="B66" s="10">
        <f>IF(每日收货出货登记!W66&gt;0,每日收货出货登记!D66,"")</f>
        <v/>
      </c>
      <c r="C66" s="10">
        <f>IF(每日收货出货登记!W66&gt;0,每日收货出货登记!G66,"")</f>
        <v/>
      </c>
      <c r="D66" s="10">
        <f>IF(每日收货出货登记!W66&gt;0,每日收货出货登记!E66,"")</f>
        <v/>
      </c>
      <c r="E66" s="10">
        <f>IF(每日收货出货登记!W66&gt;0,每日收货出货登记!Q66,"")</f>
        <v/>
      </c>
      <c r="F66" s="10">
        <f>IF(每日收货出货登记!W66&gt;0,每日收货出货登记!V66,"")</f>
        <v/>
      </c>
      <c r="G66" s="10">
        <f>IF(每日收货出货登记!W66&gt;0,每日收货出货登记!W66,"")</f>
        <v/>
      </c>
      <c r="H66" s="10">
        <f>IF(每日收货出货登记!W66&gt;0,每日收货出货登记!R66,"")</f>
        <v/>
      </c>
      <c r="I66" s="9">
        <f>IF(每日收货出货登记!W66&gt;0,每日收货出货登记!S66,"")</f>
        <v/>
      </c>
      <c r="J66" s="9">
        <f>IF(每日收货出货登记!W66&gt;0,每日收货出货登记!AB66,"")</f>
        <v/>
      </c>
    </row>
    <row r="67" ht="22" customHeight="1">
      <c r="A67" s="9">
        <f>IF(每日收货出货登记!W67&gt;0,每日收货出货登记!A67,"")</f>
        <v/>
      </c>
      <c r="B67" s="10">
        <f>IF(每日收货出货登记!W67&gt;0,每日收货出货登记!D67,"")</f>
        <v/>
      </c>
      <c r="C67" s="10">
        <f>IF(每日收货出货登记!W67&gt;0,每日收货出货登记!G67,"")</f>
        <v/>
      </c>
      <c r="D67" s="10">
        <f>IF(每日收货出货登记!W67&gt;0,每日收货出货登记!E67,"")</f>
        <v/>
      </c>
      <c r="E67" s="10">
        <f>IF(每日收货出货登记!W67&gt;0,每日收货出货登记!Q67,"")</f>
        <v/>
      </c>
      <c r="F67" s="10">
        <f>IF(每日收货出货登记!W67&gt;0,每日收货出货登记!V67,"")</f>
        <v/>
      </c>
      <c r="G67" s="10">
        <f>IF(每日收货出货登记!W67&gt;0,每日收货出货登记!W67,"")</f>
        <v/>
      </c>
      <c r="H67" s="10">
        <f>IF(每日收货出货登记!W67&gt;0,每日收货出货登记!R67,"")</f>
        <v/>
      </c>
      <c r="I67" s="9">
        <f>IF(每日收货出货登记!W67&gt;0,每日收货出货登记!S67,"")</f>
        <v/>
      </c>
      <c r="J67" s="9">
        <f>IF(每日收货出货登记!W67&gt;0,每日收货出货登记!AB67,"")</f>
        <v/>
      </c>
    </row>
    <row r="68" ht="22" customHeight="1">
      <c r="A68" s="9">
        <f>IF(每日收货出货登记!W68&gt;0,每日收货出货登记!A68,"")</f>
        <v/>
      </c>
      <c r="B68" s="10">
        <f>IF(每日收货出货登记!W68&gt;0,每日收货出货登记!D68,"")</f>
        <v/>
      </c>
      <c r="C68" s="10">
        <f>IF(每日收货出货登记!W68&gt;0,每日收货出货登记!G68,"")</f>
        <v/>
      </c>
      <c r="D68" s="10">
        <f>IF(每日收货出货登记!W68&gt;0,每日收货出货登记!E68,"")</f>
        <v/>
      </c>
      <c r="E68" s="10">
        <f>IF(每日收货出货登记!W68&gt;0,每日收货出货登记!Q68,"")</f>
        <v/>
      </c>
      <c r="F68" s="10">
        <f>IF(每日收货出货登记!W68&gt;0,每日收货出货登记!V68,"")</f>
        <v/>
      </c>
      <c r="G68" s="10">
        <f>IF(每日收货出货登记!W68&gt;0,每日收货出货登记!W68,"")</f>
        <v/>
      </c>
      <c r="H68" s="10">
        <f>IF(每日收货出货登记!W68&gt;0,每日收货出货登记!R68,"")</f>
        <v/>
      </c>
      <c r="I68" s="9">
        <f>IF(每日收货出货登记!W68&gt;0,每日收货出货登记!S68,"")</f>
        <v/>
      </c>
      <c r="J68" s="9">
        <f>IF(每日收货出货登记!W68&gt;0,每日收货出货登记!AB68,"")</f>
        <v/>
      </c>
    </row>
    <row r="69" ht="22" customHeight="1">
      <c r="A69" s="9">
        <f>IF(每日收货出货登记!W69&gt;0,每日收货出货登记!A69,"")</f>
        <v/>
      </c>
      <c r="B69" s="10">
        <f>IF(每日收货出货登记!W69&gt;0,每日收货出货登记!D69,"")</f>
        <v/>
      </c>
      <c r="C69" s="10">
        <f>IF(每日收货出货登记!W69&gt;0,每日收货出货登记!G69,"")</f>
        <v/>
      </c>
      <c r="D69" s="10">
        <f>IF(每日收货出货登记!W69&gt;0,每日收货出货登记!E69,"")</f>
        <v/>
      </c>
      <c r="E69" s="10">
        <f>IF(每日收货出货登记!W69&gt;0,每日收货出货登记!Q69,"")</f>
        <v/>
      </c>
      <c r="F69" s="10">
        <f>IF(每日收货出货登记!W69&gt;0,每日收货出货登记!V69,"")</f>
        <v/>
      </c>
      <c r="G69" s="10">
        <f>IF(每日收货出货登记!W69&gt;0,每日收货出货登记!W69,"")</f>
        <v/>
      </c>
      <c r="H69" s="10">
        <f>IF(每日收货出货登记!W69&gt;0,每日收货出货登记!R69,"")</f>
        <v/>
      </c>
      <c r="I69" s="9">
        <f>IF(每日收货出货登记!W69&gt;0,每日收货出货登记!S69,"")</f>
        <v/>
      </c>
      <c r="J69" s="9">
        <f>IF(每日收货出货登记!W69&gt;0,每日收货出货登记!AB69,"")</f>
        <v/>
      </c>
    </row>
    <row r="70" ht="22" customHeight="1">
      <c r="A70" s="9">
        <f>IF(每日收货出货登记!W70&gt;0,每日收货出货登记!A70,"")</f>
        <v/>
      </c>
      <c r="B70" s="10">
        <f>IF(每日收货出货登记!W70&gt;0,每日收货出货登记!D70,"")</f>
        <v/>
      </c>
      <c r="C70" s="10">
        <f>IF(每日收货出货登记!W70&gt;0,每日收货出货登记!G70,"")</f>
        <v/>
      </c>
      <c r="D70" s="10">
        <f>IF(每日收货出货登记!W70&gt;0,每日收货出货登记!E70,"")</f>
        <v/>
      </c>
      <c r="E70" s="10">
        <f>IF(每日收货出货登记!W70&gt;0,每日收货出货登记!Q70,"")</f>
        <v/>
      </c>
      <c r="F70" s="10">
        <f>IF(每日收货出货登记!W70&gt;0,每日收货出货登记!V70,"")</f>
        <v/>
      </c>
      <c r="G70" s="10">
        <f>IF(每日收货出货登记!W70&gt;0,每日收货出货登记!W70,"")</f>
        <v/>
      </c>
      <c r="H70" s="10">
        <f>IF(每日收货出货登记!W70&gt;0,每日收货出货登记!R70,"")</f>
        <v/>
      </c>
      <c r="I70" s="9">
        <f>IF(每日收货出货登记!W70&gt;0,每日收货出货登记!S70,"")</f>
        <v/>
      </c>
      <c r="J70" s="9">
        <f>IF(每日收货出货登记!W70&gt;0,每日收货出货登记!AB70,"")</f>
        <v/>
      </c>
    </row>
    <row r="71" ht="22" customHeight="1">
      <c r="A71" s="9">
        <f>IF(每日收货出货登记!W71&gt;0,每日收货出货登记!A71,"")</f>
        <v/>
      </c>
      <c r="B71" s="10">
        <f>IF(每日收货出货登记!W71&gt;0,每日收货出货登记!D71,"")</f>
        <v/>
      </c>
      <c r="C71" s="10">
        <f>IF(每日收货出货登记!W71&gt;0,每日收货出货登记!G71,"")</f>
        <v/>
      </c>
      <c r="D71" s="10">
        <f>IF(每日收货出货登记!W71&gt;0,每日收货出货登记!E71,"")</f>
        <v/>
      </c>
      <c r="E71" s="10">
        <f>IF(每日收货出货登记!W71&gt;0,每日收货出货登记!Q71,"")</f>
        <v/>
      </c>
      <c r="F71" s="10">
        <f>IF(每日收货出货登记!W71&gt;0,每日收货出货登记!V71,"")</f>
        <v/>
      </c>
      <c r="G71" s="10">
        <f>IF(每日收货出货登记!W71&gt;0,每日收货出货登记!W71,"")</f>
        <v/>
      </c>
      <c r="H71" s="10">
        <f>IF(每日收货出货登记!W71&gt;0,每日收货出货登记!R71,"")</f>
        <v/>
      </c>
      <c r="I71" s="9">
        <f>IF(每日收货出货登记!W71&gt;0,每日收货出货登记!S71,"")</f>
        <v/>
      </c>
      <c r="J71" s="9">
        <f>IF(每日收货出货登记!W71&gt;0,每日收货出货登记!AB71,"")</f>
        <v/>
      </c>
    </row>
    <row r="72" ht="22" customHeight="1">
      <c r="A72" s="9">
        <f>IF(每日收货出货登记!W72&gt;0,每日收货出货登记!A72,"")</f>
        <v/>
      </c>
      <c r="B72" s="10">
        <f>IF(每日收货出货登记!W72&gt;0,每日收货出货登记!D72,"")</f>
        <v/>
      </c>
      <c r="C72" s="10">
        <f>IF(每日收货出货登记!W72&gt;0,每日收货出货登记!G72,"")</f>
        <v/>
      </c>
      <c r="D72" s="10">
        <f>IF(每日收货出货登记!W72&gt;0,每日收货出货登记!E72,"")</f>
        <v/>
      </c>
      <c r="E72" s="10">
        <f>IF(每日收货出货登记!W72&gt;0,每日收货出货登记!Q72,"")</f>
        <v/>
      </c>
      <c r="F72" s="10">
        <f>IF(每日收货出货登记!W72&gt;0,每日收货出货登记!V72,"")</f>
        <v/>
      </c>
      <c r="G72" s="10">
        <f>IF(每日收货出货登记!W72&gt;0,每日收货出货登记!W72,"")</f>
        <v/>
      </c>
      <c r="H72" s="10">
        <f>IF(每日收货出货登记!W72&gt;0,每日收货出货登记!R72,"")</f>
        <v/>
      </c>
      <c r="I72" s="9">
        <f>IF(每日收货出货登记!W72&gt;0,每日收货出货登记!S72,"")</f>
        <v/>
      </c>
      <c r="J72" s="9">
        <f>IF(每日收货出货登记!W72&gt;0,每日收货出货登记!AB72,"")</f>
        <v/>
      </c>
    </row>
    <row r="73" ht="22" customHeight="1">
      <c r="A73" s="9">
        <f>IF(每日收货出货登记!W73&gt;0,每日收货出货登记!A73,"")</f>
        <v/>
      </c>
      <c r="B73" s="10">
        <f>IF(每日收货出货登记!W73&gt;0,每日收货出货登记!D73,"")</f>
        <v/>
      </c>
      <c r="C73" s="10">
        <f>IF(每日收货出货登记!W73&gt;0,每日收货出货登记!G73,"")</f>
        <v/>
      </c>
      <c r="D73" s="10">
        <f>IF(每日收货出货登记!W73&gt;0,每日收货出货登记!E73,"")</f>
        <v/>
      </c>
      <c r="E73" s="10">
        <f>IF(每日收货出货登记!W73&gt;0,每日收货出货登记!Q73,"")</f>
        <v/>
      </c>
      <c r="F73" s="10">
        <f>IF(每日收货出货登记!W73&gt;0,每日收货出货登记!V73,"")</f>
        <v/>
      </c>
      <c r="G73" s="10">
        <f>IF(每日收货出货登记!W73&gt;0,每日收货出货登记!W73,"")</f>
        <v/>
      </c>
      <c r="H73" s="10">
        <f>IF(每日收货出货登记!W73&gt;0,每日收货出货登记!R73,"")</f>
        <v/>
      </c>
      <c r="I73" s="9">
        <f>IF(每日收货出货登记!W73&gt;0,每日收货出货登记!S73,"")</f>
        <v/>
      </c>
      <c r="J73" s="9">
        <f>IF(每日收货出货登记!W73&gt;0,每日收货出货登记!AB73,"")</f>
        <v/>
      </c>
    </row>
    <row r="74" ht="22" customHeight="1">
      <c r="A74" s="9">
        <f>IF(每日收货出货登记!W74&gt;0,每日收货出货登记!A74,"")</f>
        <v/>
      </c>
      <c r="B74" s="10">
        <f>IF(每日收货出货登记!W74&gt;0,每日收货出货登记!D74,"")</f>
        <v/>
      </c>
      <c r="C74" s="10">
        <f>IF(每日收货出货登记!W74&gt;0,每日收货出货登记!G74,"")</f>
        <v/>
      </c>
      <c r="D74" s="10">
        <f>IF(每日收货出货登记!W74&gt;0,每日收货出货登记!E74,"")</f>
        <v/>
      </c>
      <c r="E74" s="10">
        <f>IF(每日收货出货登记!W74&gt;0,每日收货出货登记!Q74,"")</f>
        <v/>
      </c>
      <c r="F74" s="10">
        <f>IF(每日收货出货登记!W74&gt;0,每日收货出货登记!V74,"")</f>
        <v/>
      </c>
      <c r="G74" s="10">
        <f>IF(每日收货出货登记!W74&gt;0,每日收货出货登记!W74,"")</f>
        <v/>
      </c>
      <c r="H74" s="10">
        <f>IF(每日收货出货登记!W74&gt;0,每日收货出货登记!R74,"")</f>
        <v/>
      </c>
      <c r="I74" s="9">
        <f>IF(每日收货出货登记!W74&gt;0,每日收货出货登记!S74,"")</f>
        <v/>
      </c>
      <c r="J74" s="9">
        <f>IF(每日收货出货登记!W74&gt;0,每日收货出货登记!AB74,"")</f>
        <v/>
      </c>
    </row>
    <row r="75" ht="22" customHeight="1">
      <c r="A75" s="9">
        <f>IF(每日收货出货登记!W75&gt;0,每日收货出货登记!A75,"")</f>
        <v/>
      </c>
      <c r="B75" s="10">
        <f>IF(每日收货出货登记!W75&gt;0,每日收货出货登记!D75,"")</f>
        <v/>
      </c>
      <c r="C75" s="10">
        <f>IF(每日收货出货登记!W75&gt;0,每日收货出货登记!G75,"")</f>
        <v/>
      </c>
      <c r="D75" s="10">
        <f>IF(每日收货出货登记!W75&gt;0,每日收货出货登记!E75,"")</f>
        <v/>
      </c>
      <c r="E75" s="10">
        <f>IF(每日收货出货登记!W75&gt;0,每日收货出货登记!Q75,"")</f>
        <v/>
      </c>
      <c r="F75" s="10">
        <f>IF(每日收货出货登记!W75&gt;0,每日收货出货登记!V75,"")</f>
        <v/>
      </c>
      <c r="G75" s="10">
        <f>IF(每日收货出货登记!W75&gt;0,每日收货出货登记!W75,"")</f>
        <v/>
      </c>
      <c r="H75" s="10">
        <f>IF(每日收货出货登记!W75&gt;0,每日收货出货登记!R75,"")</f>
        <v/>
      </c>
      <c r="I75" s="9">
        <f>IF(每日收货出货登记!W75&gt;0,每日收货出货登记!S75,"")</f>
        <v/>
      </c>
      <c r="J75" s="9">
        <f>IF(每日收货出货登记!W75&gt;0,每日收货出货登记!AB75,"")</f>
        <v/>
      </c>
    </row>
    <row r="76" ht="22" customHeight="1">
      <c r="A76" s="9">
        <f>IF(每日收货出货登记!W76&gt;0,每日收货出货登记!A76,"")</f>
        <v/>
      </c>
      <c r="B76" s="10">
        <f>IF(每日收货出货登记!W76&gt;0,每日收货出货登记!D76,"")</f>
        <v/>
      </c>
      <c r="C76" s="10">
        <f>IF(每日收货出货登记!W76&gt;0,每日收货出货登记!G76,"")</f>
        <v/>
      </c>
      <c r="D76" s="10">
        <f>IF(每日收货出货登记!W76&gt;0,每日收货出货登记!E76,"")</f>
        <v/>
      </c>
      <c r="E76" s="10">
        <f>IF(每日收货出货登记!W76&gt;0,每日收货出货登记!Q76,"")</f>
        <v/>
      </c>
      <c r="F76" s="10">
        <f>IF(每日收货出货登记!W76&gt;0,每日收货出货登记!V76,"")</f>
        <v/>
      </c>
      <c r="G76" s="10">
        <f>IF(每日收货出货登记!W76&gt;0,每日收货出货登记!W76,"")</f>
        <v/>
      </c>
      <c r="H76" s="10">
        <f>IF(每日收货出货登记!W76&gt;0,每日收货出货登记!R76,"")</f>
        <v/>
      </c>
      <c r="I76" s="9">
        <f>IF(每日收货出货登记!W76&gt;0,每日收货出货登记!S76,"")</f>
        <v/>
      </c>
      <c r="J76" s="9">
        <f>IF(每日收货出货登记!W76&gt;0,每日收货出货登记!AB76,"")</f>
        <v/>
      </c>
    </row>
    <row r="77" ht="22" customHeight="1">
      <c r="A77" s="9">
        <f>IF(每日收货出货登记!W77&gt;0,每日收货出货登记!A77,"")</f>
        <v/>
      </c>
      <c r="B77" s="10">
        <f>IF(每日收货出货登记!W77&gt;0,每日收货出货登记!D77,"")</f>
        <v/>
      </c>
      <c r="C77" s="10">
        <f>IF(每日收货出货登记!W77&gt;0,每日收货出货登记!G77,"")</f>
        <v/>
      </c>
      <c r="D77" s="10">
        <f>IF(每日收货出货登记!W77&gt;0,每日收货出货登记!E77,"")</f>
        <v/>
      </c>
      <c r="E77" s="10">
        <f>IF(每日收货出货登记!W77&gt;0,每日收货出货登记!Q77,"")</f>
        <v/>
      </c>
      <c r="F77" s="10">
        <f>IF(每日收货出货登记!W77&gt;0,每日收货出货登记!V77,"")</f>
        <v/>
      </c>
      <c r="G77" s="10">
        <f>IF(每日收货出货登记!W77&gt;0,每日收货出货登记!W77,"")</f>
        <v/>
      </c>
      <c r="H77" s="10">
        <f>IF(每日收货出货登记!W77&gt;0,每日收货出货登记!R77,"")</f>
        <v/>
      </c>
      <c r="I77" s="9">
        <f>IF(每日收货出货登记!W77&gt;0,每日收货出货登记!S77,"")</f>
        <v/>
      </c>
      <c r="J77" s="9">
        <f>IF(每日收货出货登记!W77&gt;0,每日收货出货登记!AB77,"")</f>
        <v/>
      </c>
    </row>
    <row r="78" ht="22" customHeight="1">
      <c r="A78" s="9">
        <f>IF(每日收货出货登记!W78&gt;0,每日收货出货登记!A78,"")</f>
        <v/>
      </c>
      <c r="B78" s="10">
        <f>IF(每日收货出货登记!W78&gt;0,每日收货出货登记!D78,"")</f>
        <v/>
      </c>
      <c r="C78" s="10">
        <f>IF(每日收货出货登记!W78&gt;0,每日收货出货登记!G78,"")</f>
        <v/>
      </c>
      <c r="D78" s="10">
        <f>IF(每日收货出货登记!W78&gt;0,每日收货出货登记!E78,"")</f>
        <v/>
      </c>
      <c r="E78" s="10">
        <f>IF(每日收货出货登记!W78&gt;0,每日收货出货登记!Q78,"")</f>
        <v/>
      </c>
      <c r="F78" s="10">
        <f>IF(每日收货出货登记!W78&gt;0,每日收货出货登记!V78,"")</f>
        <v/>
      </c>
      <c r="G78" s="10">
        <f>IF(每日收货出货登记!W78&gt;0,每日收货出货登记!W78,"")</f>
        <v/>
      </c>
      <c r="H78" s="10">
        <f>IF(每日收货出货登记!W78&gt;0,每日收货出货登记!R78,"")</f>
        <v/>
      </c>
      <c r="I78" s="9">
        <f>IF(每日收货出货登记!W78&gt;0,每日收货出货登记!S78,"")</f>
        <v/>
      </c>
      <c r="J78" s="9">
        <f>IF(每日收货出货登记!W78&gt;0,每日收货出货登记!AB78,"")</f>
        <v/>
      </c>
    </row>
    <row r="79" ht="22" customHeight="1">
      <c r="A79" s="9">
        <f>IF(每日收货出货登记!W79&gt;0,每日收货出货登记!A79,"")</f>
        <v/>
      </c>
      <c r="B79" s="10">
        <f>IF(每日收货出货登记!W79&gt;0,每日收货出货登记!D79,"")</f>
        <v/>
      </c>
      <c r="C79" s="10">
        <f>IF(每日收货出货登记!W79&gt;0,每日收货出货登记!G79,"")</f>
        <v/>
      </c>
      <c r="D79" s="10">
        <f>IF(每日收货出货登记!W79&gt;0,每日收货出货登记!E79,"")</f>
        <v/>
      </c>
      <c r="E79" s="10">
        <f>IF(每日收货出货登记!W79&gt;0,每日收货出货登记!Q79,"")</f>
        <v/>
      </c>
      <c r="F79" s="10">
        <f>IF(每日收货出货登记!W79&gt;0,每日收货出货登记!V79,"")</f>
        <v/>
      </c>
      <c r="G79" s="10">
        <f>IF(每日收货出货登记!W79&gt;0,每日收货出货登记!W79,"")</f>
        <v/>
      </c>
      <c r="H79" s="10">
        <f>IF(每日收货出货登记!W79&gt;0,每日收货出货登记!R79,"")</f>
        <v/>
      </c>
      <c r="I79" s="9">
        <f>IF(每日收货出货登记!W79&gt;0,每日收货出货登记!S79,"")</f>
        <v/>
      </c>
      <c r="J79" s="9">
        <f>IF(每日收货出货登记!W79&gt;0,每日收货出货登记!AB79,"")</f>
        <v/>
      </c>
    </row>
    <row r="80" ht="22" customHeight="1">
      <c r="A80" s="9">
        <f>IF(每日收货出货登记!W80&gt;0,每日收货出货登记!A80,"")</f>
        <v/>
      </c>
      <c r="B80" s="10">
        <f>IF(每日收货出货登记!W80&gt;0,每日收货出货登记!D80,"")</f>
        <v/>
      </c>
      <c r="C80" s="10">
        <f>IF(每日收货出货登记!W80&gt;0,每日收货出货登记!G80,"")</f>
        <v/>
      </c>
      <c r="D80" s="10">
        <f>IF(每日收货出货登记!W80&gt;0,每日收货出货登记!E80,"")</f>
        <v/>
      </c>
      <c r="E80" s="10">
        <f>IF(每日收货出货登记!W80&gt;0,每日收货出货登记!Q80,"")</f>
        <v/>
      </c>
      <c r="F80" s="10">
        <f>IF(每日收货出货登记!W80&gt;0,每日收货出货登记!V80,"")</f>
        <v/>
      </c>
      <c r="G80" s="10">
        <f>IF(每日收货出货登记!W80&gt;0,每日收货出货登记!W80,"")</f>
        <v/>
      </c>
      <c r="H80" s="10">
        <f>IF(每日收货出货登记!W80&gt;0,每日收货出货登记!R80,"")</f>
        <v/>
      </c>
      <c r="I80" s="9">
        <f>IF(每日收货出货登记!W80&gt;0,每日收货出货登记!S80,"")</f>
        <v/>
      </c>
      <c r="J80" s="9">
        <f>IF(每日收货出货登记!W80&gt;0,每日收货出货登记!AB80,"")</f>
        <v/>
      </c>
    </row>
    <row r="81" ht="22" customHeight="1">
      <c r="A81" s="9">
        <f>IF(每日收货出货登记!W81&gt;0,每日收货出货登记!A81,"")</f>
        <v/>
      </c>
      <c r="B81" s="10">
        <f>IF(每日收货出货登记!W81&gt;0,每日收货出货登记!D81,"")</f>
        <v/>
      </c>
      <c r="C81" s="10">
        <f>IF(每日收货出货登记!W81&gt;0,每日收货出货登记!G81,"")</f>
        <v/>
      </c>
      <c r="D81" s="10">
        <f>IF(每日收货出货登记!W81&gt;0,每日收货出货登记!E81,"")</f>
        <v/>
      </c>
      <c r="E81" s="10">
        <f>IF(每日收货出货登记!W81&gt;0,每日收货出货登记!Q81,"")</f>
        <v/>
      </c>
      <c r="F81" s="10">
        <f>IF(每日收货出货登记!W81&gt;0,每日收货出货登记!V81,"")</f>
        <v/>
      </c>
      <c r="G81" s="10">
        <f>IF(每日收货出货登记!W81&gt;0,每日收货出货登记!W81,"")</f>
        <v/>
      </c>
      <c r="H81" s="10">
        <f>IF(每日收货出货登记!W81&gt;0,每日收货出货登记!R81,"")</f>
        <v/>
      </c>
      <c r="I81" s="9">
        <f>IF(每日收货出货登记!W81&gt;0,每日收货出货登记!S81,"")</f>
        <v/>
      </c>
      <c r="J81" s="9">
        <f>IF(每日收货出货登记!W81&gt;0,每日收货出货登记!AB81,"")</f>
        <v/>
      </c>
    </row>
    <row r="82" ht="22" customHeight="1">
      <c r="A82" s="9">
        <f>IF(每日收货出货登记!W82&gt;0,每日收货出货登记!A82,"")</f>
        <v/>
      </c>
      <c r="B82" s="10">
        <f>IF(每日收货出货登记!W82&gt;0,每日收货出货登记!D82,"")</f>
        <v/>
      </c>
      <c r="C82" s="10">
        <f>IF(每日收货出货登记!W82&gt;0,每日收货出货登记!G82,"")</f>
        <v/>
      </c>
      <c r="D82" s="10">
        <f>IF(每日收货出货登记!W82&gt;0,每日收货出货登记!E82,"")</f>
        <v/>
      </c>
      <c r="E82" s="10">
        <f>IF(每日收货出货登记!W82&gt;0,每日收货出货登记!Q82,"")</f>
        <v/>
      </c>
      <c r="F82" s="10">
        <f>IF(每日收货出货登记!W82&gt;0,每日收货出货登记!V82,"")</f>
        <v/>
      </c>
      <c r="G82" s="10">
        <f>IF(每日收货出货登记!W82&gt;0,每日收货出货登记!W82,"")</f>
        <v/>
      </c>
      <c r="H82" s="10">
        <f>IF(每日收货出货登记!W82&gt;0,每日收货出货登记!R82,"")</f>
        <v/>
      </c>
      <c r="I82" s="9">
        <f>IF(每日收货出货登记!W82&gt;0,每日收货出货登记!S82,"")</f>
        <v/>
      </c>
      <c r="J82" s="9">
        <f>IF(每日收货出货登记!W82&gt;0,每日收货出货登记!AB82,"")</f>
        <v/>
      </c>
    </row>
    <row r="83" ht="22" customHeight="1">
      <c r="A83" s="9">
        <f>IF(每日收货出货登记!W83&gt;0,每日收货出货登记!A83,"")</f>
        <v/>
      </c>
      <c r="B83" s="10">
        <f>IF(每日收货出货登记!W83&gt;0,每日收货出货登记!D83,"")</f>
        <v/>
      </c>
      <c r="C83" s="10">
        <f>IF(每日收货出货登记!W83&gt;0,每日收货出货登记!G83,"")</f>
        <v/>
      </c>
      <c r="D83" s="10">
        <f>IF(每日收货出货登记!W83&gt;0,每日收货出货登记!E83,"")</f>
        <v/>
      </c>
      <c r="E83" s="10">
        <f>IF(每日收货出货登记!W83&gt;0,每日收货出货登记!Q83,"")</f>
        <v/>
      </c>
      <c r="F83" s="10">
        <f>IF(每日收货出货登记!W83&gt;0,每日收货出货登记!V83,"")</f>
        <v/>
      </c>
      <c r="G83" s="10">
        <f>IF(每日收货出货登记!W83&gt;0,每日收货出货登记!W83,"")</f>
        <v/>
      </c>
      <c r="H83" s="10">
        <f>IF(每日收货出货登记!W83&gt;0,每日收货出货登记!R83,"")</f>
        <v/>
      </c>
      <c r="I83" s="9">
        <f>IF(每日收货出货登记!W83&gt;0,每日收货出货登记!S83,"")</f>
        <v/>
      </c>
      <c r="J83" s="9">
        <f>IF(每日收货出货登记!W83&gt;0,每日收货出货登记!AB83,"")</f>
        <v/>
      </c>
    </row>
    <row r="84" ht="22" customHeight="1">
      <c r="A84" s="9">
        <f>IF(每日收货出货登记!W84&gt;0,每日收货出货登记!A84,"")</f>
        <v/>
      </c>
      <c r="B84" s="10">
        <f>IF(每日收货出货登记!W84&gt;0,每日收货出货登记!D84,"")</f>
        <v/>
      </c>
      <c r="C84" s="10">
        <f>IF(每日收货出货登记!W84&gt;0,每日收货出货登记!G84,"")</f>
        <v/>
      </c>
      <c r="D84" s="10">
        <f>IF(每日收货出货登记!W84&gt;0,每日收货出货登记!E84,"")</f>
        <v/>
      </c>
      <c r="E84" s="10">
        <f>IF(每日收货出货登记!W84&gt;0,每日收货出货登记!Q84,"")</f>
        <v/>
      </c>
      <c r="F84" s="10">
        <f>IF(每日收货出货登记!W84&gt;0,每日收货出货登记!V84,"")</f>
        <v/>
      </c>
      <c r="G84" s="10">
        <f>IF(每日收货出货登记!W84&gt;0,每日收货出货登记!W84,"")</f>
        <v/>
      </c>
      <c r="H84" s="10">
        <f>IF(每日收货出货登记!W84&gt;0,每日收货出货登记!R84,"")</f>
        <v/>
      </c>
      <c r="I84" s="9">
        <f>IF(每日收货出货登记!W84&gt;0,每日收货出货登记!S84,"")</f>
        <v/>
      </c>
      <c r="J84" s="9">
        <f>IF(每日收货出货登记!W84&gt;0,每日收货出货登记!AB84,"")</f>
        <v/>
      </c>
    </row>
    <row r="85" ht="22" customHeight="1">
      <c r="A85" s="9">
        <f>IF(每日收货出货登记!W85&gt;0,每日收货出货登记!A85,"")</f>
        <v/>
      </c>
      <c r="B85" s="10">
        <f>IF(每日收货出货登记!W85&gt;0,每日收货出货登记!D85,"")</f>
        <v/>
      </c>
      <c r="C85" s="10">
        <f>IF(每日收货出货登记!W85&gt;0,每日收货出货登记!G85,"")</f>
        <v/>
      </c>
      <c r="D85" s="10">
        <f>IF(每日收货出货登记!W85&gt;0,每日收货出货登记!E85,"")</f>
        <v/>
      </c>
      <c r="E85" s="10">
        <f>IF(每日收货出货登记!W85&gt;0,每日收货出货登记!Q85,"")</f>
        <v/>
      </c>
      <c r="F85" s="10">
        <f>IF(每日收货出货登记!W85&gt;0,每日收货出货登记!V85,"")</f>
        <v/>
      </c>
      <c r="G85" s="10">
        <f>IF(每日收货出货登记!W85&gt;0,每日收货出货登记!W85,"")</f>
        <v/>
      </c>
      <c r="H85" s="10">
        <f>IF(每日收货出货登记!W85&gt;0,每日收货出货登记!R85,"")</f>
        <v/>
      </c>
      <c r="I85" s="9">
        <f>IF(每日收货出货登记!W85&gt;0,每日收货出货登记!S85,"")</f>
        <v/>
      </c>
      <c r="J85" s="9">
        <f>IF(每日收货出货登记!W85&gt;0,每日收货出货登记!AB85,"")</f>
        <v/>
      </c>
    </row>
    <row r="86" ht="22" customHeight="1">
      <c r="A86" s="9">
        <f>IF(每日收货出货登记!W86&gt;0,每日收货出货登记!A86,"")</f>
        <v/>
      </c>
      <c r="B86" s="10">
        <f>IF(每日收货出货登记!W86&gt;0,每日收货出货登记!D86,"")</f>
        <v/>
      </c>
      <c r="C86" s="10">
        <f>IF(每日收货出货登记!W86&gt;0,每日收货出货登记!G86,"")</f>
        <v/>
      </c>
      <c r="D86" s="10">
        <f>IF(每日收货出货登记!W86&gt;0,每日收货出货登记!E86,"")</f>
        <v/>
      </c>
      <c r="E86" s="10">
        <f>IF(每日收货出货登记!W86&gt;0,每日收货出货登记!Q86,"")</f>
        <v/>
      </c>
      <c r="F86" s="10">
        <f>IF(每日收货出货登记!W86&gt;0,每日收货出货登记!V86,"")</f>
        <v/>
      </c>
      <c r="G86" s="10">
        <f>IF(每日收货出货登记!W86&gt;0,每日收货出货登记!W86,"")</f>
        <v/>
      </c>
      <c r="H86" s="10">
        <f>IF(每日收货出货登记!W86&gt;0,每日收货出货登记!R86,"")</f>
        <v/>
      </c>
      <c r="I86" s="9">
        <f>IF(每日收货出货登记!W86&gt;0,每日收货出货登记!S86,"")</f>
        <v/>
      </c>
      <c r="J86" s="9">
        <f>IF(每日收货出货登记!W86&gt;0,每日收货出货登记!AB86,"")</f>
        <v/>
      </c>
    </row>
    <row r="87" ht="22" customHeight="1">
      <c r="A87" s="9">
        <f>IF(每日收货出货登记!W87&gt;0,每日收货出货登记!A87,"")</f>
        <v/>
      </c>
      <c r="B87" s="10">
        <f>IF(每日收货出货登记!W87&gt;0,每日收货出货登记!D87,"")</f>
        <v/>
      </c>
      <c r="C87" s="10">
        <f>IF(每日收货出货登记!W87&gt;0,每日收货出货登记!G87,"")</f>
        <v/>
      </c>
      <c r="D87" s="10">
        <f>IF(每日收货出货登记!W87&gt;0,每日收货出货登记!E87,"")</f>
        <v/>
      </c>
      <c r="E87" s="10">
        <f>IF(每日收货出货登记!W87&gt;0,每日收货出货登记!Q87,"")</f>
        <v/>
      </c>
      <c r="F87" s="10">
        <f>IF(每日收货出货登记!W87&gt;0,每日收货出货登记!V87,"")</f>
        <v/>
      </c>
      <c r="G87" s="10">
        <f>IF(每日收货出货登记!W87&gt;0,每日收货出货登记!W87,"")</f>
        <v/>
      </c>
      <c r="H87" s="10">
        <f>IF(每日收货出货登记!W87&gt;0,每日收货出货登记!R87,"")</f>
        <v/>
      </c>
      <c r="I87" s="9">
        <f>IF(每日收货出货登记!W87&gt;0,每日收货出货登记!S87,"")</f>
        <v/>
      </c>
      <c r="J87" s="9">
        <f>IF(每日收货出货登记!W87&gt;0,每日收货出货登记!AB87,"")</f>
        <v/>
      </c>
    </row>
    <row r="88" ht="22" customHeight="1">
      <c r="A88" s="9">
        <f>IF(每日收货出货登记!W88&gt;0,每日收货出货登记!A88,"")</f>
        <v/>
      </c>
      <c r="B88" s="10">
        <f>IF(每日收货出货登记!W88&gt;0,每日收货出货登记!D88,"")</f>
        <v/>
      </c>
      <c r="C88" s="10">
        <f>IF(每日收货出货登记!W88&gt;0,每日收货出货登记!G88,"")</f>
        <v/>
      </c>
      <c r="D88" s="10">
        <f>IF(每日收货出货登记!W88&gt;0,每日收货出货登记!E88,"")</f>
        <v/>
      </c>
      <c r="E88" s="10">
        <f>IF(每日收货出货登记!W88&gt;0,每日收货出货登记!Q88,"")</f>
        <v/>
      </c>
      <c r="F88" s="10">
        <f>IF(每日收货出货登记!W88&gt;0,每日收货出货登记!V88,"")</f>
        <v/>
      </c>
      <c r="G88" s="10">
        <f>IF(每日收货出货登记!W88&gt;0,每日收货出货登记!W88,"")</f>
        <v/>
      </c>
      <c r="H88" s="10">
        <f>IF(每日收货出货登记!W88&gt;0,每日收货出货登记!R88,"")</f>
        <v/>
      </c>
      <c r="I88" s="9">
        <f>IF(每日收货出货登记!W88&gt;0,每日收货出货登记!S88,"")</f>
        <v/>
      </c>
      <c r="J88" s="9">
        <f>IF(每日收货出货登记!W88&gt;0,每日收货出货登记!AB88,"")</f>
        <v/>
      </c>
    </row>
    <row r="89" ht="22" customHeight="1">
      <c r="A89" s="9">
        <f>IF(每日收货出货登记!W89&gt;0,每日收货出货登记!A89,"")</f>
        <v/>
      </c>
      <c r="B89" s="10">
        <f>IF(每日收货出货登记!W89&gt;0,每日收货出货登记!D89,"")</f>
        <v/>
      </c>
      <c r="C89" s="10">
        <f>IF(每日收货出货登记!W89&gt;0,每日收货出货登记!G89,"")</f>
        <v/>
      </c>
      <c r="D89" s="10">
        <f>IF(每日收货出货登记!W89&gt;0,每日收货出货登记!E89,"")</f>
        <v/>
      </c>
      <c r="E89" s="10">
        <f>IF(每日收货出货登记!W89&gt;0,每日收货出货登记!Q89,"")</f>
        <v/>
      </c>
      <c r="F89" s="10">
        <f>IF(每日收货出货登记!W89&gt;0,每日收货出货登记!V89,"")</f>
        <v/>
      </c>
      <c r="G89" s="10">
        <f>IF(每日收货出货登记!W89&gt;0,每日收货出货登记!W89,"")</f>
        <v/>
      </c>
      <c r="H89" s="10">
        <f>IF(每日收货出货登记!W89&gt;0,每日收货出货登记!R89,"")</f>
        <v/>
      </c>
      <c r="I89" s="9">
        <f>IF(每日收货出货登记!W89&gt;0,每日收货出货登记!S89,"")</f>
        <v/>
      </c>
      <c r="J89" s="9">
        <f>IF(每日收货出货登记!W89&gt;0,每日收货出货登记!AB89,"")</f>
        <v/>
      </c>
    </row>
    <row r="90" ht="22" customHeight="1">
      <c r="A90" s="9">
        <f>IF(每日收货出货登记!W90&gt;0,每日收货出货登记!A90,"")</f>
        <v/>
      </c>
      <c r="B90" s="10">
        <f>IF(每日收货出货登记!W90&gt;0,每日收货出货登记!D90,"")</f>
        <v/>
      </c>
      <c r="C90" s="10">
        <f>IF(每日收货出货登记!W90&gt;0,每日收货出货登记!G90,"")</f>
        <v/>
      </c>
      <c r="D90" s="10">
        <f>IF(每日收货出货登记!W90&gt;0,每日收货出货登记!E90,"")</f>
        <v/>
      </c>
      <c r="E90" s="10">
        <f>IF(每日收货出货登记!W90&gt;0,每日收货出货登记!Q90,"")</f>
        <v/>
      </c>
      <c r="F90" s="10">
        <f>IF(每日收货出货登记!W90&gt;0,每日收货出货登记!V90,"")</f>
        <v/>
      </c>
      <c r="G90" s="10">
        <f>IF(每日收货出货登记!W90&gt;0,每日收货出货登记!W90,"")</f>
        <v/>
      </c>
      <c r="H90" s="10">
        <f>IF(每日收货出货登记!W90&gt;0,每日收货出货登记!R90,"")</f>
        <v/>
      </c>
      <c r="I90" s="9">
        <f>IF(每日收货出货登记!W90&gt;0,每日收货出货登记!S90,"")</f>
        <v/>
      </c>
      <c r="J90" s="9">
        <f>IF(每日收货出货登记!W90&gt;0,每日收货出货登记!AB90,"")</f>
        <v/>
      </c>
    </row>
    <row r="91" ht="22" customHeight="1">
      <c r="A91" s="9">
        <f>IF(每日收货出货登记!W91&gt;0,每日收货出货登记!A91,"")</f>
        <v/>
      </c>
      <c r="B91" s="10">
        <f>IF(每日收货出货登记!W91&gt;0,每日收货出货登记!D91,"")</f>
        <v/>
      </c>
      <c r="C91" s="10">
        <f>IF(每日收货出货登记!W91&gt;0,每日收货出货登记!G91,"")</f>
        <v/>
      </c>
      <c r="D91" s="10">
        <f>IF(每日收货出货登记!W91&gt;0,每日收货出货登记!E91,"")</f>
        <v/>
      </c>
      <c r="E91" s="10">
        <f>IF(每日收货出货登记!W91&gt;0,每日收货出货登记!Q91,"")</f>
        <v/>
      </c>
      <c r="F91" s="10">
        <f>IF(每日收货出货登记!W91&gt;0,每日收货出货登记!V91,"")</f>
        <v/>
      </c>
      <c r="G91" s="10">
        <f>IF(每日收货出货登记!W91&gt;0,每日收货出货登记!W91,"")</f>
        <v/>
      </c>
      <c r="H91" s="10">
        <f>IF(每日收货出货登记!W91&gt;0,每日收货出货登记!R91,"")</f>
        <v/>
      </c>
      <c r="I91" s="9">
        <f>IF(每日收货出货登记!W91&gt;0,每日收货出货登记!S91,"")</f>
        <v/>
      </c>
      <c r="J91" s="9">
        <f>IF(每日收货出货登记!W91&gt;0,每日收货出货登记!AB91,"")</f>
        <v/>
      </c>
    </row>
    <row r="92" ht="22" customHeight="1">
      <c r="A92" s="9">
        <f>IF(每日收货出货登记!W92&gt;0,每日收货出货登记!A92,"")</f>
        <v/>
      </c>
      <c r="B92" s="10">
        <f>IF(每日收货出货登记!W92&gt;0,每日收货出货登记!D92,"")</f>
        <v/>
      </c>
      <c r="C92" s="10">
        <f>IF(每日收货出货登记!W92&gt;0,每日收货出货登记!G92,"")</f>
        <v/>
      </c>
      <c r="D92" s="10">
        <f>IF(每日收货出货登记!W92&gt;0,每日收货出货登记!E92,"")</f>
        <v/>
      </c>
      <c r="E92" s="10">
        <f>IF(每日收货出货登记!W92&gt;0,每日收货出货登记!Q92,"")</f>
        <v/>
      </c>
      <c r="F92" s="10">
        <f>IF(每日收货出货登记!W92&gt;0,每日收货出货登记!V92,"")</f>
        <v/>
      </c>
      <c r="G92" s="10">
        <f>IF(每日收货出货登记!W92&gt;0,每日收货出货登记!W92,"")</f>
        <v/>
      </c>
      <c r="H92" s="10">
        <f>IF(每日收货出货登记!W92&gt;0,每日收货出货登记!R92,"")</f>
        <v/>
      </c>
      <c r="I92" s="9">
        <f>IF(每日收货出货登记!W92&gt;0,每日收货出货登记!S92,"")</f>
        <v/>
      </c>
      <c r="J92" s="9">
        <f>IF(每日收货出货登记!W92&gt;0,每日收货出货登记!AB92,"")</f>
        <v/>
      </c>
    </row>
    <row r="93" ht="22" customHeight="1">
      <c r="A93" s="9">
        <f>IF(每日收货出货登记!W93&gt;0,每日收货出货登记!A93,"")</f>
        <v/>
      </c>
      <c r="B93" s="10">
        <f>IF(每日收货出货登记!W93&gt;0,每日收货出货登记!D93,"")</f>
        <v/>
      </c>
      <c r="C93" s="10">
        <f>IF(每日收货出货登记!W93&gt;0,每日收货出货登记!G93,"")</f>
        <v/>
      </c>
      <c r="D93" s="10">
        <f>IF(每日收货出货登记!W93&gt;0,每日收货出货登记!E93,"")</f>
        <v/>
      </c>
      <c r="E93" s="10">
        <f>IF(每日收货出货登记!W93&gt;0,每日收货出货登记!Q93,"")</f>
        <v/>
      </c>
      <c r="F93" s="10">
        <f>IF(每日收货出货登记!W93&gt;0,每日收货出货登记!V93,"")</f>
        <v/>
      </c>
      <c r="G93" s="10">
        <f>IF(每日收货出货登记!W93&gt;0,每日收货出货登记!W93,"")</f>
        <v/>
      </c>
      <c r="H93" s="10">
        <f>IF(每日收货出货登记!W93&gt;0,每日收货出货登记!R93,"")</f>
        <v/>
      </c>
      <c r="I93" s="9">
        <f>IF(每日收货出货登记!W93&gt;0,每日收货出货登记!S93,"")</f>
        <v/>
      </c>
      <c r="J93" s="9">
        <f>IF(每日收货出货登记!W93&gt;0,每日收货出货登记!AB93,"")</f>
        <v/>
      </c>
    </row>
    <row r="94" ht="22" customHeight="1">
      <c r="A94" s="9">
        <f>IF(每日收货出货登记!W94&gt;0,每日收货出货登记!A94,"")</f>
        <v/>
      </c>
      <c r="B94" s="10">
        <f>IF(每日收货出货登记!W94&gt;0,每日收货出货登记!D94,"")</f>
        <v/>
      </c>
      <c r="C94" s="10">
        <f>IF(每日收货出货登记!W94&gt;0,每日收货出货登记!G94,"")</f>
        <v/>
      </c>
      <c r="D94" s="10">
        <f>IF(每日收货出货登记!W94&gt;0,每日收货出货登记!E94,"")</f>
        <v/>
      </c>
      <c r="E94" s="10">
        <f>IF(每日收货出货登记!W94&gt;0,每日收货出货登记!Q94,"")</f>
        <v/>
      </c>
      <c r="F94" s="10">
        <f>IF(每日收货出货登记!W94&gt;0,每日收货出货登记!V94,"")</f>
        <v/>
      </c>
      <c r="G94" s="10">
        <f>IF(每日收货出货登记!W94&gt;0,每日收货出货登记!W94,"")</f>
        <v/>
      </c>
      <c r="H94" s="10">
        <f>IF(每日收货出货登记!W94&gt;0,每日收货出货登记!R94,"")</f>
        <v/>
      </c>
      <c r="I94" s="9">
        <f>IF(每日收货出货登记!W94&gt;0,每日收货出货登记!S94,"")</f>
        <v/>
      </c>
      <c r="J94" s="9">
        <f>IF(每日收货出货登记!W94&gt;0,每日收货出货登记!AB94,"")</f>
        <v/>
      </c>
    </row>
    <row r="95" ht="22" customHeight="1">
      <c r="A95" s="9">
        <f>IF(每日收货出货登记!W95&gt;0,每日收货出货登记!A95,"")</f>
        <v/>
      </c>
      <c r="B95" s="10">
        <f>IF(每日收货出货登记!W95&gt;0,每日收货出货登记!D95,"")</f>
        <v/>
      </c>
      <c r="C95" s="10">
        <f>IF(每日收货出货登记!W95&gt;0,每日收货出货登记!G95,"")</f>
        <v/>
      </c>
      <c r="D95" s="10">
        <f>IF(每日收货出货登记!W95&gt;0,每日收货出货登记!E95,"")</f>
        <v/>
      </c>
      <c r="E95" s="10">
        <f>IF(每日收货出货登记!W95&gt;0,每日收货出货登记!Q95,"")</f>
        <v/>
      </c>
      <c r="F95" s="10">
        <f>IF(每日收货出货登记!W95&gt;0,每日收货出货登记!V95,"")</f>
        <v/>
      </c>
      <c r="G95" s="10">
        <f>IF(每日收货出货登记!W95&gt;0,每日收货出货登记!W95,"")</f>
        <v/>
      </c>
      <c r="H95" s="10">
        <f>IF(每日收货出货登记!W95&gt;0,每日收货出货登记!R95,"")</f>
        <v/>
      </c>
      <c r="I95" s="9">
        <f>IF(每日收货出货登记!W95&gt;0,每日收货出货登记!S95,"")</f>
        <v/>
      </c>
      <c r="J95" s="9">
        <f>IF(每日收货出货登记!W95&gt;0,每日收货出货登记!AB95,"")</f>
        <v/>
      </c>
    </row>
    <row r="96" ht="22" customHeight="1">
      <c r="A96" s="9">
        <f>IF(每日收货出货登记!W96&gt;0,每日收货出货登记!A96,"")</f>
        <v/>
      </c>
      <c r="B96" s="10">
        <f>IF(每日收货出货登记!W96&gt;0,每日收货出货登记!D96,"")</f>
        <v/>
      </c>
      <c r="C96" s="10">
        <f>IF(每日收货出货登记!W96&gt;0,每日收货出货登记!G96,"")</f>
        <v/>
      </c>
      <c r="D96" s="10">
        <f>IF(每日收货出货登记!W96&gt;0,每日收货出货登记!E96,"")</f>
        <v/>
      </c>
      <c r="E96" s="10">
        <f>IF(每日收货出货登记!W96&gt;0,每日收货出货登记!Q96,"")</f>
        <v/>
      </c>
      <c r="F96" s="10">
        <f>IF(每日收货出货登记!W96&gt;0,每日收货出货登记!V96,"")</f>
        <v/>
      </c>
      <c r="G96" s="10">
        <f>IF(每日收货出货登记!W96&gt;0,每日收货出货登记!W96,"")</f>
        <v/>
      </c>
      <c r="H96" s="10">
        <f>IF(每日收货出货登记!W96&gt;0,每日收货出货登记!R96,"")</f>
        <v/>
      </c>
      <c r="I96" s="9">
        <f>IF(每日收货出货登记!W96&gt;0,每日收货出货登记!S96,"")</f>
        <v/>
      </c>
      <c r="J96" s="9">
        <f>IF(每日收货出货登记!W96&gt;0,每日收货出货登记!AB96,"")</f>
        <v/>
      </c>
    </row>
    <row r="97" ht="22" customHeight="1">
      <c r="A97" s="9">
        <f>IF(每日收货出货登记!W97&gt;0,每日收货出货登记!A97,"")</f>
        <v/>
      </c>
      <c r="B97" s="10">
        <f>IF(每日收货出货登记!W97&gt;0,每日收货出货登记!D97,"")</f>
        <v/>
      </c>
      <c r="C97" s="10">
        <f>IF(每日收货出货登记!W97&gt;0,每日收货出货登记!G97,"")</f>
        <v/>
      </c>
      <c r="D97" s="10">
        <f>IF(每日收货出货登记!W97&gt;0,每日收货出货登记!E97,"")</f>
        <v/>
      </c>
      <c r="E97" s="10">
        <f>IF(每日收货出货登记!W97&gt;0,每日收货出货登记!Q97,"")</f>
        <v/>
      </c>
      <c r="F97" s="10">
        <f>IF(每日收货出货登记!W97&gt;0,每日收货出货登记!V97,"")</f>
        <v/>
      </c>
      <c r="G97" s="10">
        <f>IF(每日收货出货登记!W97&gt;0,每日收货出货登记!W97,"")</f>
        <v/>
      </c>
      <c r="H97" s="10">
        <f>IF(每日收货出货登记!W97&gt;0,每日收货出货登记!R97,"")</f>
        <v/>
      </c>
      <c r="I97" s="9">
        <f>IF(每日收货出货登记!W97&gt;0,每日收货出货登记!S97,"")</f>
        <v/>
      </c>
      <c r="J97" s="9">
        <f>IF(每日收货出货登记!W97&gt;0,每日收货出货登记!AB97,"")</f>
        <v/>
      </c>
    </row>
    <row r="98" ht="22" customHeight="1">
      <c r="A98" s="9">
        <f>IF(每日收货出货登记!W98&gt;0,每日收货出货登记!A98,"")</f>
        <v/>
      </c>
      <c r="B98" s="10">
        <f>IF(每日收货出货登记!W98&gt;0,每日收货出货登记!D98,"")</f>
        <v/>
      </c>
      <c r="C98" s="10">
        <f>IF(每日收货出货登记!W98&gt;0,每日收货出货登记!G98,"")</f>
        <v/>
      </c>
      <c r="D98" s="10">
        <f>IF(每日收货出货登记!W98&gt;0,每日收货出货登记!E98,"")</f>
        <v/>
      </c>
      <c r="E98" s="10">
        <f>IF(每日收货出货登记!W98&gt;0,每日收货出货登记!Q98,"")</f>
        <v/>
      </c>
      <c r="F98" s="10">
        <f>IF(每日收货出货登记!W98&gt;0,每日收货出货登记!V98,"")</f>
        <v/>
      </c>
      <c r="G98" s="10">
        <f>IF(每日收货出货登记!W98&gt;0,每日收货出货登记!W98,"")</f>
        <v/>
      </c>
      <c r="H98" s="10">
        <f>IF(每日收货出货登记!W98&gt;0,每日收货出货登记!R98,"")</f>
        <v/>
      </c>
      <c r="I98" s="9">
        <f>IF(每日收货出货登记!W98&gt;0,每日收货出货登记!S98,"")</f>
        <v/>
      </c>
      <c r="J98" s="9">
        <f>IF(每日收货出货登记!W98&gt;0,每日收货出货登记!AB98,"")</f>
        <v/>
      </c>
    </row>
    <row r="99" ht="22" customHeight="1">
      <c r="A99" s="9">
        <f>IF(每日收货出货登记!W99&gt;0,每日收货出货登记!A99,"")</f>
        <v/>
      </c>
      <c r="B99" s="10">
        <f>IF(每日收货出货登记!W99&gt;0,每日收货出货登记!D99,"")</f>
        <v/>
      </c>
      <c r="C99" s="10">
        <f>IF(每日收货出货登记!W99&gt;0,每日收货出货登记!G99,"")</f>
        <v/>
      </c>
      <c r="D99" s="10">
        <f>IF(每日收货出货登记!W99&gt;0,每日收货出货登记!E99,"")</f>
        <v/>
      </c>
      <c r="E99" s="10">
        <f>IF(每日收货出货登记!W99&gt;0,每日收货出货登记!Q99,"")</f>
        <v/>
      </c>
      <c r="F99" s="10">
        <f>IF(每日收货出货登记!W99&gt;0,每日收货出货登记!V99,"")</f>
        <v/>
      </c>
      <c r="G99" s="10">
        <f>IF(每日收货出货登记!W99&gt;0,每日收货出货登记!W99,"")</f>
        <v/>
      </c>
      <c r="H99" s="10">
        <f>IF(每日收货出货登记!W99&gt;0,每日收货出货登记!R99,"")</f>
        <v/>
      </c>
      <c r="I99" s="9">
        <f>IF(每日收货出货登记!W99&gt;0,每日收货出货登记!S99,"")</f>
        <v/>
      </c>
      <c r="J99" s="9">
        <f>IF(每日收货出货登记!W99&gt;0,每日收货出货登记!AB99,"")</f>
        <v/>
      </c>
    </row>
    <row r="100" ht="22" customHeight="1">
      <c r="A100" s="9">
        <f>IF(每日收货出货登记!W100&gt;0,每日收货出货登记!A100,"")</f>
        <v/>
      </c>
      <c r="B100" s="10">
        <f>IF(每日收货出货登记!W100&gt;0,每日收货出货登记!D100,"")</f>
        <v/>
      </c>
      <c r="C100" s="10">
        <f>IF(每日收货出货登记!W100&gt;0,每日收货出货登记!G100,"")</f>
        <v/>
      </c>
      <c r="D100" s="10">
        <f>IF(每日收货出货登记!W100&gt;0,每日收货出货登记!E100,"")</f>
        <v/>
      </c>
      <c r="E100" s="10">
        <f>IF(每日收货出货登记!W100&gt;0,每日收货出货登记!Q100,"")</f>
        <v/>
      </c>
      <c r="F100" s="10">
        <f>IF(每日收货出货登记!W100&gt;0,每日收货出货登记!V100,"")</f>
        <v/>
      </c>
      <c r="G100" s="10">
        <f>IF(每日收货出货登记!W100&gt;0,每日收货出货登记!W100,"")</f>
        <v/>
      </c>
      <c r="H100" s="10">
        <f>IF(每日收货出货登记!W100&gt;0,每日收货出货登记!R100,"")</f>
        <v/>
      </c>
      <c r="I100" s="9">
        <f>IF(每日收货出货登记!W100&gt;0,每日收货出货登记!S100,"")</f>
        <v/>
      </c>
      <c r="J100" s="9">
        <f>IF(每日收货出货登记!W100&gt;0,每日收货出货登记!AB100,"")</f>
        <v/>
      </c>
    </row>
    <row r="101" ht="22" customHeight="1">
      <c r="A101" s="9">
        <f>IF(每日收货出货登记!W101&gt;0,每日收货出货登记!A101,"")</f>
        <v/>
      </c>
      <c r="B101" s="10">
        <f>IF(每日收货出货登记!W101&gt;0,每日收货出货登记!D101,"")</f>
        <v/>
      </c>
      <c r="C101" s="10">
        <f>IF(每日收货出货登记!W101&gt;0,每日收货出货登记!G101,"")</f>
        <v/>
      </c>
      <c r="D101" s="10">
        <f>IF(每日收货出货登记!W101&gt;0,每日收货出货登记!E101,"")</f>
        <v/>
      </c>
      <c r="E101" s="10">
        <f>IF(每日收货出货登记!W101&gt;0,每日收货出货登记!Q101,"")</f>
        <v/>
      </c>
      <c r="F101" s="10">
        <f>IF(每日收货出货登记!W101&gt;0,每日收货出货登记!V101,"")</f>
        <v/>
      </c>
      <c r="G101" s="10">
        <f>IF(每日收货出货登记!W101&gt;0,每日收货出货登记!W101,"")</f>
        <v/>
      </c>
      <c r="H101" s="10">
        <f>IF(每日收货出货登记!W101&gt;0,每日收货出货登记!R101,"")</f>
        <v/>
      </c>
      <c r="I101" s="9">
        <f>IF(每日收货出货登记!W101&gt;0,每日收货出货登记!S101,"")</f>
        <v/>
      </c>
      <c r="J101" s="9">
        <f>IF(每日收货出货登记!W101&gt;0,每日收货出货登记!AB101,"")</f>
        <v/>
      </c>
    </row>
    <row r="102" ht="22" customHeight="1">
      <c r="A102" s="9">
        <f>IF(每日收货出货登记!W102&gt;0,每日收货出货登记!A102,"")</f>
        <v/>
      </c>
      <c r="B102" s="10">
        <f>IF(每日收货出货登记!W102&gt;0,每日收货出货登记!D102,"")</f>
        <v/>
      </c>
      <c r="C102" s="10">
        <f>IF(每日收货出货登记!W102&gt;0,每日收货出货登记!G102,"")</f>
        <v/>
      </c>
      <c r="D102" s="10">
        <f>IF(每日收货出货登记!W102&gt;0,每日收货出货登记!E102,"")</f>
        <v/>
      </c>
      <c r="E102" s="10">
        <f>IF(每日收货出货登记!W102&gt;0,每日收货出货登记!Q102,"")</f>
        <v/>
      </c>
      <c r="F102" s="10">
        <f>IF(每日收货出货登记!W102&gt;0,每日收货出货登记!V102,"")</f>
        <v/>
      </c>
      <c r="G102" s="10">
        <f>IF(每日收货出货登记!W102&gt;0,每日收货出货登记!W102,"")</f>
        <v/>
      </c>
      <c r="H102" s="10">
        <f>IF(每日收货出货登记!W102&gt;0,每日收货出货登记!R102,"")</f>
        <v/>
      </c>
      <c r="I102" s="9">
        <f>IF(每日收货出货登记!W102&gt;0,每日收货出货登记!S102,"")</f>
        <v/>
      </c>
      <c r="J102" s="9">
        <f>IF(每日收货出货登记!W102&gt;0,每日收货出货登记!AB102,"")</f>
        <v/>
      </c>
    </row>
    <row r="103" ht="22" customHeight="1">
      <c r="A103" s="9">
        <f>IF(每日收货出货登记!W103&gt;0,每日收货出货登记!A103,"")</f>
        <v/>
      </c>
      <c r="B103" s="10">
        <f>IF(每日收货出货登记!W103&gt;0,每日收货出货登记!D103,"")</f>
        <v/>
      </c>
      <c r="C103" s="10">
        <f>IF(每日收货出货登记!W103&gt;0,每日收货出货登记!G103,"")</f>
        <v/>
      </c>
      <c r="D103" s="10">
        <f>IF(每日收货出货登记!W103&gt;0,每日收货出货登记!E103,"")</f>
        <v/>
      </c>
      <c r="E103" s="10">
        <f>IF(每日收货出货登记!W103&gt;0,每日收货出货登记!Q103,"")</f>
        <v/>
      </c>
      <c r="F103" s="10">
        <f>IF(每日收货出货登记!W103&gt;0,每日收货出货登记!V103,"")</f>
        <v/>
      </c>
      <c r="G103" s="10">
        <f>IF(每日收货出货登记!W103&gt;0,每日收货出货登记!W103,"")</f>
        <v/>
      </c>
      <c r="H103" s="10">
        <f>IF(每日收货出货登记!W103&gt;0,每日收货出货登记!R103,"")</f>
        <v/>
      </c>
      <c r="I103" s="9">
        <f>IF(每日收货出货登记!W103&gt;0,每日收货出货登记!S103,"")</f>
        <v/>
      </c>
      <c r="J103" s="9">
        <f>IF(每日收货出货登记!W103&gt;0,每日收货出货登记!AB103,"")</f>
        <v/>
      </c>
    </row>
    <row r="104" ht="22" customHeight="1">
      <c r="A104" s="9">
        <f>IF(每日收货出货登记!W104&gt;0,每日收货出货登记!A104,"")</f>
        <v/>
      </c>
      <c r="B104" s="10">
        <f>IF(每日收货出货登记!W104&gt;0,每日收货出货登记!D104,"")</f>
        <v/>
      </c>
      <c r="C104" s="10">
        <f>IF(每日收货出货登记!W104&gt;0,每日收货出货登记!G104,"")</f>
        <v/>
      </c>
      <c r="D104" s="10">
        <f>IF(每日收货出货登记!W104&gt;0,每日收货出货登记!E104,"")</f>
        <v/>
      </c>
      <c r="E104" s="10">
        <f>IF(每日收货出货登记!W104&gt;0,每日收货出货登记!Q104,"")</f>
        <v/>
      </c>
      <c r="F104" s="10">
        <f>IF(每日收货出货登记!W104&gt;0,每日收货出货登记!V104,"")</f>
        <v/>
      </c>
      <c r="G104" s="10">
        <f>IF(每日收货出货登记!W104&gt;0,每日收货出货登记!W104,"")</f>
        <v/>
      </c>
      <c r="H104" s="10">
        <f>IF(每日收货出货登记!W104&gt;0,每日收货出货登记!R104,"")</f>
        <v/>
      </c>
      <c r="I104" s="9">
        <f>IF(每日收货出货登记!W104&gt;0,每日收货出货登记!S104,"")</f>
        <v/>
      </c>
      <c r="J104" s="9">
        <f>IF(每日收货出货登记!W104&gt;0,每日收货出货登记!AB104,"")</f>
        <v/>
      </c>
    </row>
    <row r="105" ht="22" customHeight="1">
      <c r="A105" s="9">
        <f>IF(每日收货出货登记!W105&gt;0,每日收货出货登记!A105,"")</f>
        <v/>
      </c>
      <c r="B105" s="10">
        <f>IF(每日收货出货登记!W105&gt;0,每日收货出货登记!D105,"")</f>
        <v/>
      </c>
      <c r="C105" s="10">
        <f>IF(每日收货出货登记!W105&gt;0,每日收货出货登记!G105,"")</f>
        <v/>
      </c>
      <c r="D105" s="10">
        <f>IF(每日收货出货登记!W105&gt;0,每日收货出货登记!E105,"")</f>
        <v/>
      </c>
      <c r="E105" s="10">
        <f>IF(每日收货出货登记!W105&gt;0,每日收货出货登记!Q105,"")</f>
        <v/>
      </c>
      <c r="F105" s="10">
        <f>IF(每日收货出货登记!W105&gt;0,每日收货出货登记!V105,"")</f>
        <v/>
      </c>
      <c r="G105" s="10">
        <f>IF(每日收货出货登记!W105&gt;0,每日收货出货登记!W105,"")</f>
        <v/>
      </c>
      <c r="H105" s="10">
        <f>IF(每日收货出货登记!W105&gt;0,每日收货出货登记!R105,"")</f>
        <v/>
      </c>
      <c r="I105" s="9">
        <f>IF(每日收货出货登记!W105&gt;0,每日收货出货登记!S105,"")</f>
        <v/>
      </c>
      <c r="J105" s="9">
        <f>IF(每日收货出货登记!W105&gt;0,每日收货出货登记!AB105,"")</f>
        <v/>
      </c>
    </row>
    <row r="106" ht="22" customHeight="1">
      <c r="A106" s="9">
        <f>IF(每日收货出货登记!W106&gt;0,每日收货出货登记!A106,"")</f>
        <v/>
      </c>
      <c r="B106" s="10">
        <f>IF(每日收货出货登记!W106&gt;0,每日收货出货登记!D106,"")</f>
        <v/>
      </c>
      <c r="C106" s="10">
        <f>IF(每日收货出货登记!W106&gt;0,每日收货出货登记!G106,"")</f>
        <v/>
      </c>
      <c r="D106" s="10">
        <f>IF(每日收货出货登记!W106&gt;0,每日收货出货登记!E106,"")</f>
        <v/>
      </c>
      <c r="E106" s="10">
        <f>IF(每日收货出货登记!W106&gt;0,每日收货出货登记!Q106,"")</f>
        <v/>
      </c>
      <c r="F106" s="10">
        <f>IF(每日收货出货登记!W106&gt;0,每日收货出货登记!V106,"")</f>
        <v/>
      </c>
      <c r="G106" s="10">
        <f>IF(每日收货出货登记!W106&gt;0,每日收货出货登记!W106,"")</f>
        <v/>
      </c>
      <c r="H106" s="10">
        <f>IF(每日收货出货登记!W106&gt;0,每日收货出货登记!R106,"")</f>
        <v/>
      </c>
      <c r="I106" s="9">
        <f>IF(每日收货出货登记!W106&gt;0,每日收货出货登记!S106,"")</f>
        <v/>
      </c>
      <c r="J106" s="9">
        <f>IF(每日收货出货登记!W106&gt;0,每日收货出货登记!AB106,"")</f>
        <v/>
      </c>
    </row>
    <row r="107" ht="22" customHeight="1">
      <c r="A107" s="9">
        <f>IF(每日收货出货登记!W107&gt;0,每日收货出货登记!A107,"")</f>
        <v/>
      </c>
      <c r="B107" s="10">
        <f>IF(每日收货出货登记!W107&gt;0,每日收货出货登记!D107,"")</f>
        <v/>
      </c>
      <c r="C107" s="10">
        <f>IF(每日收货出货登记!W107&gt;0,每日收货出货登记!G107,"")</f>
        <v/>
      </c>
      <c r="D107" s="10">
        <f>IF(每日收货出货登记!W107&gt;0,每日收货出货登记!E107,"")</f>
        <v/>
      </c>
      <c r="E107" s="10">
        <f>IF(每日收货出货登记!W107&gt;0,每日收货出货登记!Q107,"")</f>
        <v/>
      </c>
      <c r="F107" s="10">
        <f>IF(每日收货出货登记!W107&gt;0,每日收货出货登记!V107,"")</f>
        <v/>
      </c>
      <c r="G107" s="10">
        <f>IF(每日收货出货登记!W107&gt;0,每日收货出货登记!W107,"")</f>
        <v/>
      </c>
      <c r="H107" s="10">
        <f>IF(每日收货出货登记!W107&gt;0,每日收货出货登记!R107,"")</f>
        <v/>
      </c>
      <c r="I107" s="9">
        <f>IF(每日收货出货登记!W107&gt;0,每日收货出货登记!S107,"")</f>
        <v/>
      </c>
      <c r="J107" s="9">
        <f>IF(每日收货出货登记!W107&gt;0,每日收货出货登记!AB107,"")</f>
        <v/>
      </c>
    </row>
    <row r="108" ht="22" customHeight="1">
      <c r="A108" s="9">
        <f>IF(每日收货出货登记!W108&gt;0,每日收货出货登记!A108,"")</f>
        <v/>
      </c>
      <c r="B108" s="10">
        <f>IF(每日收货出货登记!W108&gt;0,每日收货出货登记!D108,"")</f>
        <v/>
      </c>
      <c r="C108" s="10">
        <f>IF(每日收货出货登记!W108&gt;0,每日收货出货登记!G108,"")</f>
        <v/>
      </c>
      <c r="D108" s="10">
        <f>IF(每日收货出货登记!W108&gt;0,每日收货出货登记!E108,"")</f>
        <v/>
      </c>
      <c r="E108" s="10">
        <f>IF(每日收货出货登记!W108&gt;0,每日收货出货登记!Q108,"")</f>
        <v/>
      </c>
      <c r="F108" s="10">
        <f>IF(每日收货出货登记!W108&gt;0,每日收货出货登记!V108,"")</f>
        <v/>
      </c>
      <c r="G108" s="10">
        <f>IF(每日收货出货登记!W108&gt;0,每日收货出货登记!W108,"")</f>
        <v/>
      </c>
      <c r="H108" s="10">
        <f>IF(每日收货出货登记!W108&gt;0,每日收货出货登记!R108,"")</f>
        <v/>
      </c>
      <c r="I108" s="9">
        <f>IF(每日收货出货登记!W108&gt;0,每日收货出货登记!S108,"")</f>
        <v/>
      </c>
      <c r="J108" s="9">
        <f>IF(每日收货出货登记!W108&gt;0,每日收货出货登记!AB108,"")</f>
        <v/>
      </c>
    </row>
    <row r="109" ht="22" customHeight="1">
      <c r="A109" s="9">
        <f>IF(每日收货出货登记!W109&gt;0,每日收货出货登记!A109,"")</f>
        <v/>
      </c>
      <c r="B109" s="10">
        <f>IF(每日收货出货登记!W109&gt;0,每日收货出货登记!D109,"")</f>
        <v/>
      </c>
      <c r="C109" s="10">
        <f>IF(每日收货出货登记!W109&gt;0,每日收货出货登记!G109,"")</f>
        <v/>
      </c>
      <c r="D109" s="10">
        <f>IF(每日收货出货登记!W109&gt;0,每日收货出货登记!E109,"")</f>
        <v/>
      </c>
      <c r="E109" s="10">
        <f>IF(每日收货出货登记!W109&gt;0,每日收货出货登记!Q109,"")</f>
        <v/>
      </c>
      <c r="F109" s="10">
        <f>IF(每日收货出货登记!W109&gt;0,每日收货出货登记!V109,"")</f>
        <v/>
      </c>
      <c r="G109" s="10">
        <f>IF(每日收货出货登记!W109&gt;0,每日收货出货登记!W109,"")</f>
        <v/>
      </c>
      <c r="H109" s="10">
        <f>IF(每日收货出货登记!W109&gt;0,每日收货出货登记!R109,"")</f>
        <v/>
      </c>
      <c r="I109" s="9">
        <f>IF(每日收货出货登记!W109&gt;0,每日收货出货登记!S109,"")</f>
        <v/>
      </c>
      <c r="J109" s="9">
        <f>IF(每日收货出货登记!W109&gt;0,每日收货出货登记!AB109,"")</f>
        <v/>
      </c>
    </row>
    <row r="110" ht="22" customHeight="1">
      <c r="A110" s="9">
        <f>IF(每日收货出货登记!W110&gt;0,每日收货出货登记!A110,"")</f>
        <v/>
      </c>
      <c r="B110" s="10">
        <f>IF(每日收货出货登记!W110&gt;0,每日收货出货登记!D110,"")</f>
        <v/>
      </c>
      <c r="C110" s="10">
        <f>IF(每日收货出货登记!W110&gt;0,每日收货出货登记!G110,"")</f>
        <v/>
      </c>
      <c r="D110" s="10">
        <f>IF(每日收货出货登记!W110&gt;0,每日收货出货登记!E110,"")</f>
        <v/>
      </c>
      <c r="E110" s="10">
        <f>IF(每日收货出货登记!W110&gt;0,每日收货出货登记!Q110,"")</f>
        <v/>
      </c>
      <c r="F110" s="10">
        <f>IF(每日收货出货登记!W110&gt;0,每日收货出货登记!V110,"")</f>
        <v/>
      </c>
      <c r="G110" s="10">
        <f>IF(每日收货出货登记!W110&gt;0,每日收货出货登记!W110,"")</f>
        <v/>
      </c>
      <c r="H110" s="10">
        <f>IF(每日收货出货登记!W110&gt;0,每日收货出货登记!R110,"")</f>
        <v/>
      </c>
      <c r="I110" s="9">
        <f>IF(每日收货出货登记!W110&gt;0,每日收货出货登记!S110,"")</f>
        <v/>
      </c>
      <c r="J110" s="9">
        <f>IF(每日收货出货登记!W110&gt;0,每日收货出货登记!AB110,"")</f>
        <v/>
      </c>
    </row>
    <row r="111" ht="22" customHeight="1">
      <c r="A111" s="9">
        <f>IF(每日收货出货登记!W111&gt;0,每日收货出货登记!A111,"")</f>
        <v/>
      </c>
      <c r="B111" s="10">
        <f>IF(每日收货出货登记!W111&gt;0,每日收货出货登记!D111,"")</f>
        <v/>
      </c>
      <c r="C111" s="10">
        <f>IF(每日收货出货登记!W111&gt;0,每日收货出货登记!G111,"")</f>
        <v/>
      </c>
      <c r="D111" s="10">
        <f>IF(每日收货出货登记!W111&gt;0,每日收货出货登记!E111,"")</f>
        <v/>
      </c>
      <c r="E111" s="10">
        <f>IF(每日收货出货登记!W111&gt;0,每日收货出货登记!Q111,"")</f>
        <v/>
      </c>
      <c r="F111" s="10">
        <f>IF(每日收货出货登记!W111&gt;0,每日收货出货登记!V111,"")</f>
        <v/>
      </c>
      <c r="G111" s="10">
        <f>IF(每日收货出货登记!W111&gt;0,每日收货出货登记!W111,"")</f>
        <v/>
      </c>
      <c r="H111" s="10">
        <f>IF(每日收货出货登记!W111&gt;0,每日收货出货登记!R111,"")</f>
        <v/>
      </c>
      <c r="I111" s="9">
        <f>IF(每日收货出货登记!W111&gt;0,每日收货出货登记!S111,"")</f>
        <v/>
      </c>
      <c r="J111" s="9">
        <f>IF(每日收货出货登记!W111&gt;0,每日收货出货登记!AB111,"")</f>
        <v/>
      </c>
    </row>
    <row r="112" ht="22" customHeight="1">
      <c r="A112" s="9">
        <f>IF(每日收货出货登记!W112&gt;0,每日收货出货登记!A112,"")</f>
        <v/>
      </c>
      <c r="B112" s="10">
        <f>IF(每日收货出货登记!W112&gt;0,每日收货出货登记!D112,"")</f>
        <v/>
      </c>
      <c r="C112" s="10">
        <f>IF(每日收货出货登记!W112&gt;0,每日收货出货登记!G112,"")</f>
        <v/>
      </c>
      <c r="D112" s="10">
        <f>IF(每日收货出货登记!W112&gt;0,每日收货出货登记!E112,"")</f>
        <v/>
      </c>
      <c r="E112" s="10">
        <f>IF(每日收货出货登记!W112&gt;0,每日收货出货登记!Q112,"")</f>
        <v/>
      </c>
      <c r="F112" s="10">
        <f>IF(每日收货出货登记!W112&gt;0,每日收货出货登记!V112,"")</f>
        <v/>
      </c>
      <c r="G112" s="10">
        <f>IF(每日收货出货登记!W112&gt;0,每日收货出货登记!W112,"")</f>
        <v/>
      </c>
      <c r="H112" s="10">
        <f>IF(每日收货出货登记!W112&gt;0,每日收货出货登记!R112,"")</f>
        <v/>
      </c>
      <c r="I112" s="9">
        <f>IF(每日收货出货登记!W112&gt;0,每日收货出货登记!S112,"")</f>
        <v/>
      </c>
      <c r="J112" s="9">
        <f>IF(每日收货出货登记!W112&gt;0,每日收货出货登记!AB112,"")</f>
        <v/>
      </c>
    </row>
    <row r="113" ht="22" customHeight="1">
      <c r="A113" s="9">
        <f>IF(每日收货出货登记!W113&gt;0,每日收货出货登记!A113,"")</f>
        <v/>
      </c>
      <c r="B113" s="10">
        <f>IF(每日收货出货登记!W113&gt;0,每日收货出货登记!D113,"")</f>
        <v/>
      </c>
      <c r="C113" s="10">
        <f>IF(每日收货出货登记!W113&gt;0,每日收货出货登记!G113,"")</f>
        <v/>
      </c>
      <c r="D113" s="10">
        <f>IF(每日收货出货登记!W113&gt;0,每日收货出货登记!E113,"")</f>
        <v/>
      </c>
      <c r="E113" s="10">
        <f>IF(每日收货出货登记!W113&gt;0,每日收货出货登记!Q113,"")</f>
        <v/>
      </c>
      <c r="F113" s="10">
        <f>IF(每日收货出货登记!W113&gt;0,每日收货出货登记!V113,"")</f>
        <v/>
      </c>
      <c r="G113" s="10">
        <f>IF(每日收货出货登记!W113&gt;0,每日收货出货登记!W113,"")</f>
        <v/>
      </c>
      <c r="H113" s="10">
        <f>IF(每日收货出货登记!W113&gt;0,每日收货出货登记!R113,"")</f>
        <v/>
      </c>
      <c r="I113" s="9">
        <f>IF(每日收货出货登记!W113&gt;0,每日收货出货登记!S113,"")</f>
        <v/>
      </c>
      <c r="J113" s="9">
        <f>IF(每日收货出货登记!W113&gt;0,每日收货出货登记!AB113,"")</f>
        <v/>
      </c>
    </row>
    <row r="114" ht="22" customHeight="1">
      <c r="A114" s="9">
        <f>IF(每日收货出货登记!W114&gt;0,每日收货出货登记!A114,"")</f>
        <v/>
      </c>
      <c r="B114" s="10">
        <f>IF(每日收货出货登记!W114&gt;0,每日收货出货登记!D114,"")</f>
        <v/>
      </c>
      <c r="C114" s="10">
        <f>IF(每日收货出货登记!W114&gt;0,每日收货出货登记!G114,"")</f>
        <v/>
      </c>
      <c r="D114" s="10">
        <f>IF(每日收货出货登记!W114&gt;0,每日收货出货登记!E114,"")</f>
        <v/>
      </c>
      <c r="E114" s="10">
        <f>IF(每日收货出货登记!W114&gt;0,每日收货出货登记!Q114,"")</f>
        <v/>
      </c>
      <c r="F114" s="10">
        <f>IF(每日收货出货登记!W114&gt;0,每日收货出货登记!V114,"")</f>
        <v/>
      </c>
      <c r="G114" s="10">
        <f>IF(每日收货出货登记!W114&gt;0,每日收货出货登记!W114,"")</f>
        <v/>
      </c>
      <c r="H114" s="10">
        <f>IF(每日收货出货登记!W114&gt;0,每日收货出货登记!R114,"")</f>
        <v/>
      </c>
      <c r="I114" s="9">
        <f>IF(每日收货出货登记!W114&gt;0,每日收货出货登记!S114,"")</f>
        <v/>
      </c>
      <c r="J114" s="9">
        <f>IF(每日收货出货登记!W114&gt;0,每日收货出货登记!AB114,"")</f>
        <v/>
      </c>
    </row>
    <row r="115" ht="22" customHeight="1">
      <c r="A115" s="9">
        <f>IF(每日收货出货登记!W115&gt;0,每日收货出货登记!A115,"")</f>
        <v/>
      </c>
      <c r="B115" s="10">
        <f>IF(每日收货出货登记!W115&gt;0,每日收货出货登记!D115,"")</f>
        <v/>
      </c>
      <c r="C115" s="10">
        <f>IF(每日收货出货登记!W115&gt;0,每日收货出货登记!G115,"")</f>
        <v/>
      </c>
      <c r="D115" s="10">
        <f>IF(每日收货出货登记!W115&gt;0,每日收货出货登记!E115,"")</f>
        <v/>
      </c>
      <c r="E115" s="10">
        <f>IF(每日收货出货登记!W115&gt;0,每日收货出货登记!Q115,"")</f>
        <v/>
      </c>
      <c r="F115" s="10">
        <f>IF(每日收货出货登记!W115&gt;0,每日收货出货登记!V115,"")</f>
        <v/>
      </c>
      <c r="G115" s="10">
        <f>IF(每日收货出货登记!W115&gt;0,每日收货出货登记!W115,"")</f>
        <v/>
      </c>
      <c r="H115" s="10">
        <f>IF(每日收货出货登记!W115&gt;0,每日收货出货登记!R115,"")</f>
        <v/>
      </c>
      <c r="I115" s="9">
        <f>IF(每日收货出货登记!W115&gt;0,每日收货出货登记!S115,"")</f>
        <v/>
      </c>
      <c r="J115" s="9">
        <f>IF(每日收货出货登记!W115&gt;0,每日收货出货登记!AB115,"")</f>
        <v/>
      </c>
    </row>
    <row r="116" ht="22" customHeight="1">
      <c r="A116" s="9">
        <f>IF(每日收货出货登记!W116&gt;0,每日收货出货登记!A116,"")</f>
        <v/>
      </c>
      <c r="B116" s="10">
        <f>IF(每日收货出货登记!W116&gt;0,每日收货出货登记!D116,"")</f>
        <v/>
      </c>
      <c r="C116" s="10">
        <f>IF(每日收货出货登记!W116&gt;0,每日收货出货登记!G116,"")</f>
        <v/>
      </c>
      <c r="D116" s="10">
        <f>IF(每日收货出货登记!W116&gt;0,每日收货出货登记!E116,"")</f>
        <v/>
      </c>
      <c r="E116" s="10">
        <f>IF(每日收货出货登记!W116&gt;0,每日收货出货登记!Q116,"")</f>
        <v/>
      </c>
      <c r="F116" s="10">
        <f>IF(每日收货出货登记!W116&gt;0,每日收货出货登记!V116,"")</f>
        <v/>
      </c>
      <c r="G116" s="10">
        <f>IF(每日收货出货登记!W116&gt;0,每日收货出货登记!W116,"")</f>
        <v/>
      </c>
      <c r="H116" s="10">
        <f>IF(每日收货出货登记!W116&gt;0,每日收货出货登记!R116,"")</f>
        <v/>
      </c>
      <c r="I116" s="9">
        <f>IF(每日收货出货登记!W116&gt;0,每日收货出货登记!S116,"")</f>
        <v/>
      </c>
      <c r="J116" s="9">
        <f>IF(每日收货出货登记!W116&gt;0,每日收货出货登记!AB116,"")</f>
        <v/>
      </c>
    </row>
    <row r="117" ht="22" customHeight="1">
      <c r="A117" s="9">
        <f>IF(每日收货出货登记!W117&gt;0,每日收货出货登记!A117,"")</f>
        <v/>
      </c>
      <c r="B117" s="10">
        <f>IF(每日收货出货登记!W117&gt;0,每日收货出货登记!D117,"")</f>
        <v/>
      </c>
      <c r="C117" s="10">
        <f>IF(每日收货出货登记!W117&gt;0,每日收货出货登记!G117,"")</f>
        <v/>
      </c>
      <c r="D117" s="10">
        <f>IF(每日收货出货登记!W117&gt;0,每日收货出货登记!E117,"")</f>
        <v/>
      </c>
      <c r="E117" s="10">
        <f>IF(每日收货出货登记!W117&gt;0,每日收货出货登记!Q117,"")</f>
        <v/>
      </c>
      <c r="F117" s="10">
        <f>IF(每日收货出货登记!W117&gt;0,每日收货出货登记!V117,"")</f>
        <v/>
      </c>
      <c r="G117" s="10">
        <f>IF(每日收货出货登记!W117&gt;0,每日收货出货登记!W117,"")</f>
        <v/>
      </c>
      <c r="H117" s="10">
        <f>IF(每日收货出货登记!W117&gt;0,每日收货出货登记!R117,"")</f>
        <v/>
      </c>
      <c r="I117" s="9">
        <f>IF(每日收货出货登记!W117&gt;0,每日收货出货登记!S117,"")</f>
        <v/>
      </c>
      <c r="J117" s="9">
        <f>IF(每日收货出货登记!W117&gt;0,每日收货出货登记!AB117,"")</f>
        <v/>
      </c>
    </row>
    <row r="118" ht="22" customHeight="1">
      <c r="A118" s="9">
        <f>IF(每日收货出货登记!W118&gt;0,每日收货出货登记!A118,"")</f>
        <v/>
      </c>
      <c r="B118" s="10">
        <f>IF(每日收货出货登记!W118&gt;0,每日收货出货登记!D118,"")</f>
        <v/>
      </c>
      <c r="C118" s="10">
        <f>IF(每日收货出货登记!W118&gt;0,每日收货出货登记!G118,"")</f>
        <v/>
      </c>
      <c r="D118" s="10">
        <f>IF(每日收货出货登记!W118&gt;0,每日收货出货登记!E118,"")</f>
        <v/>
      </c>
      <c r="E118" s="10">
        <f>IF(每日收货出货登记!W118&gt;0,每日收货出货登记!Q118,"")</f>
        <v/>
      </c>
      <c r="F118" s="10">
        <f>IF(每日收货出货登记!W118&gt;0,每日收货出货登记!V118,"")</f>
        <v/>
      </c>
      <c r="G118" s="10">
        <f>IF(每日收货出货登记!W118&gt;0,每日收货出货登记!W118,"")</f>
        <v/>
      </c>
      <c r="H118" s="10">
        <f>IF(每日收货出货登记!W118&gt;0,每日收货出货登记!R118,"")</f>
        <v/>
      </c>
      <c r="I118" s="9">
        <f>IF(每日收货出货登记!W118&gt;0,每日收货出货登记!S118,"")</f>
        <v/>
      </c>
      <c r="J118" s="9">
        <f>IF(每日收货出货登记!W118&gt;0,每日收货出货登记!AB118,"")</f>
        <v/>
      </c>
    </row>
    <row r="119" ht="22" customHeight="1">
      <c r="A119" s="9">
        <f>IF(每日收货出货登记!W119&gt;0,每日收货出货登记!A119,"")</f>
        <v/>
      </c>
      <c r="B119" s="10">
        <f>IF(每日收货出货登记!W119&gt;0,每日收货出货登记!D119,"")</f>
        <v/>
      </c>
      <c r="C119" s="10">
        <f>IF(每日收货出货登记!W119&gt;0,每日收货出货登记!G119,"")</f>
        <v/>
      </c>
      <c r="D119" s="10">
        <f>IF(每日收货出货登记!W119&gt;0,每日收货出货登记!E119,"")</f>
        <v/>
      </c>
      <c r="E119" s="10">
        <f>IF(每日收货出货登记!W119&gt;0,每日收货出货登记!Q119,"")</f>
        <v/>
      </c>
      <c r="F119" s="10">
        <f>IF(每日收货出货登记!W119&gt;0,每日收货出货登记!V119,"")</f>
        <v/>
      </c>
      <c r="G119" s="10">
        <f>IF(每日收货出货登记!W119&gt;0,每日收货出货登记!W119,"")</f>
        <v/>
      </c>
      <c r="H119" s="10">
        <f>IF(每日收货出货登记!W119&gt;0,每日收货出货登记!R119,"")</f>
        <v/>
      </c>
      <c r="I119" s="9">
        <f>IF(每日收货出货登记!W119&gt;0,每日收货出货登记!S119,"")</f>
        <v/>
      </c>
      <c r="J119" s="9">
        <f>IF(每日收货出货登记!W119&gt;0,每日收货出货登记!AB119,"")</f>
        <v/>
      </c>
    </row>
    <row r="120" ht="22" customHeight="1">
      <c r="A120" s="9">
        <f>IF(每日收货出货登记!W120&gt;0,每日收货出货登记!A120,"")</f>
        <v/>
      </c>
      <c r="B120" s="10">
        <f>IF(每日收货出货登记!W120&gt;0,每日收货出货登记!D120,"")</f>
        <v/>
      </c>
      <c r="C120" s="10">
        <f>IF(每日收货出货登记!W120&gt;0,每日收货出货登记!G120,"")</f>
        <v/>
      </c>
      <c r="D120" s="10">
        <f>IF(每日收货出货登记!W120&gt;0,每日收货出货登记!E120,"")</f>
        <v/>
      </c>
      <c r="E120" s="10">
        <f>IF(每日收货出货登记!W120&gt;0,每日收货出货登记!Q120,"")</f>
        <v/>
      </c>
      <c r="F120" s="10">
        <f>IF(每日收货出货登记!W120&gt;0,每日收货出货登记!V120,"")</f>
        <v/>
      </c>
      <c r="G120" s="10">
        <f>IF(每日收货出货登记!W120&gt;0,每日收货出货登记!W120,"")</f>
        <v/>
      </c>
      <c r="H120" s="10">
        <f>IF(每日收货出货登记!W120&gt;0,每日收货出货登记!R120,"")</f>
        <v/>
      </c>
      <c r="I120" s="9">
        <f>IF(每日收货出货登记!W120&gt;0,每日收货出货登记!S120,"")</f>
        <v/>
      </c>
      <c r="J120" s="9">
        <f>IF(每日收货出货登记!W120&gt;0,每日收货出货登记!AB120,"")</f>
        <v/>
      </c>
    </row>
    <row r="121" ht="22" customHeight="1">
      <c r="A121" s="9">
        <f>IF(每日收货出货登记!W121&gt;0,每日收货出货登记!A121,"")</f>
        <v/>
      </c>
      <c r="B121" s="10">
        <f>IF(每日收货出货登记!W121&gt;0,每日收货出货登记!D121,"")</f>
        <v/>
      </c>
      <c r="C121" s="10">
        <f>IF(每日收货出货登记!W121&gt;0,每日收货出货登记!G121,"")</f>
        <v/>
      </c>
      <c r="D121" s="10">
        <f>IF(每日收货出货登记!W121&gt;0,每日收货出货登记!E121,"")</f>
        <v/>
      </c>
      <c r="E121" s="10">
        <f>IF(每日收货出货登记!W121&gt;0,每日收货出货登记!Q121,"")</f>
        <v/>
      </c>
      <c r="F121" s="10">
        <f>IF(每日收货出货登记!W121&gt;0,每日收货出货登记!V121,"")</f>
        <v/>
      </c>
      <c r="G121" s="10">
        <f>IF(每日收货出货登记!W121&gt;0,每日收货出货登记!W121,"")</f>
        <v/>
      </c>
      <c r="H121" s="10">
        <f>IF(每日收货出货登记!W121&gt;0,每日收货出货登记!R121,"")</f>
        <v/>
      </c>
      <c r="I121" s="9">
        <f>IF(每日收货出货登记!W121&gt;0,每日收货出货登记!S121,"")</f>
        <v/>
      </c>
      <c r="J121" s="9">
        <f>IF(每日收货出货登记!W121&gt;0,每日收货出货登记!AB121,"")</f>
        <v/>
      </c>
    </row>
    <row r="122" ht="22" customHeight="1">
      <c r="A122" s="9">
        <f>IF(每日收货出货登记!W122&gt;0,每日收货出货登记!A122,"")</f>
        <v/>
      </c>
      <c r="B122" s="10">
        <f>IF(每日收货出货登记!W122&gt;0,每日收货出货登记!D122,"")</f>
        <v/>
      </c>
      <c r="C122" s="10">
        <f>IF(每日收货出货登记!W122&gt;0,每日收货出货登记!G122,"")</f>
        <v/>
      </c>
      <c r="D122" s="10">
        <f>IF(每日收货出货登记!W122&gt;0,每日收货出货登记!E122,"")</f>
        <v/>
      </c>
      <c r="E122" s="10">
        <f>IF(每日收货出货登记!W122&gt;0,每日收货出货登记!Q122,"")</f>
        <v/>
      </c>
      <c r="F122" s="10">
        <f>IF(每日收货出货登记!W122&gt;0,每日收货出货登记!V122,"")</f>
        <v/>
      </c>
      <c r="G122" s="10">
        <f>IF(每日收货出货登记!W122&gt;0,每日收货出货登记!W122,"")</f>
        <v/>
      </c>
      <c r="H122" s="10">
        <f>IF(每日收货出货登记!W122&gt;0,每日收货出货登记!R122,"")</f>
        <v/>
      </c>
      <c r="I122" s="9">
        <f>IF(每日收货出货登记!W122&gt;0,每日收货出货登记!S122,"")</f>
        <v/>
      </c>
      <c r="J122" s="9">
        <f>IF(每日收货出货登记!W122&gt;0,每日收货出货登记!AB122,"")</f>
        <v/>
      </c>
    </row>
    <row r="123" ht="22" customHeight="1">
      <c r="A123" s="9">
        <f>IF(每日收货出货登记!W123&gt;0,每日收货出货登记!A123,"")</f>
        <v/>
      </c>
      <c r="B123" s="10">
        <f>IF(每日收货出货登记!W123&gt;0,每日收货出货登记!D123,"")</f>
        <v/>
      </c>
      <c r="C123" s="10">
        <f>IF(每日收货出货登记!W123&gt;0,每日收货出货登记!G123,"")</f>
        <v/>
      </c>
      <c r="D123" s="10">
        <f>IF(每日收货出货登记!W123&gt;0,每日收货出货登记!E123,"")</f>
        <v/>
      </c>
      <c r="E123" s="10">
        <f>IF(每日收货出货登记!W123&gt;0,每日收货出货登记!Q123,"")</f>
        <v/>
      </c>
      <c r="F123" s="10">
        <f>IF(每日收货出货登记!W123&gt;0,每日收货出货登记!V123,"")</f>
        <v/>
      </c>
      <c r="G123" s="10">
        <f>IF(每日收货出货登记!W123&gt;0,每日收货出货登记!W123,"")</f>
        <v/>
      </c>
      <c r="H123" s="10">
        <f>IF(每日收货出货登记!W123&gt;0,每日收货出货登记!R123,"")</f>
        <v/>
      </c>
      <c r="I123" s="9">
        <f>IF(每日收货出货登记!W123&gt;0,每日收货出货登记!S123,"")</f>
        <v/>
      </c>
      <c r="J123" s="9">
        <f>IF(每日收货出货登记!W123&gt;0,每日收货出货登记!AB123,"")</f>
        <v/>
      </c>
    </row>
    <row r="124" ht="22" customHeight="1">
      <c r="A124" s="9">
        <f>IF(每日收货出货登记!W124&gt;0,每日收货出货登记!A124,"")</f>
        <v/>
      </c>
      <c r="B124" s="10">
        <f>IF(每日收货出货登记!W124&gt;0,每日收货出货登记!D124,"")</f>
        <v/>
      </c>
      <c r="C124" s="10">
        <f>IF(每日收货出货登记!W124&gt;0,每日收货出货登记!G124,"")</f>
        <v/>
      </c>
      <c r="D124" s="10">
        <f>IF(每日收货出货登记!W124&gt;0,每日收货出货登记!E124,"")</f>
        <v/>
      </c>
      <c r="E124" s="10">
        <f>IF(每日收货出货登记!W124&gt;0,每日收货出货登记!Q124,"")</f>
        <v/>
      </c>
      <c r="F124" s="10">
        <f>IF(每日收货出货登记!W124&gt;0,每日收货出货登记!V124,"")</f>
        <v/>
      </c>
      <c r="G124" s="10">
        <f>IF(每日收货出货登记!W124&gt;0,每日收货出货登记!W124,"")</f>
        <v/>
      </c>
      <c r="H124" s="10">
        <f>IF(每日收货出货登记!W124&gt;0,每日收货出货登记!R124,"")</f>
        <v/>
      </c>
      <c r="I124" s="9">
        <f>IF(每日收货出货登记!W124&gt;0,每日收货出货登记!S124,"")</f>
        <v/>
      </c>
      <c r="J124" s="9">
        <f>IF(每日收货出货登记!W124&gt;0,每日收货出货登记!AB124,"")</f>
        <v/>
      </c>
    </row>
    <row r="125" ht="22" customHeight="1">
      <c r="A125" s="9">
        <f>IF(每日收货出货登记!W125&gt;0,每日收货出货登记!A125,"")</f>
        <v/>
      </c>
      <c r="B125" s="10">
        <f>IF(每日收货出货登记!W125&gt;0,每日收货出货登记!D125,"")</f>
        <v/>
      </c>
      <c r="C125" s="10">
        <f>IF(每日收货出货登记!W125&gt;0,每日收货出货登记!G125,"")</f>
        <v/>
      </c>
      <c r="D125" s="10">
        <f>IF(每日收货出货登记!W125&gt;0,每日收货出货登记!E125,"")</f>
        <v/>
      </c>
      <c r="E125" s="10">
        <f>IF(每日收货出货登记!W125&gt;0,每日收货出货登记!Q125,"")</f>
        <v/>
      </c>
      <c r="F125" s="10">
        <f>IF(每日收货出货登记!W125&gt;0,每日收货出货登记!V125,"")</f>
        <v/>
      </c>
      <c r="G125" s="10">
        <f>IF(每日收货出货登记!W125&gt;0,每日收货出货登记!W125,"")</f>
        <v/>
      </c>
      <c r="H125" s="10">
        <f>IF(每日收货出货登记!W125&gt;0,每日收货出货登记!R125,"")</f>
        <v/>
      </c>
      <c r="I125" s="9">
        <f>IF(每日收货出货登记!W125&gt;0,每日收货出货登记!S125,"")</f>
        <v/>
      </c>
      <c r="J125" s="9">
        <f>IF(每日收货出货登记!W125&gt;0,每日收货出货登记!AB125,"")</f>
        <v/>
      </c>
    </row>
    <row r="126" ht="22" customHeight="1">
      <c r="A126" s="9">
        <f>IF(每日收货出货登记!W126&gt;0,每日收货出货登记!A126,"")</f>
        <v/>
      </c>
      <c r="B126" s="10">
        <f>IF(每日收货出货登记!W126&gt;0,每日收货出货登记!D126,"")</f>
        <v/>
      </c>
      <c r="C126" s="10">
        <f>IF(每日收货出货登记!W126&gt;0,每日收货出货登记!G126,"")</f>
        <v/>
      </c>
      <c r="D126" s="10">
        <f>IF(每日收货出货登记!W126&gt;0,每日收货出货登记!E126,"")</f>
        <v/>
      </c>
      <c r="E126" s="10">
        <f>IF(每日收货出货登记!W126&gt;0,每日收货出货登记!Q126,"")</f>
        <v/>
      </c>
      <c r="F126" s="10">
        <f>IF(每日收货出货登记!W126&gt;0,每日收货出货登记!V126,"")</f>
        <v/>
      </c>
      <c r="G126" s="10">
        <f>IF(每日收货出货登记!W126&gt;0,每日收货出货登记!W126,"")</f>
        <v/>
      </c>
      <c r="H126" s="10">
        <f>IF(每日收货出货登记!W126&gt;0,每日收货出货登记!R126,"")</f>
        <v/>
      </c>
      <c r="I126" s="9">
        <f>IF(每日收货出货登记!W126&gt;0,每日收货出货登记!S126,"")</f>
        <v/>
      </c>
      <c r="J126" s="9">
        <f>IF(每日收货出货登记!W126&gt;0,每日收货出货登记!AB126,"")</f>
        <v/>
      </c>
    </row>
    <row r="127" ht="22" customHeight="1">
      <c r="A127" s="9">
        <f>IF(每日收货出货登记!W127&gt;0,每日收货出货登记!A127,"")</f>
        <v/>
      </c>
      <c r="B127" s="10">
        <f>IF(每日收货出货登记!W127&gt;0,每日收货出货登记!D127,"")</f>
        <v/>
      </c>
      <c r="C127" s="10">
        <f>IF(每日收货出货登记!W127&gt;0,每日收货出货登记!G127,"")</f>
        <v/>
      </c>
      <c r="D127" s="10">
        <f>IF(每日收货出货登记!W127&gt;0,每日收货出货登记!E127,"")</f>
        <v/>
      </c>
      <c r="E127" s="10">
        <f>IF(每日收货出货登记!W127&gt;0,每日收货出货登记!Q127,"")</f>
        <v/>
      </c>
      <c r="F127" s="10">
        <f>IF(每日收货出货登记!W127&gt;0,每日收货出货登记!V127,"")</f>
        <v/>
      </c>
      <c r="G127" s="10">
        <f>IF(每日收货出货登记!W127&gt;0,每日收货出货登记!W127,"")</f>
        <v/>
      </c>
      <c r="H127" s="10">
        <f>IF(每日收货出货登记!W127&gt;0,每日收货出货登记!R127,"")</f>
        <v/>
      </c>
      <c r="I127" s="9">
        <f>IF(每日收货出货登记!W127&gt;0,每日收货出货登记!S127,"")</f>
        <v/>
      </c>
      <c r="J127" s="9">
        <f>IF(每日收货出货登记!W127&gt;0,每日收货出货登记!AB127,"")</f>
        <v/>
      </c>
    </row>
    <row r="128" ht="22" customHeight="1">
      <c r="A128" s="9">
        <f>IF(每日收货出货登记!W128&gt;0,每日收货出货登记!A128,"")</f>
        <v/>
      </c>
      <c r="B128" s="10">
        <f>IF(每日收货出货登记!W128&gt;0,每日收货出货登记!D128,"")</f>
        <v/>
      </c>
      <c r="C128" s="10">
        <f>IF(每日收货出货登记!W128&gt;0,每日收货出货登记!G128,"")</f>
        <v/>
      </c>
      <c r="D128" s="10">
        <f>IF(每日收货出货登记!W128&gt;0,每日收货出货登记!E128,"")</f>
        <v/>
      </c>
      <c r="E128" s="10">
        <f>IF(每日收货出货登记!W128&gt;0,每日收货出货登记!Q128,"")</f>
        <v/>
      </c>
      <c r="F128" s="10">
        <f>IF(每日收货出货登记!W128&gt;0,每日收货出货登记!V128,"")</f>
        <v/>
      </c>
      <c r="G128" s="10">
        <f>IF(每日收货出货登记!W128&gt;0,每日收货出货登记!W128,"")</f>
        <v/>
      </c>
      <c r="H128" s="10">
        <f>IF(每日收货出货登记!W128&gt;0,每日收货出货登记!R128,"")</f>
        <v/>
      </c>
      <c r="I128" s="9">
        <f>IF(每日收货出货登记!W128&gt;0,每日收货出货登记!S128,"")</f>
        <v/>
      </c>
      <c r="J128" s="9">
        <f>IF(每日收货出货登记!W128&gt;0,每日收货出货登记!AB128,"")</f>
        <v/>
      </c>
    </row>
    <row r="129" ht="22" customHeight="1">
      <c r="A129" s="9">
        <f>IF(每日收货出货登记!W129&gt;0,每日收货出货登记!A129,"")</f>
        <v/>
      </c>
      <c r="B129" s="10">
        <f>IF(每日收货出货登记!W129&gt;0,每日收货出货登记!D129,"")</f>
        <v/>
      </c>
      <c r="C129" s="10">
        <f>IF(每日收货出货登记!W129&gt;0,每日收货出货登记!G129,"")</f>
        <v/>
      </c>
      <c r="D129" s="10">
        <f>IF(每日收货出货登记!W129&gt;0,每日收货出货登记!E129,"")</f>
        <v/>
      </c>
      <c r="E129" s="10">
        <f>IF(每日收货出货登记!W129&gt;0,每日收货出货登记!Q129,"")</f>
        <v/>
      </c>
      <c r="F129" s="10">
        <f>IF(每日收货出货登记!W129&gt;0,每日收货出货登记!V129,"")</f>
        <v/>
      </c>
      <c r="G129" s="10">
        <f>IF(每日收货出货登记!W129&gt;0,每日收货出货登记!W129,"")</f>
        <v/>
      </c>
      <c r="H129" s="10">
        <f>IF(每日收货出货登记!W129&gt;0,每日收货出货登记!R129,"")</f>
        <v/>
      </c>
      <c r="I129" s="9">
        <f>IF(每日收货出货登记!W129&gt;0,每日收货出货登记!S129,"")</f>
        <v/>
      </c>
      <c r="J129" s="9">
        <f>IF(每日收货出货登记!W129&gt;0,每日收货出货登记!AB129,"")</f>
        <v/>
      </c>
    </row>
    <row r="130" ht="22" customHeight="1">
      <c r="A130" s="9">
        <f>IF(每日收货出货登记!W130&gt;0,每日收货出货登记!A130,"")</f>
        <v/>
      </c>
      <c r="B130" s="10">
        <f>IF(每日收货出货登记!W130&gt;0,每日收货出货登记!D130,"")</f>
        <v/>
      </c>
      <c r="C130" s="10">
        <f>IF(每日收货出货登记!W130&gt;0,每日收货出货登记!G130,"")</f>
        <v/>
      </c>
      <c r="D130" s="10">
        <f>IF(每日收货出货登记!W130&gt;0,每日收货出货登记!E130,"")</f>
        <v/>
      </c>
      <c r="E130" s="10">
        <f>IF(每日收货出货登记!W130&gt;0,每日收货出货登记!Q130,"")</f>
        <v/>
      </c>
      <c r="F130" s="10">
        <f>IF(每日收货出货登记!W130&gt;0,每日收货出货登记!V130,"")</f>
        <v/>
      </c>
      <c r="G130" s="10">
        <f>IF(每日收货出货登记!W130&gt;0,每日收货出货登记!W130,"")</f>
        <v/>
      </c>
      <c r="H130" s="10">
        <f>IF(每日收货出货登记!W130&gt;0,每日收货出货登记!R130,"")</f>
        <v/>
      </c>
      <c r="I130" s="9">
        <f>IF(每日收货出货登记!W130&gt;0,每日收货出货登记!S130,"")</f>
        <v/>
      </c>
      <c r="J130" s="9">
        <f>IF(每日收货出货登记!W130&gt;0,每日收货出货登记!AB130,"")</f>
        <v/>
      </c>
    </row>
    <row r="131" ht="22" customHeight="1">
      <c r="A131" s="9">
        <f>IF(每日收货出货登记!W131&gt;0,每日收货出货登记!A131,"")</f>
        <v/>
      </c>
      <c r="B131" s="10">
        <f>IF(每日收货出货登记!W131&gt;0,每日收货出货登记!D131,"")</f>
        <v/>
      </c>
      <c r="C131" s="10">
        <f>IF(每日收货出货登记!W131&gt;0,每日收货出货登记!G131,"")</f>
        <v/>
      </c>
      <c r="D131" s="10">
        <f>IF(每日收货出货登记!W131&gt;0,每日收货出货登记!E131,"")</f>
        <v/>
      </c>
      <c r="E131" s="10">
        <f>IF(每日收货出货登记!W131&gt;0,每日收货出货登记!Q131,"")</f>
        <v/>
      </c>
      <c r="F131" s="10">
        <f>IF(每日收货出货登记!W131&gt;0,每日收货出货登记!V131,"")</f>
        <v/>
      </c>
      <c r="G131" s="10">
        <f>IF(每日收货出货登记!W131&gt;0,每日收货出货登记!W131,"")</f>
        <v/>
      </c>
      <c r="H131" s="10">
        <f>IF(每日收货出货登记!W131&gt;0,每日收货出货登记!R131,"")</f>
        <v/>
      </c>
      <c r="I131" s="9">
        <f>IF(每日收货出货登记!W131&gt;0,每日收货出货登记!S131,"")</f>
        <v/>
      </c>
      <c r="J131" s="9">
        <f>IF(每日收货出货登记!W131&gt;0,每日收货出货登记!AB131,"")</f>
        <v/>
      </c>
    </row>
    <row r="132" ht="22" customHeight="1">
      <c r="A132" s="9">
        <f>IF(每日收货出货登记!W132&gt;0,每日收货出货登记!A132,"")</f>
        <v/>
      </c>
      <c r="B132" s="10">
        <f>IF(每日收货出货登记!W132&gt;0,每日收货出货登记!D132,"")</f>
        <v/>
      </c>
      <c r="C132" s="10">
        <f>IF(每日收货出货登记!W132&gt;0,每日收货出货登记!G132,"")</f>
        <v/>
      </c>
      <c r="D132" s="10">
        <f>IF(每日收货出货登记!W132&gt;0,每日收货出货登记!E132,"")</f>
        <v/>
      </c>
      <c r="E132" s="10">
        <f>IF(每日收货出货登记!W132&gt;0,每日收货出货登记!Q132,"")</f>
        <v/>
      </c>
      <c r="F132" s="10">
        <f>IF(每日收货出货登记!W132&gt;0,每日收货出货登记!V132,"")</f>
        <v/>
      </c>
      <c r="G132" s="10">
        <f>IF(每日收货出货登记!W132&gt;0,每日收货出货登记!W132,"")</f>
        <v/>
      </c>
      <c r="H132" s="10">
        <f>IF(每日收货出货登记!W132&gt;0,每日收货出货登记!R132,"")</f>
        <v/>
      </c>
      <c r="I132" s="9">
        <f>IF(每日收货出货登记!W132&gt;0,每日收货出货登记!S132,"")</f>
        <v/>
      </c>
      <c r="J132" s="9">
        <f>IF(每日收货出货登记!W132&gt;0,每日收货出货登记!AB132,"")</f>
        <v/>
      </c>
    </row>
    <row r="133" ht="22" customHeight="1">
      <c r="A133" s="9">
        <f>IF(每日收货出货登记!W133&gt;0,每日收货出货登记!A133,"")</f>
        <v/>
      </c>
      <c r="B133" s="10">
        <f>IF(每日收货出货登记!W133&gt;0,每日收货出货登记!D133,"")</f>
        <v/>
      </c>
      <c r="C133" s="10">
        <f>IF(每日收货出货登记!W133&gt;0,每日收货出货登记!G133,"")</f>
        <v/>
      </c>
      <c r="D133" s="10">
        <f>IF(每日收货出货登记!W133&gt;0,每日收货出货登记!E133,"")</f>
        <v/>
      </c>
      <c r="E133" s="10">
        <f>IF(每日收货出货登记!W133&gt;0,每日收货出货登记!Q133,"")</f>
        <v/>
      </c>
      <c r="F133" s="10">
        <f>IF(每日收货出货登记!W133&gt;0,每日收货出货登记!V133,"")</f>
        <v/>
      </c>
      <c r="G133" s="10">
        <f>IF(每日收货出货登记!W133&gt;0,每日收货出货登记!W133,"")</f>
        <v/>
      </c>
      <c r="H133" s="10">
        <f>IF(每日收货出货登记!W133&gt;0,每日收货出货登记!R133,"")</f>
        <v/>
      </c>
      <c r="I133" s="9">
        <f>IF(每日收货出货登记!W133&gt;0,每日收货出货登记!S133,"")</f>
        <v/>
      </c>
      <c r="J133" s="9">
        <f>IF(每日收货出货登记!W133&gt;0,每日收货出货登记!AB133,"")</f>
        <v/>
      </c>
    </row>
    <row r="134" ht="22" customHeight="1">
      <c r="A134" s="9">
        <f>IF(每日收货出货登记!W134&gt;0,每日收货出货登记!A134,"")</f>
        <v/>
      </c>
      <c r="B134" s="10">
        <f>IF(每日收货出货登记!W134&gt;0,每日收货出货登记!D134,"")</f>
        <v/>
      </c>
      <c r="C134" s="10">
        <f>IF(每日收货出货登记!W134&gt;0,每日收货出货登记!G134,"")</f>
        <v/>
      </c>
      <c r="D134" s="10">
        <f>IF(每日收货出货登记!W134&gt;0,每日收货出货登记!E134,"")</f>
        <v/>
      </c>
      <c r="E134" s="10">
        <f>IF(每日收货出货登记!W134&gt;0,每日收货出货登记!Q134,"")</f>
        <v/>
      </c>
      <c r="F134" s="10">
        <f>IF(每日收货出货登记!W134&gt;0,每日收货出货登记!V134,"")</f>
        <v/>
      </c>
      <c r="G134" s="10">
        <f>IF(每日收货出货登记!W134&gt;0,每日收货出货登记!W134,"")</f>
        <v/>
      </c>
      <c r="H134" s="10">
        <f>IF(每日收货出货登记!W134&gt;0,每日收货出货登记!R134,"")</f>
        <v/>
      </c>
      <c r="I134" s="9">
        <f>IF(每日收货出货登记!W134&gt;0,每日收货出货登记!S134,"")</f>
        <v/>
      </c>
      <c r="J134" s="9">
        <f>IF(每日收货出货登记!W134&gt;0,每日收货出货登记!AB134,"")</f>
        <v/>
      </c>
    </row>
    <row r="135" ht="22" customHeight="1">
      <c r="A135" s="9">
        <f>IF(每日收货出货登记!W135&gt;0,每日收货出货登记!A135,"")</f>
        <v/>
      </c>
      <c r="B135" s="10">
        <f>IF(每日收货出货登记!W135&gt;0,每日收货出货登记!D135,"")</f>
        <v/>
      </c>
      <c r="C135" s="10">
        <f>IF(每日收货出货登记!W135&gt;0,每日收货出货登记!G135,"")</f>
        <v/>
      </c>
      <c r="D135" s="10">
        <f>IF(每日收货出货登记!W135&gt;0,每日收货出货登记!E135,"")</f>
        <v/>
      </c>
      <c r="E135" s="10">
        <f>IF(每日收货出货登记!W135&gt;0,每日收货出货登记!Q135,"")</f>
        <v/>
      </c>
      <c r="F135" s="10">
        <f>IF(每日收货出货登记!W135&gt;0,每日收货出货登记!V135,"")</f>
        <v/>
      </c>
      <c r="G135" s="10">
        <f>IF(每日收货出货登记!W135&gt;0,每日收货出货登记!W135,"")</f>
        <v/>
      </c>
      <c r="H135" s="10">
        <f>IF(每日收货出货登记!W135&gt;0,每日收货出货登记!R135,"")</f>
        <v/>
      </c>
      <c r="I135" s="9">
        <f>IF(每日收货出货登记!W135&gt;0,每日收货出货登记!S135,"")</f>
        <v/>
      </c>
      <c r="J135" s="9">
        <f>IF(每日收货出货登记!W135&gt;0,每日收货出货登记!AB135,"")</f>
        <v/>
      </c>
    </row>
    <row r="136" ht="22" customHeight="1">
      <c r="A136" s="9">
        <f>IF(每日收货出货登记!W136&gt;0,每日收货出货登记!A136,"")</f>
        <v/>
      </c>
      <c r="B136" s="10">
        <f>IF(每日收货出货登记!W136&gt;0,每日收货出货登记!D136,"")</f>
        <v/>
      </c>
      <c r="C136" s="10">
        <f>IF(每日收货出货登记!W136&gt;0,每日收货出货登记!G136,"")</f>
        <v/>
      </c>
      <c r="D136" s="10">
        <f>IF(每日收货出货登记!W136&gt;0,每日收货出货登记!E136,"")</f>
        <v/>
      </c>
      <c r="E136" s="10">
        <f>IF(每日收货出货登记!W136&gt;0,每日收货出货登记!Q136,"")</f>
        <v/>
      </c>
      <c r="F136" s="10">
        <f>IF(每日收货出货登记!W136&gt;0,每日收货出货登记!V136,"")</f>
        <v/>
      </c>
      <c r="G136" s="10">
        <f>IF(每日收货出货登记!W136&gt;0,每日收货出货登记!W136,"")</f>
        <v/>
      </c>
      <c r="H136" s="10">
        <f>IF(每日收货出货登记!W136&gt;0,每日收货出货登记!R136,"")</f>
        <v/>
      </c>
      <c r="I136" s="9">
        <f>IF(每日收货出货登记!W136&gt;0,每日收货出货登记!S136,"")</f>
        <v/>
      </c>
      <c r="J136" s="9">
        <f>IF(每日收货出货登记!W136&gt;0,每日收货出货登记!AB136,"")</f>
        <v/>
      </c>
    </row>
    <row r="137" ht="22" customHeight="1">
      <c r="A137" s="9">
        <f>IF(每日收货出货登记!W137&gt;0,每日收货出货登记!A137,"")</f>
        <v/>
      </c>
      <c r="B137" s="10">
        <f>IF(每日收货出货登记!W137&gt;0,每日收货出货登记!D137,"")</f>
        <v/>
      </c>
      <c r="C137" s="10">
        <f>IF(每日收货出货登记!W137&gt;0,每日收货出货登记!G137,"")</f>
        <v/>
      </c>
      <c r="D137" s="10">
        <f>IF(每日收货出货登记!W137&gt;0,每日收货出货登记!E137,"")</f>
        <v/>
      </c>
      <c r="E137" s="10">
        <f>IF(每日收货出货登记!W137&gt;0,每日收货出货登记!Q137,"")</f>
        <v/>
      </c>
      <c r="F137" s="10">
        <f>IF(每日收货出货登记!W137&gt;0,每日收货出货登记!V137,"")</f>
        <v/>
      </c>
      <c r="G137" s="10">
        <f>IF(每日收货出货登记!W137&gt;0,每日收货出货登记!W137,"")</f>
        <v/>
      </c>
      <c r="H137" s="10">
        <f>IF(每日收货出货登记!W137&gt;0,每日收货出货登记!R137,"")</f>
        <v/>
      </c>
      <c r="I137" s="9">
        <f>IF(每日收货出货登记!W137&gt;0,每日收货出货登记!S137,"")</f>
        <v/>
      </c>
      <c r="J137" s="9">
        <f>IF(每日收货出货登记!W137&gt;0,每日收货出货登记!AB137,"")</f>
        <v/>
      </c>
    </row>
    <row r="138" ht="22" customHeight="1">
      <c r="A138" s="9">
        <f>IF(每日收货出货登记!W138&gt;0,每日收货出货登记!A138,"")</f>
        <v/>
      </c>
      <c r="B138" s="10">
        <f>IF(每日收货出货登记!W138&gt;0,每日收货出货登记!D138,"")</f>
        <v/>
      </c>
      <c r="C138" s="10">
        <f>IF(每日收货出货登记!W138&gt;0,每日收货出货登记!G138,"")</f>
        <v/>
      </c>
      <c r="D138" s="10">
        <f>IF(每日收货出货登记!W138&gt;0,每日收货出货登记!E138,"")</f>
        <v/>
      </c>
      <c r="E138" s="10">
        <f>IF(每日收货出货登记!W138&gt;0,每日收货出货登记!Q138,"")</f>
        <v/>
      </c>
      <c r="F138" s="10">
        <f>IF(每日收货出货登记!W138&gt;0,每日收货出货登记!V138,"")</f>
        <v/>
      </c>
      <c r="G138" s="10">
        <f>IF(每日收货出货登记!W138&gt;0,每日收货出货登记!W138,"")</f>
        <v/>
      </c>
      <c r="H138" s="10">
        <f>IF(每日收货出货登记!W138&gt;0,每日收货出货登记!R138,"")</f>
        <v/>
      </c>
      <c r="I138" s="9">
        <f>IF(每日收货出货登记!W138&gt;0,每日收货出货登记!S138,"")</f>
        <v/>
      </c>
      <c r="J138" s="9">
        <f>IF(每日收货出货登记!W138&gt;0,每日收货出货登记!AB138,"")</f>
        <v/>
      </c>
    </row>
    <row r="139" ht="22" customHeight="1">
      <c r="A139" s="9">
        <f>IF(每日收货出货登记!W139&gt;0,每日收货出货登记!A139,"")</f>
        <v/>
      </c>
      <c r="B139" s="10">
        <f>IF(每日收货出货登记!W139&gt;0,每日收货出货登记!D139,"")</f>
        <v/>
      </c>
      <c r="C139" s="10">
        <f>IF(每日收货出货登记!W139&gt;0,每日收货出货登记!G139,"")</f>
        <v/>
      </c>
      <c r="D139" s="10">
        <f>IF(每日收货出货登记!W139&gt;0,每日收货出货登记!E139,"")</f>
        <v/>
      </c>
      <c r="E139" s="10">
        <f>IF(每日收货出货登记!W139&gt;0,每日收货出货登记!Q139,"")</f>
        <v/>
      </c>
      <c r="F139" s="10">
        <f>IF(每日收货出货登记!W139&gt;0,每日收货出货登记!V139,"")</f>
        <v/>
      </c>
      <c r="G139" s="10">
        <f>IF(每日收货出货登记!W139&gt;0,每日收货出货登记!W139,"")</f>
        <v/>
      </c>
      <c r="H139" s="10">
        <f>IF(每日收货出货登记!W139&gt;0,每日收货出货登记!R139,"")</f>
        <v/>
      </c>
      <c r="I139" s="9">
        <f>IF(每日收货出货登记!W139&gt;0,每日收货出货登记!S139,"")</f>
        <v/>
      </c>
      <c r="J139" s="9">
        <f>IF(每日收货出货登记!W139&gt;0,每日收货出货登记!AB139,"")</f>
        <v/>
      </c>
    </row>
    <row r="140" ht="22" customHeight="1">
      <c r="A140" s="9">
        <f>IF(每日收货出货登记!W140&gt;0,每日收货出货登记!A140,"")</f>
        <v/>
      </c>
      <c r="B140" s="10">
        <f>IF(每日收货出货登记!W140&gt;0,每日收货出货登记!D140,"")</f>
        <v/>
      </c>
      <c r="C140" s="10">
        <f>IF(每日收货出货登记!W140&gt;0,每日收货出货登记!G140,"")</f>
        <v/>
      </c>
      <c r="D140" s="10">
        <f>IF(每日收货出货登记!W140&gt;0,每日收货出货登记!E140,"")</f>
        <v/>
      </c>
      <c r="E140" s="10">
        <f>IF(每日收货出货登记!W140&gt;0,每日收货出货登记!Q140,"")</f>
        <v/>
      </c>
      <c r="F140" s="10">
        <f>IF(每日收货出货登记!W140&gt;0,每日收货出货登记!V140,"")</f>
        <v/>
      </c>
      <c r="G140" s="10">
        <f>IF(每日收货出货登记!W140&gt;0,每日收货出货登记!W140,"")</f>
        <v/>
      </c>
      <c r="H140" s="10">
        <f>IF(每日收货出货登记!W140&gt;0,每日收货出货登记!R140,"")</f>
        <v/>
      </c>
      <c r="I140" s="9">
        <f>IF(每日收货出货登记!W140&gt;0,每日收货出货登记!S140,"")</f>
        <v/>
      </c>
      <c r="J140" s="9">
        <f>IF(每日收货出货登记!W140&gt;0,每日收货出货登记!AB140,"")</f>
        <v/>
      </c>
    </row>
    <row r="141" ht="22" customHeight="1">
      <c r="A141" s="9">
        <f>IF(每日收货出货登记!W141&gt;0,每日收货出货登记!A141,"")</f>
        <v/>
      </c>
      <c r="B141" s="10">
        <f>IF(每日收货出货登记!W141&gt;0,每日收货出货登记!D141,"")</f>
        <v/>
      </c>
      <c r="C141" s="10">
        <f>IF(每日收货出货登记!W141&gt;0,每日收货出货登记!G141,"")</f>
        <v/>
      </c>
      <c r="D141" s="10">
        <f>IF(每日收货出货登记!W141&gt;0,每日收货出货登记!E141,"")</f>
        <v/>
      </c>
      <c r="E141" s="10">
        <f>IF(每日收货出货登记!W141&gt;0,每日收货出货登记!Q141,"")</f>
        <v/>
      </c>
      <c r="F141" s="10">
        <f>IF(每日收货出货登记!W141&gt;0,每日收货出货登记!V141,"")</f>
        <v/>
      </c>
      <c r="G141" s="10">
        <f>IF(每日收货出货登记!W141&gt;0,每日收货出货登记!W141,"")</f>
        <v/>
      </c>
      <c r="H141" s="10">
        <f>IF(每日收货出货登记!W141&gt;0,每日收货出货登记!R141,"")</f>
        <v/>
      </c>
      <c r="I141" s="9">
        <f>IF(每日收货出货登记!W141&gt;0,每日收货出货登记!S141,"")</f>
        <v/>
      </c>
      <c r="J141" s="9">
        <f>IF(每日收货出货登记!W141&gt;0,每日收货出货登记!AB141,"")</f>
        <v/>
      </c>
    </row>
    <row r="142" ht="22" customHeight="1">
      <c r="A142" s="9">
        <f>IF(每日收货出货登记!W142&gt;0,每日收货出货登记!A142,"")</f>
        <v/>
      </c>
      <c r="B142" s="10">
        <f>IF(每日收货出货登记!W142&gt;0,每日收货出货登记!D142,"")</f>
        <v/>
      </c>
      <c r="C142" s="10">
        <f>IF(每日收货出货登记!W142&gt;0,每日收货出货登记!G142,"")</f>
        <v/>
      </c>
      <c r="D142" s="10">
        <f>IF(每日收货出货登记!W142&gt;0,每日收货出货登记!E142,"")</f>
        <v/>
      </c>
      <c r="E142" s="10">
        <f>IF(每日收货出货登记!W142&gt;0,每日收货出货登记!Q142,"")</f>
        <v/>
      </c>
      <c r="F142" s="10">
        <f>IF(每日收货出货登记!W142&gt;0,每日收货出货登记!V142,"")</f>
        <v/>
      </c>
      <c r="G142" s="10">
        <f>IF(每日收货出货登记!W142&gt;0,每日收货出货登记!W142,"")</f>
        <v/>
      </c>
      <c r="H142" s="10">
        <f>IF(每日收货出货登记!W142&gt;0,每日收货出货登记!R142,"")</f>
        <v/>
      </c>
      <c r="I142" s="9">
        <f>IF(每日收货出货登记!W142&gt;0,每日收货出货登记!S142,"")</f>
        <v/>
      </c>
      <c r="J142" s="9">
        <f>IF(每日收货出货登记!W142&gt;0,每日收货出货登记!AB142,"")</f>
        <v/>
      </c>
    </row>
    <row r="143" ht="22" customHeight="1">
      <c r="A143" s="9">
        <f>IF(每日收货出货登记!W143&gt;0,每日收货出货登记!A143,"")</f>
        <v/>
      </c>
      <c r="B143" s="10">
        <f>IF(每日收货出货登记!W143&gt;0,每日收货出货登记!D143,"")</f>
        <v/>
      </c>
      <c r="C143" s="10">
        <f>IF(每日收货出货登记!W143&gt;0,每日收货出货登记!G143,"")</f>
        <v/>
      </c>
      <c r="D143" s="10">
        <f>IF(每日收货出货登记!W143&gt;0,每日收货出货登记!E143,"")</f>
        <v/>
      </c>
      <c r="E143" s="10">
        <f>IF(每日收货出货登记!W143&gt;0,每日收货出货登记!Q143,"")</f>
        <v/>
      </c>
      <c r="F143" s="10">
        <f>IF(每日收货出货登记!W143&gt;0,每日收货出货登记!V143,"")</f>
        <v/>
      </c>
      <c r="G143" s="10">
        <f>IF(每日收货出货登记!W143&gt;0,每日收货出货登记!W143,"")</f>
        <v/>
      </c>
      <c r="H143" s="10">
        <f>IF(每日收货出货登记!W143&gt;0,每日收货出货登记!R143,"")</f>
        <v/>
      </c>
      <c r="I143" s="9">
        <f>IF(每日收货出货登记!W143&gt;0,每日收货出货登记!S143,"")</f>
        <v/>
      </c>
      <c r="J143" s="9">
        <f>IF(每日收货出货登记!W143&gt;0,每日收货出货登记!AB143,"")</f>
        <v/>
      </c>
    </row>
    <row r="144" ht="22" customHeight="1">
      <c r="A144" s="9">
        <f>IF(每日收货出货登记!W144&gt;0,每日收货出货登记!A144,"")</f>
        <v/>
      </c>
      <c r="B144" s="10">
        <f>IF(每日收货出货登记!W144&gt;0,每日收货出货登记!D144,"")</f>
        <v/>
      </c>
      <c r="C144" s="10">
        <f>IF(每日收货出货登记!W144&gt;0,每日收货出货登记!G144,"")</f>
        <v/>
      </c>
      <c r="D144" s="10">
        <f>IF(每日收货出货登记!W144&gt;0,每日收货出货登记!E144,"")</f>
        <v/>
      </c>
      <c r="E144" s="10">
        <f>IF(每日收货出货登记!W144&gt;0,每日收货出货登记!Q144,"")</f>
        <v/>
      </c>
      <c r="F144" s="10">
        <f>IF(每日收货出货登记!W144&gt;0,每日收货出货登记!V144,"")</f>
        <v/>
      </c>
      <c r="G144" s="10">
        <f>IF(每日收货出货登记!W144&gt;0,每日收货出货登记!W144,"")</f>
        <v/>
      </c>
      <c r="H144" s="10">
        <f>IF(每日收货出货登记!W144&gt;0,每日收货出货登记!R144,"")</f>
        <v/>
      </c>
      <c r="I144" s="9">
        <f>IF(每日收货出货登记!W144&gt;0,每日收货出货登记!S144,"")</f>
        <v/>
      </c>
      <c r="J144" s="9">
        <f>IF(每日收货出货登记!W144&gt;0,每日收货出货登记!AB144,"")</f>
        <v/>
      </c>
    </row>
    <row r="145" ht="22" customHeight="1">
      <c r="A145" s="9">
        <f>IF(每日收货出货登记!W145&gt;0,每日收货出货登记!A145,"")</f>
        <v/>
      </c>
      <c r="B145" s="10">
        <f>IF(每日收货出货登记!W145&gt;0,每日收货出货登记!D145,"")</f>
        <v/>
      </c>
      <c r="C145" s="10">
        <f>IF(每日收货出货登记!W145&gt;0,每日收货出货登记!G145,"")</f>
        <v/>
      </c>
      <c r="D145" s="10">
        <f>IF(每日收货出货登记!W145&gt;0,每日收货出货登记!E145,"")</f>
        <v/>
      </c>
      <c r="E145" s="10">
        <f>IF(每日收货出货登记!W145&gt;0,每日收货出货登记!Q145,"")</f>
        <v/>
      </c>
      <c r="F145" s="10">
        <f>IF(每日收货出货登记!W145&gt;0,每日收货出货登记!V145,"")</f>
        <v/>
      </c>
      <c r="G145" s="10">
        <f>IF(每日收货出货登记!W145&gt;0,每日收货出货登记!W145,"")</f>
        <v/>
      </c>
      <c r="H145" s="10">
        <f>IF(每日收货出货登记!W145&gt;0,每日收货出货登记!R145,"")</f>
        <v/>
      </c>
      <c r="I145" s="9">
        <f>IF(每日收货出货登记!W145&gt;0,每日收货出货登记!S145,"")</f>
        <v/>
      </c>
      <c r="J145" s="9">
        <f>IF(每日收货出货登记!W145&gt;0,每日收货出货登记!AB145,"")</f>
        <v/>
      </c>
    </row>
    <row r="146" ht="22" customHeight="1">
      <c r="A146" s="9">
        <f>IF(每日收货出货登记!W146&gt;0,每日收货出货登记!A146,"")</f>
        <v/>
      </c>
      <c r="B146" s="10">
        <f>IF(每日收货出货登记!W146&gt;0,每日收货出货登记!D146,"")</f>
        <v/>
      </c>
      <c r="C146" s="10">
        <f>IF(每日收货出货登记!W146&gt;0,每日收货出货登记!G146,"")</f>
        <v/>
      </c>
      <c r="D146" s="10">
        <f>IF(每日收货出货登记!W146&gt;0,每日收货出货登记!E146,"")</f>
        <v/>
      </c>
      <c r="E146" s="10">
        <f>IF(每日收货出货登记!W146&gt;0,每日收货出货登记!Q146,"")</f>
        <v/>
      </c>
      <c r="F146" s="10">
        <f>IF(每日收货出货登记!W146&gt;0,每日收货出货登记!V146,"")</f>
        <v/>
      </c>
      <c r="G146" s="10">
        <f>IF(每日收货出货登记!W146&gt;0,每日收货出货登记!W146,"")</f>
        <v/>
      </c>
      <c r="H146" s="10">
        <f>IF(每日收货出货登记!W146&gt;0,每日收货出货登记!R146,"")</f>
        <v/>
      </c>
      <c r="I146" s="9">
        <f>IF(每日收货出货登记!W146&gt;0,每日收货出货登记!S146,"")</f>
        <v/>
      </c>
      <c r="J146" s="9">
        <f>IF(每日收货出货登记!W146&gt;0,每日收货出货登记!AB146,"")</f>
        <v/>
      </c>
    </row>
    <row r="147" ht="22" customHeight="1">
      <c r="A147" s="9">
        <f>IF(每日收货出货登记!W147&gt;0,每日收货出货登记!A147,"")</f>
        <v/>
      </c>
      <c r="B147" s="10">
        <f>IF(每日收货出货登记!W147&gt;0,每日收货出货登记!D147,"")</f>
        <v/>
      </c>
      <c r="C147" s="10">
        <f>IF(每日收货出货登记!W147&gt;0,每日收货出货登记!G147,"")</f>
        <v/>
      </c>
      <c r="D147" s="10">
        <f>IF(每日收货出货登记!W147&gt;0,每日收货出货登记!E147,"")</f>
        <v/>
      </c>
      <c r="E147" s="10">
        <f>IF(每日收货出货登记!W147&gt;0,每日收货出货登记!Q147,"")</f>
        <v/>
      </c>
      <c r="F147" s="10">
        <f>IF(每日收货出货登记!W147&gt;0,每日收货出货登记!V147,"")</f>
        <v/>
      </c>
      <c r="G147" s="10">
        <f>IF(每日收货出货登记!W147&gt;0,每日收货出货登记!W147,"")</f>
        <v/>
      </c>
      <c r="H147" s="10">
        <f>IF(每日收货出货登记!W147&gt;0,每日收货出货登记!R147,"")</f>
        <v/>
      </c>
      <c r="I147" s="9">
        <f>IF(每日收货出货登记!W147&gt;0,每日收货出货登记!S147,"")</f>
        <v/>
      </c>
      <c r="J147" s="9">
        <f>IF(每日收货出货登记!W147&gt;0,每日收货出货登记!AB147,"")</f>
        <v/>
      </c>
    </row>
    <row r="148" ht="22" customHeight="1">
      <c r="A148" s="9">
        <f>IF(每日收货出货登记!W148&gt;0,每日收货出货登记!A148,"")</f>
        <v/>
      </c>
      <c r="B148" s="10">
        <f>IF(每日收货出货登记!W148&gt;0,每日收货出货登记!D148,"")</f>
        <v/>
      </c>
      <c r="C148" s="10">
        <f>IF(每日收货出货登记!W148&gt;0,每日收货出货登记!G148,"")</f>
        <v/>
      </c>
      <c r="D148" s="10">
        <f>IF(每日收货出货登记!W148&gt;0,每日收货出货登记!E148,"")</f>
        <v/>
      </c>
      <c r="E148" s="10">
        <f>IF(每日收货出货登记!W148&gt;0,每日收货出货登记!Q148,"")</f>
        <v/>
      </c>
      <c r="F148" s="10">
        <f>IF(每日收货出货登记!W148&gt;0,每日收货出货登记!V148,"")</f>
        <v/>
      </c>
      <c r="G148" s="10">
        <f>IF(每日收货出货登记!W148&gt;0,每日收货出货登记!W148,"")</f>
        <v/>
      </c>
      <c r="H148" s="10">
        <f>IF(每日收货出货登记!W148&gt;0,每日收货出货登记!R148,"")</f>
        <v/>
      </c>
      <c r="I148" s="9">
        <f>IF(每日收货出货登记!W148&gt;0,每日收货出货登记!S148,"")</f>
        <v/>
      </c>
      <c r="J148" s="9">
        <f>IF(每日收货出货登记!W148&gt;0,每日收货出货登记!AB148,"")</f>
        <v/>
      </c>
    </row>
    <row r="149" ht="22" customHeight="1">
      <c r="A149" s="9">
        <f>IF(每日收货出货登记!W149&gt;0,每日收货出货登记!A149,"")</f>
        <v/>
      </c>
      <c r="B149" s="10">
        <f>IF(每日收货出货登记!W149&gt;0,每日收货出货登记!D149,"")</f>
        <v/>
      </c>
      <c r="C149" s="10">
        <f>IF(每日收货出货登记!W149&gt;0,每日收货出货登记!G149,"")</f>
        <v/>
      </c>
      <c r="D149" s="10">
        <f>IF(每日收货出货登记!W149&gt;0,每日收货出货登记!E149,"")</f>
        <v/>
      </c>
      <c r="E149" s="10">
        <f>IF(每日收货出货登记!W149&gt;0,每日收货出货登记!Q149,"")</f>
        <v/>
      </c>
      <c r="F149" s="10">
        <f>IF(每日收货出货登记!W149&gt;0,每日收货出货登记!V149,"")</f>
        <v/>
      </c>
      <c r="G149" s="10">
        <f>IF(每日收货出货登记!W149&gt;0,每日收货出货登记!W149,"")</f>
        <v/>
      </c>
      <c r="H149" s="10">
        <f>IF(每日收货出货登记!W149&gt;0,每日收货出货登记!R149,"")</f>
        <v/>
      </c>
      <c r="I149" s="9">
        <f>IF(每日收货出货登记!W149&gt;0,每日收货出货登记!S149,"")</f>
        <v/>
      </c>
      <c r="J149" s="9">
        <f>IF(每日收货出货登记!W149&gt;0,每日收货出货登记!AB149,"")</f>
        <v/>
      </c>
    </row>
    <row r="150" ht="22" customHeight="1">
      <c r="A150" s="9">
        <f>IF(每日收货出货登记!W150&gt;0,每日收货出货登记!A150,"")</f>
        <v/>
      </c>
      <c r="B150" s="10">
        <f>IF(每日收货出货登记!W150&gt;0,每日收货出货登记!D150,"")</f>
        <v/>
      </c>
      <c r="C150" s="10">
        <f>IF(每日收货出货登记!W150&gt;0,每日收货出货登记!G150,"")</f>
        <v/>
      </c>
      <c r="D150" s="10">
        <f>IF(每日收货出货登记!W150&gt;0,每日收货出货登记!E150,"")</f>
        <v/>
      </c>
      <c r="E150" s="10">
        <f>IF(每日收货出货登记!W150&gt;0,每日收货出货登记!Q150,"")</f>
        <v/>
      </c>
      <c r="F150" s="10">
        <f>IF(每日收货出货登记!W150&gt;0,每日收货出货登记!V150,"")</f>
        <v/>
      </c>
      <c r="G150" s="10">
        <f>IF(每日收货出货登记!W150&gt;0,每日收货出货登记!W150,"")</f>
        <v/>
      </c>
      <c r="H150" s="10">
        <f>IF(每日收货出货登记!W150&gt;0,每日收货出货登记!R150,"")</f>
        <v/>
      </c>
      <c r="I150" s="9">
        <f>IF(每日收货出货登记!W150&gt;0,每日收货出货登记!S150,"")</f>
        <v/>
      </c>
      <c r="J150" s="9">
        <f>IF(每日收货出货登记!W150&gt;0,每日收货出货登记!AB150,"")</f>
        <v/>
      </c>
    </row>
    <row r="151" ht="22" customHeight="1">
      <c r="A151" s="9">
        <f>IF(每日收货出货登记!W151&gt;0,每日收货出货登记!A151,"")</f>
        <v/>
      </c>
      <c r="B151" s="10">
        <f>IF(每日收货出货登记!W151&gt;0,每日收货出货登记!D151,"")</f>
        <v/>
      </c>
      <c r="C151" s="10">
        <f>IF(每日收货出货登记!W151&gt;0,每日收货出货登记!G151,"")</f>
        <v/>
      </c>
      <c r="D151" s="10">
        <f>IF(每日收货出货登记!W151&gt;0,每日收货出货登记!E151,"")</f>
        <v/>
      </c>
      <c r="E151" s="10">
        <f>IF(每日收货出货登记!W151&gt;0,每日收货出货登记!Q151,"")</f>
        <v/>
      </c>
      <c r="F151" s="10">
        <f>IF(每日收货出货登记!W151&gt;0,每日收货出货登记!V151,"")</f>
        <v/>
      </c>
      <c r="G151" s="10">
        <f>IF(每日收货出货登记!W151&gt;0,每日收货出货登记!W151,"")</f>
        <v/>
      </c>
      <c r="H151" s="10">
        <f>IF(每日收货出货登记!W151&gt;0,每日收货出货登记!R151,"")</f>
        <v/>
      </c>
      <c r="I151" s="9">
        <f>IF(每日收货出货登记!W151&gt;0,每日收货出货登记!S151,"")</f>
        <v/>
      </c>
      <c r="J151" s="9">
        <f>IF(每日收货出货登记!W151&gt;0,每日收货出货登记!AB151,"")</f>
        <v/>
      </c>
    </row>
    <row r="152" ht="22" customHeight="1">
      <c r="A152" s="9">
        <f>IF(每日收货出货登记!W152&gt;0,每日收货出货登记!A152,"")</f>
        <v/>
      </c>
      <c r="B152" s="10">
        <f>IF(每日收货出货登记!W152&gt;0,每日收货出货登记!D152,"")</f>
        <v/>
      </c>
      <c r="C152" s="10">
        <f>IF(每日收货出货登记!W152&gt;0,每日收货出货登记!G152,"")</f>
        <v/>
      </c>
      <c r="D152" s="10">
        <f>IF(每日收货出货登记!W152&gt;0,每日收货出货登记!E152,"")</f>
        <v/>
      </c>
      <c r="E152" s="10">
        <f>IF(每日收货出货登记!W152&gt;0,每日收货出货登记!Q152,"")</f>
        <v/>
      </c>
      <c r="F152" s="10">
        <f>IF(每日收货出货登记!W152&gt;0,每日收货出货登记!V152,"")</f>
        <v/>
      </c>
      <c r="G152" s="10">
        <f>IF(每日收货出货登记!W152&gt;0,每日收货出货登记!W152,"")</f>
        <v/>
      </c>
      <c r="H152" s="10">
        <f>IF(每日收货出货登记!W152&gt;0,每日收货出货登记!R152,"")</f>
        <v/>
      </c>
      <c r="I152" s="9">
        <f>IF(每日收货出货登记!W152&gt;0,每日收货出货登记!S152,"")</f>
        <v/>
      </c>
      <c r="J152" s="9">
        <f>IF(每日收货出货登记!W152&gt;0,每日收货出货登记!AB152,"")</f>
        <v/>
      </c>
    </row>
    <row r="153" ht="22" customHeight="1">
      <c r="A153" s="9">
        <f>IF(每日收货出货登记!W153&gt;0,每日收货出货登记!A153,"")</f>
        <v/>
      </c>
      <c r="B153" s="10">
        <f>IF(每日收货出货登记!W153&gt;0,每日收货出货登记!D153,"")</f>
        <v/>
      </c>
      <c r="C153" s="10">
        <f>IF(每日收货出货登记!W153&gt;0,每日收货出货登记!G153,"")</f>
        <v/>
      </c>
      <c r="D153" s="10">
        <f>IF(每日收货出货登记!W153&gt;0,每日收货出货登记!E153,"")</f>
        <v/>
      </c>
      <c r="E153" s="10">
        <f>IF(每日收货出货登记!W153&gt;0,每日收货出货登记!Q153,"")</f>
        <v/>
      </c>
      <c r="F153" s="10">
        <f>IF(每日收货出货登记!W153&gt;0,每日收货出货登记!V153,"")</f>
        <v/>
      </c>
      <c r="G153" s="10">
        <f>IF(每日收货出货登记!W153&gt;0,每日收货出货登记!W153,"")</f>
        <v/>
      </c>
      <c r="H153" s="10">
        <f>IF(每日收货出货登记!W153&gt;0,每日收货出货登记!R153,"")</f>
        <v/>
      </c>
      <c r="I153" s="9">
        <f>IF(每日收货出货登记!W153&gt;0,每日收货出货登记!S153,"")</f>
        <v/>
      </c>
      <c r="J153" s="9">
        <f>IF(每日收货出货登记!W153&gt;0,每日收货出货登记!AB153,"")</f>
        <v/>
      </c>
    </row>
    <row r="154" ht="22" customHeight="1">
      <c r="A154" s="9">
        <f>IF(每日收货出货登记!W154&gt;0,每日收货出货登记!A154,"")</f>
        <v/>
      </c>
      <c r="B154" s="10">
        <f>IF(每日收货出货登记!W154&gt;0,每日收货出货登记!D154,"")</f>
        <v/>
      </c>
      <c r="C154" s="10">
        <f>IF(每日收货出货登记!W154&gt;0,每日收货出货登记!G154,"")</f>
        <v/>
      </c>
      <c r="D154" s="10">
        <f>IF(每日收货出货登记!W154&gt;0,每日收货出货登记!E154,"")</f>
        <v/>
      </c>
      <c r="E154" s="10">
        <f>IF(每日收货出货登记!W154&gt;0,每日收货出货登记!Q154,"")</f>
        <v/>
      </c>
      <c r="F154" s="10">
        <f>IF(每日收货出货登记!W154&gt;0,每日收货出货登记!V154,"")</f>
        <v/>
      </c>
      <c r="G154" s="10">
        <f>IF(每日收货出货登记!W154&gt;0,每日收货出货登记!W154,"")</f>
        <v/>
      </c>
      <c r="H154" s="10">
        <f>IF(每日收货出货登记!W154&gt;0,每日收货出货登记!R154,"")</f>
        <v/>
      </c>
      <c r="I154" s="9">
        <f>IF(每日收货出货登记!W154&gt;0,每日收货出货登记!S154,"")</f>
        <v/>
      </c>
      <c r="J154" s="9">
        <f>IF(每日收货出货登记!W154&gt;0,每日收货出货登记!AB154,"")</f>
        <v/>
      </c>
    </row>
    <row r="155" ht="22" customHeight="1">
      <c r="A155" s="9">
        <f>IF(每日收货出货登记!W155&gt;0,每日收货出货登记!A155,"")</f>
        <v/>
      </c>
      <c r="B155" s="10">
        <f>IF(每日收货出货登记!W155&gt;0,每日收货出货登记!D155,"")</f>
        <v/>
      </c>
      <c r="C155" s="10">
        <f>IF(每日收货出货登记!W155&gt;0,每日收货出货登记!G155,"")</f>
        <v/>
      </c>
      <c r="D155" s="10">
        <f>IF(每日收货出货登记!W155&gt;0,每日收货出货登记!E155,"")</f>
        <v/>
      </c>
      <c r="E155" s="10">
        <f>IF(每日收货出货登记!W155&gt;0,每日收货出货登记!Q155,"")</f>
        <v/>
      </c>
      <c r="F155" s="10">
        <f>IF(每日收货出货登记!W155&gt;0,每日收货出货登记!V155,"")</f>
        <v/>
      </c>
      <c r="G155" s="10">
        <f>IF(每日收货出货登记!W155&gt;0,每日收货出货登记!W155,"")</f>
        <v/>
      </c>
      <c r="H155" s="10">
        <f>IF(每日收货出货登记!W155&gt;0,每日收货出货登记!R155,"")</f>
        <v/>
      </c>
      <c r="I155" s="9">
        <f>IF(每日收货出货登记!W155&gt;0,每日收货出货登记!S155,"")</f>
        <v/>
      </c>
      <c r="J155" s="9">
        <f>IF(每日收货出货登记!W155&gt;0,每日收货出货登记!AB155,"")</f>
        <v/>
      </c>
    </row>
    <row r="156" ht="22" customHeight="1">
      <c r="A156" s="9">
        <f>IF(每日收货出货登记!W156&gt;0,每日收货出货登记!A156,"")</f>
        <v/>
      </c>
      <c r="B156" s="10">
        <f>IF(每日收货出货登记!W156&gt;0,每日收货出货登记!D156,"")</f>
        <v/>
      </c>
      <c r="C156" s="10">
        <f>IF(每日收货出货登记!W156&gt;0,每日收货出货登记!G156,"")</f>
        <v/>
      </c>
      <c r="D156" s="10">
        <f>IF(每日收货出货登记!W156&gt;0,每日收货出货登记!E156,"")</f>
        <v/>
      </c>
      <c r="E156" s="10">
        <f>IF(每日收货出货登记!W156&gt;0,每日收货出货登记!Q156,"")</f>
        <v/>
      </c>
      <c r="F156" s="10">
        <f>IF(每日收货出货登记!W156&gt;0,每日收货出货登记!V156,"")</f>
        <v/>
      </c>
      <c r="G156" s="10">
        <f>IF(每日收货出货登记!W156&gt;0,每日收货出货登记!W156,"")</f>
        <v/>
      </c>
      <c r="H156" s="10">
        <f>IF(每日收货出货登记!W156&gt;0,每日收货出货登记!R156,"")</f>
        <v/>
      </c>
      <c r="I156" s="9">
        <f>IF(每日收货出货登记!W156&gt;0,每日收货出货登记!S156,"")</f>
        <v/>
      </c>
      <c r="J156" s="9">
        <f>IF(每日收货出货登记!W156&gt;0,每日收货出货登记!AB156,"")</f>
        <v/>
      </c>
    </row>
    <row r="157" ht="22" customHeight="1">
      <c r="A157" s="9">
        <f>IF(每日收货出货登记!W157&gt;0,每日收货出货登记!A157,"")</f>
        <v/>
      </c>
      <c r="B157" s="10">
        <f>IF(每日收货出货登记!W157&gt;0,每日收货出货登记!D157,"")</f>
        <v/>
      </c>
      <c r="C157" s="10">
        <f>IF(每日收货出货登记!W157&gt;0,每日收货出货登记!G157,"")</f>
        <v/>
      </c>
      <c r="D157" s="10">
        <f>IF(每日收货出货登记!W157&gt;0,每日收货出货登记!E157,"")</f>
        <v/>
      </c>
      <c r="E157" s="10">
        <f>IF(每日收货出货登记!W157&gt;0,每日收货出货登记!Q157,"")</f>
        <v/>
      </c>
      <c r="F157" s="10">
        <f>IF(每日收货出货登记!W157&gt;0,每日收货出货登记!V157,"")</f>
        <v/>
      </c>
      <c r="G157" s="10">
        <f>IF(每日收货出货登记!W157&gt;0,每日收货出货登记!W157,"")</f>
        <v/>
      </c>
      <c r="H157" s="10">
        <f>IF(每日收货出货登记!W157&gt;0,每日收货出货登记!R157,"")</f>
        <v/>
      </c>
      <c r="I157" s="9">
        <f>IF(每日收货出货登记!W157&gt;0,每日收货出货登记!S157,"")</f>
        <v/>
      </c>
      <c r="J157" s="9">
        <f>IF(每日收货出货登记!W157&gt;0,每日收货出货登记!AB157,"")</f>
        <v/>
      </c>
    </row>
    <row r="158" ht="22" customHeight="1">
      <c r="A158" s="9">
        <f>IF(每日收货出货登记!W158&gt;0,每日收货出货登记!A158,"")</f>
        <v/>
      </c>
      <c r="B158" s="10">
        <f>IF(每日收货出货登记!W158&gt;0,每日收货出货登记!D158,"")</f>
        <v/>
      </c>
      <c r="C158" s="10">
        <f>IF(每日收货出货登记!W158&gt;0,每日收货出货登记!G158,"")</f>
        <v/>
      </c>
      <c r="D158" s="10">
        <f>IF(每日收货出货登记!W158&gt;0,每日收货出货登记!E158,"")</f>
        <v/>
      </c>
      <c r="E158" s="10">
        <f>IF(每日收货出货登记!W158&gt;0,每日收货出货登记!Q158,"")</f>
        <v/>
      </c>
      <c r="F158" s="10">
        <f>IF(每日收货出货登记!W158&gt;0,每日收货出货登记!V158,"")</f>
        <v/>
      </c>
      <c r="G158" s="10">
        <f>IF(每日收货出货登记!W158&gt;0,每日收货出货登记!W158,"")</f>
        <v/>
      </c>
      <c r="H158" s="10">
        <f>IF(每日收货出货登记!W158&gt;0,每日收货出货登记!R158,"")</f>
        <v/>
      </c>
      <c r="I158" s="9">
        <f>IF(每日收货出货登记!W158&gt;0,每日收货出货登记!S158,"")</f>
        <v/>
      </c>
      <c r="J158" s="9">
        <f>IF(每日收货出货登记!W158&gt;0,每日收货出货登记!AB158,"")</f>
        <v/>
      </c>
    </row>
    <row r="159" ht="22" customHeight="1">
      <c r="A159" s="9">
        <f>IF(每日收货出货登记!W159&gt;0,每日收货出货登记!A159,"")</f>
        <v/>
      </c>
      <c r="B159" s="10">
        <f>IF(每日收货出货登记!W159&gt;0,每日收货出货登记!D159,"")</f>
        <v/>
      </c>
      <c r="C159" s="10">
        <f>IF(每日收货出货登记!W159&gt;0,每日收货出货登记!G159,"")</f>
        <v/>
      </c>
      <c r="D159" s="10">
        <f>IF(每日收货出货登记!W159&gt;0,每日收货出货登记!E159,"")</f>
        <v/>
      </c>
      <c r="E159" s="10">
        <f>IF(每日收货出货登记!W159&gt;0,每日收货出货登记!Q159,"")</f>
        <v/>
      </c>
      <c r="F159" s="10">
        <f>IF(每日收货出货登记!W159&gt;0,每日收货出货登记!V159,"")</f>
        <v/>
      </c>
      <c r="G159" s="10">
        <f>IF(每日收货出货登记!W159&gt;0,每日收货出货登记!W159,"")</f>
        <v/>
      </c>
      <c r="H159" s="10">
        <f>IF(每日收货出货登记!W159&gt;0,每日收货出货登记!R159,"")</f>
        <v/>
      </c>
      <c r="I159" s="9">
        <f>IF(每日收货出货登记!W159&gt;0,每日收货出货登记!S159,"")</f>
        <v/>
      </c>
      <c r="J159" s="9">
        <f>IF(每日收货出货登记!W159&gt;0,每日收货出货登记!AB159,"")</f>
        <v/>
      </c>
    </row>
    <row r="160" ht="22" customHeight="1">
      <c r="A160" s="9">
        <f>IF(每日收货出货登记!W160&gt;0,每日收货出货登记!A160,"")</f>
        <v/>
      </c>
      <c r="B160" s="10">
        <f>IF(每日收货出货登记!W160&gt;0,每日收货出货登记!D160,"")</f>
        <v/>
      </c>
      <c r="C160" s="10">
        <f>IF(每日收货出货登记!W160&gt;0,每日收货出货登记!G160,"")</f>
        <v/>
      </c>
      <c r="D160" s="10">
        <f>IF(每日收货出货登记!W160&gt;0,每日收货出货登记!E160,"")</f>
        <v/>
      </c>
      <c r="E160" s="10">
        <f>IF(每日收货出货登记!W160&gt;0,每日收货出货登记!Q160,"")</f>
        <v/>
      </c>
      <c r="F160" s="10">
        <f>IF(每日收货出货登记!W160&gt;0,每日收货出货登记!V160,"")</f>
        <v/>
      </c>
      <c r="G160" s="10">
        <f>IF(每日收货出货登记!W160&gt;0,每日收货出货登记!W160,"")</f>
        <v/>
      </c>
      <c r="H160" s="10">
        <f>IF(每日收货出货登记!W160&gt;0,每日收货出货登记!R160,"")</f>
        <v/>
      </c>
      <c r="I160" s="9">
        <f>IF(每日收货出货登记!W160&gt;0,每日收货出货登记!S160,"")</f>
        <v/>
      </c>
      <c r="J160" s="9">
        <f>IF(每日收货出货登记!W160&gt;0,每日收货出货登记!AB160,"")</f>
        <v/>
      </c>
    </row>
    <row r="161" ht="22" customHeight="1">
      <c r="A161" s="9">
        <f>IF(每日收货出货登记!W161&gt;0,每日收货出货登记!A161,"")</f>
        <v/>
      </c>
      <c r="B161" s="10">
        <f>IF(每日收货出货登记!W161&gt;0,每日收货出货登记!D161,"")</f>
        <v/>
      </c>
      <c r="C161" s="10">
        <f>IF(每日收货出货登记!W161&gt;0,每日收货出货登记!G161,"")</f>
        <v/>
      </c>
      <c r="D161" s="10">
        <f>IF(每日收货出货登记!W161&gt;0,每日收货出货登记!E161,"")</f>
        <v/>
      </c>
      <c r="E161" s="10">
        <f>IF(每日收货出货登记!W161&gt;0,每日收货出货登记!Q161,"")</f>
        <v/>
      </c>
      <c r="F161" s="10">
        <f>IF(每日收货出货登记!W161&gt;0,每日收货出货登记!V161,"")</f>
        <v/>
      </c>
      <c r="G161" s="10">
        <f>IF(每日收货出货登记!W161&gt;0,每日收货出货登记!W161,"")</f>
        <v/>
      </c>
      <c r="H161" s="10">
        <f>IF(每日收货出货登记!W161&gt;0,每日收货出货登记!R161,"")</f>
        <v/>
      </c>
      <c r="I161" s="9">
        <f>IF(每日收货出货登记!W161&gt;0,每日收货出货登记!S161,"")</f>
        <v/>
      </c>
      <c r="J161" s="9">
        <f>IF(每日收货出货登记!W161&gt;0,每日收货出货登记!AB161,"")</f>
        <v/>
      </c>
    </row>
    <row r="162" ht="22" customHeight="1">
      <c r="A162" s="9">
        <f>IF(每日收货出货登记!W162&gt;0,每日收货出货登记!A162,"")</f>
        <v/>
      </c>
      <c r="B162" s="10">
        <f>IF(每日收货出货登记!W162&gt;0,每日收货出货登记!D162,"")</f>
        <v/>
      </c>
      <c r="C162" s="10">
        <f>IF(每日收货出货登记!W162&gt;0,每日收货出货登记!G162,"")</f>
        <v/>
      </c>
      <c r="D162" s="10">
        <f>IF(每日收货出货登记!W162&gt;0,每日收货出货登记!E162,"")</f>
        <v/>
      </c>
      <c r="E162" s="10">
        <f>IF(每日收货出货登记!W162&gt;0,每日收货出货登记!Q162,"")</f>
        <v/>
      </c>
      <c r="F162" s="10">
        <f>IF(每日收货出货登记!W162&gt;0,每日收货出货登记!V162,"")</f>
        <v/>
      </c>
      <c r="G162" s="10">
        <f>IF(每日收货出货登记!W162&gt;0,每日收货出货登记!W162,"")</f>
        <v/>
      </c>
      <c r="H162" s="10">
        <f>IF(每日收货出货登记!W162&gt;0,每日收货出货登记!R162,"")</f>
        <v/>
      </c>
      <c r="I162" s="9">
        <f>IF(每日收货出货登记!W162&gt;0,每日收货出货登记!S162,"")</f>
        <v/>
      </c>
      <c r="J162" s="9">
        <f>IF(每日收货出货登记!W162&gt;0,每日收货出货登记!AB162,"")</f>
        <v/>
      </c>
    </row>
    <row r="163" ht="22" customHeight="1">
      <c r="A163" s="9">
        <f>IF(每日收货出货登记!W163&gt;0,每日收货出货登记!A163,"")</f>
        <v/>
      </c>
      <c r="B163" s="10">
        <f>IF(每日收货出货登记!W163&gt;0,每日收货出货登记!D163,"")</f>
        <v/>
      </c>
      <c r="C163" s="10">
        <f>IF(每日收货出货登记!W163&gt;0,每日收货出货登记!G163,"")</f>
        <v/>
      </c>
      <c r="D163" s="10">
        <f>IF(每日收货出货登记!W163&gt;0,每日收货出货登记!E163,"")</f>
        <v/>
      </c>
      <c r="E163" s="10">
        <f>IF(每日收货出货登记!W163&gt;0,每日收货出货登记!Q163,"")</f>
        <v/>
      </c>
      <c r="F163" s="10">
        <f>IF(每日收货出货登记!W163&gt;0,每日收货出货登记!V163,"")</f>
        <v/>
      </c>
      <c r="G163" s="10">
        <f>IF(每日收货出货登记!W163&gt;0,每日收货出货登记!W163,"")</f>
        <v/>
      </c>
      <c r="H163" s="10">
        <f>IF(每日收货出货登记!W163&gt;0,每日收货出货登记!R163,"")</f>
        <v/>
      </c>
      <c r="I163" s="9">
        <f>IF(每日收货出货登记!W163&gt;0,每日收货出货登记!S163,"")</f>
        <v/>
      </c>
      <c r="J163" s="9">
        <f>IF(每日收货出货登记!W163&gt;0,每日收货出货登记!AB163,"")</f>
        <v/>
      </c>
    </row>
    <row r="164" ht="22" customHeight="1">
      <c r="A164" s="9">
        <f>IF(每日收货出货登记!W164&gt;0,每日收货出货登记!A164,"")</f>
        <v/>
      </c>
      <c r="B164" s="10">
        <f>IF(每日收货出货登记!W164&gt;0,每日收货出货登记!D164,"")</f>
        <v/>
      </c>
      <c r="C164" s="10">
        <f>IF(每日收货出货登记!W164&gt;0,每日收货出货登记!G164,"")</f>
        <v/>
      </c>
      <c r="D164" s="10">
        <f>IF(每日收货出货登记!W164&gt;0,每日收货出货登记!E164,"")</f>
        <v/>
      </c>
      <c r="E164" s="10">
        <f>IF(每日收货出货登记!W164&gt;0,每日收货出货登记!Q164,"")</f>
        <v/>
      </c>
      <c r="F164" s="10">
        <f>IF(每日收货出货登记!W164&gt;0,每日收货出货登记!V164,"")</f>
        <v/>
      </c>
      <c r="G164" s="10">
        <f>IF(每日收货出货登记!W164&gt;0,每日收货出货登记!W164,"")</f>
        <v/>
      </c>
      <c r="H164" s="10">
        <f>IF(每日收货出货登记!W164&gt;0,每日收货出货登记!R164,"")</f>
        <v/>
      </c>
      <c r="I164" s="9">
        <f>IF(每日收货出货登记!W164&gt;0,每日收货出货登记!S164,"")</f>
        <v/>
      </c>
      <c r="J164" s="9">
        <f>IF(每日收货出货登记!W164&gt;0,每日收货出货登记!AB164,"")</f>
        <v/>
      </c>
    </row>
    <row r="165" ht="22" customHeight="1">
      <c r="A165" s="9">
        <f>IF(每日收货出货登记!W165&gt;0,每日收货出货登记!A165,"")</f>
        <v/>
      </c>
      <c r="B165" s="10">
        <f>IF(每日收货出货登记!W165&gt;0,每日收货出货登记!D165,"")</f>
        <v/>
      </c>
      <c r="C165" s="10">
        <f>IF(每日收货出货登记!W165&gt;0,每日收货出货登记!G165,"")</f>
        <v/>
      </c>
      <c r="D165" s="10">
        <f>IF(每日收货出货登记!W165&gt;0,每日收货出货登记!E165,"")</f>
        <v/>
      </c>
      <c r="E165" s="10">
        <f>IF(每日收货出货登记!W165&gt;0,每日收货出货登记!Q165,"")</f>
        <v/>
      </c>
      <c r="F165" s="10">
        <f>IF(每日收货出货登记!W165&gt;0,每日收货出货登记!V165,"")</f>
        <v/>
      </c>
      <c r="G165" s="10">
        <f>IF(每日收货出货登记!W165&gt;0,每日收货出货登记!W165,"")</f>
        <v/>
      </c>
      <c r="H165" s="10">
        <f>IF(每日收货出货登记!W165&gt;0,每日收货出货登记!R165,"")</f>
        <v/>
      </c>
      <c r="I165" s="9">
        <f>IF(每日收货出货登记!W165&gt;0,每日收货出货登记!S165,"")</f>
        <v/>
      </c>
      <c r="J165" s="9">
        <f>IF(每日收货出货登记!W165&gt;0,每日收货出货登记!AB165,"")</f>
        <v/>
      </c>
    </row>
    <row r="166" ht="22" customHeight="1">
      <c r="A166" s="9">
        <f>IF(每日收货出货登记!W166&gt;0,每日收货出货登记!A166,"")</f>
        <v/>
      </c>
      <c r="B166" s="10">
        <f>IF(每日收货出货登记!W166&gt;0,每日收货出货登记!D166,"")</f>
        <v/>
      </c>
      <c r="C166" s="10">
        <f>IF(每日收货出货登记!W166&gt;0,每日收货出货登记!G166,"")</f>
        <v/>
      </c>
      <c r="D166" s="10">
        <f>IF(每日收货出货登记!W166&gt;0,每日收货出货登记!E166,"")</f>
        <v/>
      </c>
      <c r="E166" s="10">
        <f>IF(每日收货出货登记!W166&gt;0,每日收货出货登记!Q166,"")</f>
        <v/>
      </c>
      <c r="F166" s="10">
        <f>IF(每日收货出货登记!W166&gt;0,每日收货出货登记!V166,"")</f>
        <v/>
      </c>
      <c r="G166" s="10">
        <f>IF(每日收货出货登记!W166&gt;0,每日收货出货登记!W166,"")</f>
        <v/>
      </c>
      <c r="H166" s="10">
        <f>IF(每日收货出货登记!W166&gt;0,每日收货出货登记!R166,"")</f>
        <v/>
      </c>
      <c r="I166" s="9">
        <f>IF(每日收货出货登记!W166&gt;0,每日收货出货登记!S166,"")</f>
        <v/>
      </c>
      <c r="J166" s="9">
        <f>IF(每日收货出货登记!W166&gt;0,每日收货出货登记!AB166,"")</f>
        <v/>
      </c>
    </row>
    <row r="167" ht="22" customHeight="1">
      <c r="A167" s="9">
        <f>IF(每日收货出货登记!W167&gt;0,每日收货出货登记!A167,"")</f>
        <v/>
      </c>
      <c r="B167" s="10">
        <f>IF(每日收货出货登记!W167&gt;0,每日收货出货登记!D167,"")</f>
        <v/>
      </c>
      <c r="C167" s="10">
        <f>IF(每日收货出货登记!W167&gt;0,每日收货出货登记!G167,"")</f>
        <v/>
      </c>
      <c r="D167" s="10">
        <f>IF(每日收货出货登记!W167&gt;0,每日收货出货登记!E167,"")</f>
        <v/>
      </c>
      <c r="E167" s="10">
        <f>IF(每日收货出货登记!W167&gt;0,每日收货出货登记!Q167,"")</f>
        <v/>
      </c>
      <c r="F167" s="10">
        <f>IF(每日收货出货登记!W167&gt;0,每日收货出货登记!V167,"")</f>
        <v/>
      </c>
      <c r="G167" s="10">
        <f>IF(每日收货出货登记!W167&gt;0,每日收货出货登记!W167,"")</f>
        <v/>
      </c>
      <c r="H167" s="10">
        <f>IF(每日收货出货登记!W167&gt;0,每日收货出货登记!R167,"")</f>
        <v/>
      </c>
      <c r="I167" s="9">
        <f>IF(每日收货出货登记!W167&gt;0,每日收货出货登记!S167,"")</f>
        <v/>
      </c>
      <c r="J167" s="9">
        <f>IF(每日收货出货登记!W167&gt;0,每日收货出货登记!AB167,"")</f>
        <v/>
      </c>
    </row>
    <row r="168" ht="22" customHeight="1">
      <c r="A168" s="9">
        <f>IF(每日收货出货登记!W168&gt;0,每日收货出货登记!A168,"")</f>
        <v/>
      </c>
      <c r="B168" s="10">
        <f>IF(每日收货出货登记!W168&gt;0,每日收货出货登记!D168,"")</f>
        <v/>
      </c>
      <c r="C168" s="10">
        <f>IF(每日收货出货登记!W168&gt;0,每日收货出货登记!G168,"")</f>
        <v/>
      </c>
      <c r="D168" s="10">
        <f>IF(每日收货出货登记!W168&gt;0,每日收货出货登记!E168,"")</f>
        <v/>
      </c>
      <c r="E168" s="10">
        <f>IF(每日收货出货登记!W168&gt;0,每日收货出货登记!Q168,"")</f>
        <v/>
      </c>
      <c r="F168" s="10">
        <f>IF(每日收货出货登记!W168&gt;0,每日收货出货登记!V168,"")</f>
        <v/>
      </c>
      <c r="G168" s="10">
        <f>IF(每日收货出货登记!W168&gt;0,每日收货出货登记!W168,"")</f>
        <v/>
      </c>
      <c r="H168" s="10">
        <f>IF(每日收货出货登记!W168&gt;0,每日收货出货登记!R168,"")</f>
        <v/>
      </c>
      <c r="I168" s="9">
        <f>IF(每日收货出货登记!W168&gt;0,每日收货出货登记!S168,"")</f>
        <v/>
      </c>
      <c r="J168" s="9">
        <f>IF(每日收货出货登记!W168&gt;0,每日收货出货登记!AB168,"")</f>
        <v/>
      </c>
    </row>
    <row r="169" ht="22" customHeight="1">
      <c r="A169" s="9">
        <f>IF(每日收货出货登记!W169&gt;0,每日收货出货登记!A169,"")</f>
        <v/>
      </c>
      <c r="B169" s="10">
        <f>IF(每日收货出货登记!W169&gt;0,每日收货出货登记!D169,"")</f>
        <v/>
      </c>
      <c r="C169" s="10">
        <f>IF(每日收货出货登记!W169&gt;0,每日收货出货登记!G169,"")</f>
        <v/>
      </c>
      <c r="D169" s="10">
        <f>IF(每日收货出货登记!W169&gt;0,每日收货出货登记!E169,"")</f>
        <v/>
      </c>
      <c r="E169" s="10">
        <f>IF(每日收货出货登记!W169&gt;0,每日收货出货登记!Q169,"")</f>
        <v/>
      </c>
      <c r="F169" s="10">
        <f>IF(每日收货出货登记!W169&gt;0,每日收货出货登记!V169,"")</f>
        <v/>
      </c>
      <c r="G169" s="10">
        <f>IF(每日收货出货登记!W169&gt;0,每日收货出货登记!W169,"")</f>
        <v/>
      </c>
      <c r="H169" s="10">
        <f>IF(每日收货出货登记!W169&gt;0,每日收货出货登记!R169,"")</f>
        <v/>
      </c>
      <c r="I169" s="9">
        <f>IF(每日收货出货登记!W169&gt;0,每日收货出货登记!S169,"")</f>
        <v/>
      </c>
      <c r="J169" s="9">
        <f>IF(每日收货出货登记!W169&gt;0,每日收货出货登记!AB169,"")</f>
        <v/>
      </c>
    </row>
    <row r="170" ht="22" customHeight="1">
      <c r="A170" s="9">
        <f>IF(每日收货出货登记!W170&gt;0,每日收货出货登记!A170,"")</f>
        <v/>
      </c>
      <c r="B170" s="10">
        <f>IF(每日收货出货登记!W170&gt;0,每日收货出货登记!D170,"")</f>
        <v/>
      </c>
      <c r="C170" s="10">
        <f>IF(每日收货出货登记!W170&gt;0,每日收货出货登记!G170,"")</f>
        <v/>
      </c>
      <c r="D170" s="10">
        <f>IF(每日收货出货登记!W170&gt;0,每日收货出货登记!E170,"")</f>
        <v/>
      </c>
      <c r="E170" s="10">
        <f>IF(每日收货出货登记!W170&gt;0,每日收货出货登记!Q170,"")</f>
        <v/>
      </c>
      <c r="F170" s="10">
        <f>IF(每日收货出货登记!W170&gt;0,每日收货出货登记!V170,"")</f>
        <v/>
      </c>
      <c r="G170" s="10">
        <f>IF(每日收货出货登记!W170&gt;0,每日收货出货登记!W170,"")</f>
        <v/>
      </c>
      <c r="H170" s="10">
        <f>IF(每日收货出货登记!W170&gt;0,每日收货出货登记!R170,"")</f>
        <v/>
      </c>
      <c r="I170" s="9">
        <f>IF(每日收货出货登记!W170&gt;0,每日收货出货登记!S170,"")</f>
        <v/>
      </c>
      <c r="J170" s="9">
        <f>IF(每日收货出货登记!W170&gt;0,每日收货出货登记!AB170,"")</f>
        <v/>
      </c>
    </row>
    <row r="171" ht="22" customHeight="1">
      <c r="A171" s="9">
        <f>IF(每日收货出货登记!W171&gt;0,每日收货出货登记!A171,"")</f>
        <v/>
      </c>
      <c r="B171" s="10">
        <f>IF(每日收货出货登记!W171&gt;0,每日收货出货登记!D171,"")</f>
        <v/>
      </c>
      <c r="C171" s="10">
        <f>IF(每日收货出货登记!W171&gt;0,每日收货出货登记!G171,"")</f>
        <v/>
      </c>
      <c r="D171" s="10">
        <f>IF(每日收货出货登记!W171&gt;0,每日收货出货登记!E171,"")</f>
        <v/>
      </c>
      <c r="E171" s="10">
        <f>IF(每日收货出货登记!W171&gt;0,每日收货出货登记!Q171,"")</f>
        <v/>
      </c>
      <c r="F171" s="10">
        <f>IF(每日收货出货登记!W171&gt;0,每日收货出货登记!V171,"")</f>
        <v/>
      </c>
      <c r="G171" s="10">
        <f>IF(每日收货出货登记!W171&gt;0,每日收货出货登记!W171,"")</f>
        <v/>
      </c>
      <c r="H171" s="10">
        <f>IF(每日收货出货登记!W171&gt;0,每日收货出货登记!R171,"")</f>
        <v/>
      </c>
      <c r="I171" s="9">
        <f>IF(每日收货出货登记!W171&gt;0,每日收货出货登记!S171,"")</f>
        <v/>
      </c>
      <c r="J171" s="9">
        <f>IF(每日收货出货登记!W171&gt;0,每日收货出货登记!AB171,"")</f>
        <v/>
      </c>
    </row>
    <row r="172" ht="22" customHeight="1">
      <c r="A172" s="9">
        <f>IF(每日收货出货登记!W172&gt;0,每日收货出货登记!A172,"")</f>
        <v/>
      </c>
      <c r="B172" s="10">
        <f>IF(每日收货出货登记!W172&gt;0,每日收货出货登记!D172,"")</f>
        <v/>
      </c>
      <c r="C172" s="10">
        <f>IF(每日收货出货登记!W172&gt;0,每日收货出货登记!G172,"")</f>
        <v/>
      </c>
      <c r="D172" s="10">
        <f>IF(每日收货出货登记!W172&gt;0,每日收货出货登记!E172,"")</f>
        <v/>
      </c>
      <c r="E172" s="10">
        <f>IF(每日收货出货登记!W172&gt;0,每日收货出货登记!Q172,"")</f>
        <v/>
      </c>
      <c r="F172" s="10">
        <f>IF(每日收货出货登记!W172&gt;0,每日收货出货登记!V172,"")</f>
        <v/>
      </c>
      <c r="G172" s="10">
        <f>IF(每日收货出货登记!W172&gt;0,每日收货出货登记!W172,"")</f>
        <v/>
      </c>
      <c r="H172" s="10">
        <f>IF(每日收货出货登记!W172&gt;0,每日收货出货登记!R172,"")</f>
        <v/>
      </c>
      <c r="I172" s="9">
        <f>IF(每日收货出货登记!W172&gt;0,每日收货出货登记!S172,"")</f>
        <v/>
      </c>
      <c r="J172" s="9">
        <f>IF(每日收货出货登记!W172&gt;0,每日收货出货登记!AB172,"")</f>
        <v/>
      </c>
    </row>
    <row r="173" ht="22" customHeight="1">
      <c r="A173" s="9">
        <f>IF(每日收货出货登记!W173&gt;0,每日收货出货登记!A173,"")</f>
        <v/>
      </c>
      <c r="B173" s="10">
        <f>IF(每日收货出货登记!W173&gt;0,每日收货出货登记!D173,"")</f>
        <v/>
      </c>
      <c r="C173" s="10">
        <f>IF(每日收货出货登记!W173&gt;0,每日收货出货登记!G173,"")</f>
        <v/>
      </c>
      <c r="D173" s="10">
        <f>IF(每日收货出货登记!W173&gt;0,每日收货出货登记!E173,"")</f>
        <v/>
      </c>
      <c r="E173" s="10">
        <f>IF(每日收货出货登记!W173&gt;0,每日收货出货登记!Q173,"")</f>
        <v/>
      </c>
      <c r="F173" s="10">
        <f>IF(每日收货出货登记!W173&gt;0,每日收货出货登记!V173,"")</f>
        <v/>
      </c>
      <c r="G173" s="10">
        <f>IF(每日收货出货登记!W173&gt;0,每日收货出货登记!W173,"")</f>
        <v/>
      </c>
      <c r="H173" s="10">
        <f>IF(每日收货出货登记!W173&gt;0,每日收货出货登记!R173,"")</f>
        <v/>
      </c>
      <c r="I173" s="9">
        <f>IF(每日收货出货登记!W173&gt;0,每日收货出货登记!S173,"")</f>
        <v/>
      </c>
      <c r="J173" s="9">
        <f>IF(每日收货出货登记!W173&gt;0,每日收货出货登记!AB173,"")</f>
        <v/>
      </c>
    </row>
    <row r="174" ht="22" customHeight="1">
      <c r="A174" s="9">
        <f>IF(每日收货出货登记!W174&gt;0,每日收货出货登记!A174,"")</f>
        <v/>
      </c>
      <c r="B174" s="10">
        <f>IF(每日收货出货登记!W174&gt;0,每日收货出货登记!D174,"")</f>
        <v/>
      </c>
      <c r="C174" s="10">
        <f>IF(每日收货出货登记!W174&gt;0,每日收货出货登记!G174,"")</f>
        <v/>
      </c>
      <c r="D174" s="10">
        <f>IF(每日收货出货登记!W174&gt;0,每日收货出货登记!E174,"")</f>
        <v/>
      </c>
      <c r="E174" s="10">
        <f>IF(每日收货出货登记!W174&gt;0,每日收货出货登记!Q174,"")</f>
        <v/>
      </c>
      <c r="F174" s="10">
        <f>IF(每日收货出货登记!W174&gt;0,每日收货出货登记!V174,"")</f>
        <v/>
      </c>
      <c r="G174" s="10">
        <f>IF(每日收货出货登记!W174&gt;0,每日收货出货登记!W174,"")</f>
        <v/>
      </c>
      <c r="H174" s="10">
        <f>IF(每日收货出货登记!W174&gt;0,每日收货出货登记!R174,"")</f>
        <v/>
      </c>
      <c r="I174" s="9">
        <f>IF(每日收货出货登记!W174&gt;0,每日收货出货登记!S174,"")</f>
        <v/>
      </c>
      <c r="J174" s="9">
        <f>IF(每日收货出货登记!W174&gt;0,每日收货出货登记!AB174,"")</f>
        <v/>
      </c>
    </row>
    <row r="175" ht="22" customHeight="1">
      <c r="A175" s="9">
        <f>IF(每日收货出货登记!W175&gt;0,每日收货出货登记!A175,"")</f>
        <v/>
      </c>
      <c r="B175" s="10">
        <f>IF(每日收货出货登记!W175&gt;0,每日收货出货登记!D175,"")</f>
        <v/>
      </c>
      <c r="C175" s="10">
        <f>IF(每日收货出货登记!W175&gt;0,每日收货出货登记!G175,"")</f>
        <v/>
      </c>
      <c r="D175" s="10">
        <f>IF(每日收货出货登记!W175&gt;0,每日收货出货登记!E175,"")</f>
        <v/>
      </c>
      <c r="E175" s="10">
        <f>IF(每日收货出货登记!W175&gt;0,每日收货出货登记!Q175,"")</f>
        <v/>
      </c>
      <c r="F175" s="10">
        <f>IF(每日收货出货登记!W175&gt;0,每日收货出货登记!V175,"")</f>
        <v/>
      </c>
      <c r="G175" s="10">
        <f>IF(每日收货出货登记!W175&gt;0,每日收货出货登记!W175,"")</f>
        <v/>
      </c>
      <c r="H175" s="10">
        <f>IF(每日收货出货登记!W175&gt;0,每日收货出货登记!R175,"")</f>
        <v/>
      </c>
      <c r="I175" s="9">
        <f>IF(每日收货出货登记!W175&gt;0,每日收货出货登记!S175,"")</f>
        <v/>
      </c>
      <c r="J175" s="9">
        <f>IF(每日收货出货登记!W175&gt;0,每日收货出货登记!AB175,"")</f>
        <v/>
      </c>
    </row>
    <row r="176" ht="22" customHeight="1">
      <c r="A176" s="9">
        <f>IF(每日收货出货登记!W176&gt;0,每日收货出货登记!A176,"")</f>
        <v/>
      </c>
      <c r="B176" s="10">
        <f>IF(每日收货出货登记!W176&gt;0,每日收货出货登记!D176,"")</f>
        <v/>
      </c>
      <c r="C176" s="10">
        <f>IF(每日收货出货登记!W176&gt;0,每日收货出货登记!G176,"")</f>
        <v/>
      </c>
      <c r="D176" s="10">
        <f>IF(每日收货出货登记!W176&gt;0,每日收货出货登记!E176,"")</f>
        <v/>
      </c>
      <c r="E176" s="10">
        <f>IF(每日收货出货登记!W176&gt;0,每日收货出货登记!Q176,"")</f>
        <v/>
      </c>
      <c r="F176" s="10">
        <f>IF(每日收货出货登记!W176&gt;0,每日收货出货登记!V176,"")</f>
        <v/>
      </c>
      <c r="G176" s="10">
        <f>IF(每日收货出货登记!W176&gt;0,每日收货出货登记!W176,"")</f>
        <v/>
      </c>
      <c r="H176" s="10">
        <f>IF(每日收货出货登记!W176&gt;0,每日收货出货登记!R176,"")</f>
        <v/>
      </c>
      <c r="I176" s="9">
        <f>IF(每日收货出货登记!W176&gt;0,每日收货出货登记!S176,"")</f>
        <v/>
      </c>
      <c r="J176" s="9">
        <f>IF(每日收货出货登记!W176&gt;0,每日收货出货登记!AB176,"")</f>
        <v/>
      </c>
    </row>
    <row r="177" ht="22" customHeight="1">
      <c r="A177" s="9">
        <f>IF(每日收货出货登记!W177&gt;0,每日收货出货登记!A177,"")</f>
        <v/>
      </c>
      <c r="B177" s="10">
        <f>IF(每日收货出货登记!W177&gt;0,每日收货出货登记!D177,"")</f>
        <v/>
      </c>
      <c r="C177" s="10">
        <f>IF(每日收货出货登记!W177&gt;0,每日收货出货登记!G177,"")</f>
        <v/>
      </c>
      <c r="D177" s="10">
        <f>IF(每日收货出货登记!W177&gt;0,每日收货出货登记!E177,"")</f>
        <v/>
      </c>
      <c r="E177" s="10">
        <f>IF(每日收货出货登记!W177&gt;0,每日收货出货登记!Q177,"")</f>
        <v/>
      </c>
      <c r="F177" s="10">
        <f>IF(每日收货出货登记!W177&gt;0,每日收货出货登记!V177,"")</f>
        <v/>
      </c>
      <c r="G177" s="10">
        <f>IF(每日收货出货登记!W177&gt;0,每日收货出货登记!W177,"")</f>
        <v/>
      </c>
      <c r="H177" s="10">
        <f>IF(每日收货出货登记!W177&gt;0,每日收货出货登记!R177,"")</f>
        <v/>
      </c>
      <c r="I177" s="9">
        <f>IF(每日收货出货登记!W177&gt;0,每日收货出货登记!S177,"")</f>
        <v/>
      </c>
      <c r="J177" s="9">
        <f>IF(每日收货出货登记!W177&gt;0,每日收货出货登记!AB177,"")</f>
        <v/>
      </c>
    </row>
    <row r="178" ht="22" customHeight="1">
      <c r="A178" s="9">
        <f>IF(每日收货出货登记!W178&gt;0,每日收货出货登记!A178,"")</f>
        <v/>
      </c>
      <c r="B178" s="10">
        <f>IF(每日收货出货登记!W178&gt;0,每日收货出货登记!D178,"")</f>
        <v/>
      </c>
      <c r="C178" s="10">
        <f>IF(每日收货出货登记!W178&gt;0,每日收货出货登记!G178,"")</f>
        <v/>
      </c>
      <c r="D178" s="10">
        <f>IF(每日收货出货登记!W178&gt;0,每日收货出货登记!E178,"")</f>
        <v/>
      </c>
      <c r="E178" s="10">
        <f>IF(每日收货出货登记!W178&gt;0,每日收货出货登记!Q178,"")</f>
        <v/>
      </c>
      <c r="F178" s="10">
        <f>IF(每日收货出货登记!W178&gt;0,每日收货出货登记!V178,"")</f>
        <v/>
      </c>
      <c r="G178" s="10">
        <f>IF(每日收货出货登记!W178&gt;0,每日收货出货登记!W178,"")</f>
        <v/>
      </c>
      <c r="H178" s="10">
        <f>IF(每日收货出货登记!W178&gt;0,每日收货出货登记!R178,"")</f>
        <v/>
      </c>
      <c r="I178" s="9">
        <f>IF(每日收货出货登记!W178&gt;0,每日收货出货登记!S178,"")</f>
        <v/>
      </c>
      <c r="J178" s="9">
        <f>IF(每日收货出货登记!W178&gt;0,每日收货出货登记!AB178,"")</f>
        <v/>
      </c>
    </row>
    <row r="179" ht="22" customHeight="1">
      <c r="A179" s="9">
        <f>IF(每日收货出货登记!W179&gt;0,每日收货出货登记!A179,"")</f>
        <v/>
      </c>
      <c r="B179" s="10">
        <f>IF(每日收货出货登记!W179&gt;0,每日收货出货登记!D179,"")</f>
        <v/>
      </c>
      <c r="C179" s="10">
        <f>IF(每日收货出货登记!W179&gt;0,每日收货出货登记!G179,"")</f>
        <v/>
      </c>
      <c r="D179" s="10">
        <f>IF(每日收货出货登记!W179&gt;0,每日收货出货登记!E179,"")</f>
        <v/>
      </c>
      <c r="E179" s="10">
        <f>IF(每日收货出货登记!W179&gt;0,每日收货出货登记!Q179,"")</f>
        <v/>
      </c>
      <c r="F179" s="10">
        <f>IF(每日收货出货登记!W179&gt;0,每日收货出货登记!V179,"")</f>
        <v/>
      </c>
      <c r="G179" s="10">
        <f>IF(每日收货出货登记!W179&gt;0,每日收货出货登记!W179,"")</f>
        <v/>
      </c>
      <c r="H179" s="10">
        <f>IF(每日收货出货登记!W179&gt;0,每日收货出货登记!R179,"")</f>
        <v/>
      </c>
      <c r="I179" s="9">
        <f>IF(每日收货出货登记!W179&gt;0,每日收货出货登记!S179,"")</f>
        <v/>
      </c>
      <c r="J179" s="9">
        <f>IF(每日收货出货登记!W179&gt;0,每日收货出货登记!AB179,"")</f>
        <v/>
      </c>
    </row>
    <row r="180" ht="22" customHeight="1">
      <c r="A180" s="9">
        <f>IF(每日收货出货登记!W180&gt;0,每日收货出货登记!A180,"")</f>
        <v/>
      </c>
      <c r="B180" s="10">
        <f>IF(每日收货出货登记!W180&gt;0,每日收货出货登记!D180,"")</f>
        <v/>
      </c>
      <c r="C180" s="10">
        <f>IF(每日收货出货登记!W180&gt;0,每日收货出货登记!G180,"")</f>
        <v/>
      </c>
      <c r="D180" s="10">
        <f>IF(每日收货出货登记!W180&gt;0,每日收货出货登记!E180,"")</f>
        <v/>
      </c>
      <c r="E180" s="10">
        <f>IF(每日收货出货登记!W180&gt;0,每日收货出货登记!Q180,"")</f>
        <v/>
      </c>
      <c r="F180" s="10">
        <f>IF(每日收货出货登记!W180&gt;0,每日收货出货登记!V180,"")</f>
        <v/>
      </c>
      <c r="G180" s="10">
        <f>IF(每日收货出货登记!W180&gt;0,每日收货出货登记!W180,"")</f>
        <v/>
      </c>
      <c r="H180" s="10">
        <f>IF(每日收货出货登记!W180&gt;0,每日收货出货登记!R180,"")</f>
        <v/>
      </c>
      <c r="I180" s="9">
        <f>IF(每日收货出货登记!W180&gt;0,每日收货出货登记!S180,"")</f>
        <v/>
      </c>
      <c r="J180" s="9">
        <f>IF(每日收货出货登记!W180&gt;0,每日收货出货登记!AB180,"")</f>
        <v/>
      </c>
    </row>
    <row r="181" ht="22" customHeight="1">
      <c r="A181" s="9">
        <f>IF(每日收货出货登记!W181&gt;0,每日收货出货登记!A181,"")</f>
        <v/>
      </c>
      <c r="B181" s="10">
        <f>IF(每日收货出货登记!W181&gt;0,每日收货出货登记!D181,"")</f>
        <v/>
      </c>
      <c r="C181" s="10">
        <f>IF(每日收货出货登记!W181&gt;0,每日收货出货登记!G181,"")</f>
        <v/>
      </c>
      <c r="D181" s="10">
        <f>IF(每日收货出货登记!W181&gt;0,每日收货出货登记!E181,"")</f>
        <v/>
      </c>
      <c r="E181" s="10">
        <f>IF(每日收货出货登记!W181&gt;0,每日收货出货登记!Q181,"")</f>
        <v/>
      </c>
      <c r="F181" s="10">
        <f>IF(每日收货出货登记!W181&gt;0,每日收货出货登记!V181,"")</f>
        <v/>
      </c>
      <c r="G181" s="10">
        <f>IF(每日收货出货登记!W181&gt;0,每日收货出货登记!W181,"")</f>
        <v/>
      </c>
      <c r="H181" s="10">
        <f>IF(每日收货出货登记!W181&gt;0,每日收货出货登记!R181,"")</f>
        <v/>
      </c>
      <c r="I181" s="9">
        <f>IF(每日收货出货登记!W181&gt;0,每日收货出货登记!S181,"")</f>
        <v/>
      </c>
      <c r="J181" s="9">
        <f>IF(每日收货出货登记!W181&gt;0,每日收货出货登记!AB181,"")</f>
        <v/>
      </c>
    </row>
    <row r="182" ht="22" customHeight="1">
      <c r="A182" s="9">
        <f>IF(每日收货出货登记!W182&gt;0,每日收货出货登记!A182,"")</f>
        <v/>
      </c>
      <c r="B182" s="10">
        <f>IF(每日收货出货登记!W182&gt;0,每日收货出货登记!D182,"")</f>
        <v/>
      </c>
      <c r="C182" s="10">
        <f>IF(每日收货出货登记!W182&gt;0,每日收货出货登记!G182,"")</f>
        <v/>
      </c>
      <c r="D182" s="10">
        <f>IF(每日收货出货登记!W182&gt;0,每日收货出货登记!E182,"")</f>
        <v/>
      </c>
      <c r="E182" s="10">
        <f>IF(每日收货出货登记!W182&gt;0,每日收货出货登记!Q182,"")</f>
        <v/>
      </c>
      <c r="F182" s="10">
        <f>IF(每日收货出货登记!W182&gt;0,每日收货出货登记!V182,"")</f>
        <v/>
      </c>
      <c r="G182" s="10">
        <f>IF(每日收货出货登记!W182&gt;0,每日收货出货登记!W182,"")</f>
        <v/>
      </c>
      <c r="H182" s="10">
        <f>IF(每日收货出货登记!W182&gt;0,每日收货出货登记!R182,"")</f>
        <v/>
      </c>
      <c r="I182" s="9">
        <f>IF(每日收货出货登记!W182&gt;0,每日收货出货登记!S182,"")</f>
        <v/>
      </c>
      <c r="J182" s="9">
        <f>IF(每日收货出货登记!W182&gt;0,每日收货出货登记!AB182,"")</f>
        <v/>
      </c>
    </row>
    <row r="183" ht="22" customHeight="1">
      <c r="A183" s="9">
        <f>IF(每日收货出货登记!W183&gt;0,每日收货出货登记!A183,"")</f>
        <v/>
      </c>
      <c r="B183" s="10">
        <f>IF(每日收货出货登记!W183&gt;0,每日收货出货登记!D183,"")</f>
        <v/>
      </c>
      <c r="C183" s="10">
        <f>IF(每日收货出货登记!W183&gt;0,每日收货出货登记!G183,"")</f>
        <v/>
      </c>
      <c r="D183" s="10">
        <f>IF(每日收货出货登记!W183&gt;0,每日收货出货登记!E183,"")</f>
        <v/>
      </c>
      <c r="E183" s="10">
        <f>IF(每日收货出货登记!W183&gt;0,每日收货出货登记!Q183,"")</f>
        <v/>
      </c>
      <c r="F183" s="10">
        <f>IF(每日收货出货登记!W183&gt;0,每日收货出货登记!V183,"")</f>
        <v/>
      </c>
      <c r="G183" s="10">
        <f>IF(每日收货出货登记!W183&gt;0,每日收货出货登记!W183,"")</f>
        <v/>
      </c>
      <c r="H183" s="10">
        <f>IF(每日收货出货登记!W183&gt;0,每日收货出货登记!R183,"")</f>
        <v/>
      </c>
      <c r="I183" s="9">
        <f>IF(每日收货出货登记!W183&gt;0,每日收货出货登记!S183,"")</f>
        <v/>
      </c>
      <c r="J183" s="9">
        <f>IF(每日收货出货登记!W183&gt;0,每日收货出货登记!AB183,"")</f>
        <v/>
      </c>
    </row>
    <row r="184" ht="22" customHeight="1">
      <c r="A184" s="9">
        <f>IF(每日收货出货登记!W184&gt;0,每日收货出货登记!A184,"")</f>
        <v/>
      </c>
      <c r="B184" s="10">
        <f>IF(每日收货出货登记!W184&gt;0,每日收货出货登记!D184,"")</f>
        <v/>
      </c>
      <c r="C184" s="10">
        <f>IF(每日收货出货登记!W184&gt;0,每日收货出货登记!G184,"")</f>
        <v/>
      </c>
      <c r="D184" s="10">
        <f>IF(每日收货出货登记!W184&gt;0,每日收货出货登记!E184,"")</f>
        <v/>
      </c>
      <c r="E184" s="10">
        <f>IF(每日收货出货登记!W184&gt;0,每日收货出货登记!Q184,"")</f>
        <v/>
      </c>
      <c r="F184" s="10">
        <f>IF(每日收货出货登记!W184&gt;0,每日收货出货登记!V184,"")</f>
        <v/>
      </c>
      <c r="G184" s="10">
        <f>IF(每日收货出货登记!W184&gt;0,每日收货出货登记!W184,"")</f>
        <v/>
      </c>
      <c r="H184" s="10">
        <f>IF(每日收货出货登记!W184&gt;0,每日收货出货登记!R184,"")</f>
        <v/>
      </c>
      <c r="I184" s="9">
        <f>IF(每日收货出货登记!W184&gt;0,每日收货出货登记!S184,"")</f>
        <v/>
      </c>
      <c r="J184" s="9">
        <f>IF(每日收货出货登记!W184&gt;0,每日收货出货登记!AB184,"")</f>
        <v/>
      </c>
    </row>
    <row r="185" ht="22" customHeight="1">
      <c r="A185" s="9">
        <f>IF(每日收货出货登记!W185&gt;0,每日收货出货登记!A185,"")</f>
        <v/>
      </c>
      <c r="B185" s="10">
        <f>IF(每日收货出货登记!W185&gt;0,每日收货出货登记!D185,"")</f>
        <v/>
      </c>
      <c r="C185" s="10">
        <f>IF(每日收货出货登记!W185&gt;0,每日收货出货登记!G185,"")</f>
        <v/>
      </c>
      <c r="D185" s="10">
        <f>IF(每日收货出货登记!W185&gt;0,每日收货出货登记!E185,"")</f>
        <v/>
      </c>
      <c r="E185" s="10">
        <f>IF(每日收货出货登记!W185&gt;0,每日收货出货登记!Q185,"")</f>
        <v/>
      </c>
      <c r="F185" s="10">
        <f>IF(每日收货出货登记!W185&gt;0,每日收货出货登记!V185,"")</f>
        <v/>
      </c>
      <c r="G185" s="10">
        <f>IF(每日收货出货登记!W185&gt;0,每日收货出货登记!W185,"")</f>
        <v/>
      </c>
      <c r="H185" s="10">
        <f>IF(每日收货出货登记!W185&gt;0,每日收货出货登记!R185,"")</f>
        <v/>
      </c>
      <c r="I185" s="9">
        <f>IF(每日收货出货登记!W185&gt;0,每日收货出货登记!S185,"")</f>
        <v/>
      </c>
      <c r="J185" s="9">
        <f>IF(每日收货出货登记!W185&gt;0,每日收货出货登记!AB185,"")</f>
        <v/>
      </c>
    </row>
    <row r="186" ht="22" customHeight="1">
      <c r="A186" s="9">
        <f>IF(每日收货出货登记!W186&gt;0,每日收货出货登记!A186,"")</f>
        <v/>
      </c>
      <c r="B186" s="10">
        <f>IF(每日收货出货登记!W186&gt;0,每日收货出货登记!D186,"")</f>
        <v/>
      </c>
      <c r="C186" s="10">
        <f>IF(每日收货出货登记!W186&gt;0,每日收货出货登记!G186,"")</f>
        <v/>
      </c>
      <c r="D186" s="10">
        <f>IF(每日收货出货登记!W186&gt;0,每日收货出货登记!E186,"")</f>
        <v/>
      </c>
      <c r="E186" s="10">
        <f>IF(每日收货出货登记!W186&gt;0,每日收货出货登记!Q186,"")</f>
        <v/>
      </c>
      <c r="F186" s="10">
        <f>IF(每日收货出货登记!W186&gt;0,每日收货出货登记!V186,"")</f>
        <v/>
      </c>
      <c r="G186" s="10">
        <f>IF(每日收货出货登记!W186&gt;0,每日收货出货登记!W186,"")</f>
        <v/>
      </c>
      <c r="H186" s="10">
        <f>IF(每日收货出货登记!W186&gt;0,每日收货出货登记!R186,"")</f>
        <v/>
      </c>
      <c r="I186" s="9">
        <f>IF(每日收货出货登记!W186&gt;0,每日收货出货登记!S186,"")</f>
        <v/>
      </c>
      <c r="J186" s="9">
        <f>IF(每日收货出货登记!W186&gt;0,每日收货出货登记!AB186,"")</f>
        <v/>
      </c>
    </row>
    <row r="187" ht="22" customHeight="1">
      <c r="A187" s="9">
        <f>IF(每日收货出货登记!W187&gt;0,每日收货出货登记!A187,"")</f>
        <v/>
      </c>
      <c r="B187" s="10">
        <f>IF(每日收货出货登记!W187&gt;0,每日收货出货登记!D187,"")</f>
        <v/>
      </c>
      <c r="C187" s="10">
        <f>IF(每日收货出货登记!W187&gt;0,每日收货出货登记!G187,"")</f>
        <v/>
      </c>
      <c r="D187" s="10">
        <f>IF(每日收货出货登记!W187&gt;0,每日收货出货登记!E187,"")</f>
        <v/>
      </c>
      <c r="E187" s="10">
        <f>IF(每日收货出货登记!W187&gt;0,每日收货出货登记!Q187,"")</f>
        <v/>
      </c>
      <c r="F187" s="10">
        <f>IF(每日收货出货登记!W187&gt;0,每日收货出货登记!V187,"")</f>
        <v/>
      </c>
      <c r="G187" s="10">
        <f>IF(每日收货出货登记!W187&gt;0,每日收货出货登记!W187,"")</f>
        <v/>
      </c>
      <c r="H187" s="10">
        <f>IF(每日收货出货登记!W187&gt;0,每日收货出货登记!R187,"")</f>
        <v/>
      </c>
      <c r="I187" s="9">
        <f>IF(每日收货出货登记!W187&gt;0,每日收货出货登记!S187,"")</f>
        <v/>
      </c>
      <c r="J187" s="9">
        <f>IF(每日收货出货登记!W187&gt;0,每日收货出货登记!AB187,"")</f>
        <v/>
      </c>
    </row>
    <row r="188" ht="22" customHeight="1">
      <c r="A188" s="9">
        <f>IF(每日收货出货登记!W188&gt;0,每日收货出货登记!A188,"")</f>
        <v/>
      </c>
      <c r="B188" s="10">
        <f>IF(每日收货出货登记!W188&gt;0,每日收货出货登记!D188,"")</f>
        <v/>
      </c>
      <c r="C188" s="10">
        <f>IF(每日收货出货登记!W188&gt;0,每日收货出货登记!G188,"")</f>
        <v/>
      </c>
      <c r="D188" s="10">
        <f>IF(每日收货出货登记!W188&gt;0,每日收货出货登记!E188,"")</f>
        <v/>
      </c>
      <c r="E188" s="10">
        <f>IF(每日收货出货登记!W188&gt;0,每日收货出货登记!Q188,"")</f>
        <v/>
      </c>
      <c r="F188" s="10">
        <f>IF(每日收货出货登记!W188&gt;0,每日收货出货登记!V188,"")</f>
        <v/>
      </c>
      <c r="G188" s="10">
        <f>IF(每日收货出货登记!W188&gt;0,每日收货出货登记!W188,"")</f>
        <v/>
      </c>
      <c r="H188" s="10">
        <f>IF(每日收货出货登记!W188&gt;0,每日收货出货登记!R188,"")</f>
        <v/>
      </c>
      <c r="I188" s="9">
        <f>IF(每日收货出货登记!W188&gt;0,每日收货出货登记!S188,"")</f>
        <v/>
      </c>
      <c r="J188" s="9">
        <f>IF(每日收货出货登记!W188&gt;0,每日收货出货登记!AB188,"")</f>
        <v/>
      </c>
    </row>
    <row r="189" ht="22" customHeight="1">
      <c r="A189" s="9">
        <f>IF(每日收货出货登记!W189&gt;0,每日收货出货登记!A189,"")</f>
        <v/>
      </c>
      <c r="B189" s="10">
        <f>IF(每日收货出货登记!W189&gt;0,每日收货出货登记!D189,"")</f>
        <v/>
      </c>
      <c r="C189" s="10">
        <f>IF(每日收货出货登记!W189&gt;0,每日收货出货登记!G189,"")</f>
        <v/>
      </c>
      <c r="D189" s="10">
        <f>IF(每日收货出货登记!W189&gt;0,每日收货出货登记!E189,"")</f>
        <v/>
      </c>
      <c r="E189" s="10">
        <f>IF(每日收货出货登记!W189&gt;0,每日收货出货登记!Q189,"")</f>
        <v/>
      </c>
      <c r="F189" s="10">
        <f>IF(每日收货出货登记!W189&gt;0,每日收货出货登记!V189,"")</f>
        <v/>
      </c>
      <c r="G189" s="10">
        <f>IF(每日收货出货登记!W189&gt;0,每日收货出货登记!W189,"")</f>
        <v/>
      </c>
      <c r="H189" s="10">
        <f>IF(每日收货出货登记!W189&gt;0,每日收货出货登记!R189,"")</f>
        <v/>
      </c>
      <c r="I189" s="9">
        <f>IF(每日收货出货登记!W189&gt;0,每日收货出货登记!S189,"")</f>
        <v/>
      </c>
      <c r="J189" s="9">
        <f>IF(每日收货出货登记!W189&gt;0,每日收货出货登记!AB189,"")</f>
        <v/>
      </c>
    </row>
    <row r="190" ht="22" customHeight="1">
      <c r="A190" s="9">
        <f>IF(每日收货出货登记!W190&gt;0,每日收货出货登记!A190,"")</f>
        <v/>
      </c>
      <c r="B190" s="10">
        <f>IF(每日收货出货登记!W190&gt;0,每日收货出货登记!D190,"")</f>
        <v/>
      </c>
      <c r="C190" s="10">
        <f>IF(每日收货出货登记!W190&gt;0,每日收货出货登记!G190,"")</f>
        <v/>
      </c>
      <c r="D190" s="10">
        <f>IF(每日收货出货登记!W190&gt;0,每日收货出货登记!E190,"")</f>
        <v/>
      </c>
      <c r="E190" s="10">
        <f>IF(每日收货出货登记!W190&gt;0,每日收货出货登记!Q190,"")</f>
        <v/>
      </c>
      <c r="F190" s="10">
        <f>IF(每日收货出货登记!W190&gt;0,每日收货出货登记!V190,"")</f>
        <v/>
      </c>
      <c r="G190" s="10">
        <f>IF(每日收货出货登记!W190&gt;0,每日收货出货登记!W190,"")</f>
        <v/>
      </c>
      <c r="H190" s="10">
        <f>IF(每日收货出货登记!W190&gt;0,每日收货出货登记!R190,"")</f>
        <v/>
      </c>
      <c r="I190" s="9">
        <f>IF(每日收货出货登记!W190&gt;0,每日收货出货登记!S190,"")</f>
        <v/>
      </c>
      <c r="J190" s="9">
        <f>IF(每日收货出货登记!W190&gt;0,每日收货出货登记!AB190,"")</f>
        <v/>
      </c>
    </row>
    <row r="191" ht="22" customHeight="1">
      <c r="A191" s="9">
        <f>IF(每日收货出货登记!W191&gt;0,每日收货出货登记!A191,"")</f>
        <v/>
      </c>
      <c r="B191" s="10">
        <f>IF(每日收货出货登记!W191&gt;0,每日收货出货登记!D191,"")</f>
        <v/>
      </c>
      <c r="C191" s="10">
        <f>IF(每日收货出货登记!W191&gt;0,每日收货出货登记!G191,"")</f>
        <v/>
      </c>
      <c r="D191" s="10">
        <f>IF(每日收货出货登记!W191&gt;0,每日收货出货登记!E191,"")</f>
        <v/>
      </c>
      <c r="E191" s="10">
        <f>IF(每日收货出货登记!W191&gt;0,每日收货出货登记!Q191,"")</f>
        <v/>
      </c>
      <c r="F191" s="10">
        <f>IF(每日收货出货登记!W191&gt;0,每日收货出货登记!V191,"")</f>
        <v/>
      </c>
      <c r="G191" s="10">
        <f>IF(每日收货出货登记!W191&gt;0,每日收货出货登记!W191,"")</f>
        <v/>
      </c>
      <c r="H191" s="10">
        <f>IF(每日收货出货登记!W191&gt;0,每日收货出货登记!R191,"")</f>
        <v/>
      </c>
      <c r="I191" s="9">
        <f>IF(每日收货出货登记!W191&gt;0,每日收货出货登记!S191,"")</f>
        <v/>
      </c>
      <c r="J191" s="9">
        <f>IF(每日收货出货登记!W191&gt;0,每日收货出货登记!AB191,"")</f>
        <v/>
      </c>
    </row>
    <row r="192" ht="22" customHeight="1">
      <c r="A192" s="9">
        <f>IF(每日收货出货登记!W192&gt;0,每日收货出货登记!A192,"")</f>
        <v/>
      </c>
      <c r="B192" s="10">
        <f>IF(每日收货出货登记!W192&gt;0,每日收货出货登记!D192,"")</f>
        <v/>
      </c>
      <c r="C192" s="10">
        <f>IF(每日收货出货登记!W192&gt;0,每日收货出货登记!G192,"")</f>
        <v/>
      </c>
      <c r="D192" s="10">
        <f>IF(每日收货出货登记!W192&gt;0,每日收货出货登记!E192,"")</f>
        <v/>
      </c>
      <c r="E192" s="10">
        <f>IF(每日收货出货登记!W192&gt;0,每日收货出货登记!Q192,"")</f>
        <v/>
      </c>
      <c r="F192" s="10">
        <f>IF(每日收货出货登记!W192&gt;0,每日收货出货登记!V192,"")</f>
        <v/>
      </c>
      <c r="G192" s="10">
        <f>IF(每日收货出货登记!W192&gt;0,每日收货出货登记!W192,"")</f>
        <v/>
      </c>
      <c r="H192" s="10">
        <f>IF(每日收货出货登记!W192&gt;0,每日收货出货登记!R192,"")</f>
        <v/>
      </c>
      <c r="I192" s="9">
        <f>IF(每日收货出货登记!W192&gt;0,每日收货出货登记!S192,"")</f>
        <v/>
      </c>
      <c r="J192" s="9">
        <f>IF(每日收货出货登记!W192&gt;0,每日收货出货登记!AB192,"")</f>
        <v/>
      </c>
    </row>
    <row r="193" ht="22" customHeight="1">
      <c r="A193" s="9">
        <f>IF(每日收货出货登记!W193&gt;0,每日收货出货登记!A193,"")</f>
        <v/>
      </c>
      <c r="B193" s="10">
        <f>IF(每日收货出货登记!W193&gt;0,每日收货出货登记!D193,"")</f>
        <v/>
      </c>
      <c r="C193" s="10">
        <f>IF(每日收货出货登记!W193&gt;0,每日收货出货登记!G193,"")</f>
        <v/>
      </c>
      <c r="D193" s="10">
        <f>IF(每日收货出货登记!W193&gt;0,每日收货出货登记!E193,"")</f>
        <v/>
      </c>
      <c r="E193" s="10">
        <f>IF(每日收货出货登记!W193&gt;0,每日收货出货登记!Q193,"")</f>
        <v/>
      </c>
      <c r="F193" s="10">
        <f>IF(每日收货出货登记!W193&gt;0,每日收货出货登记!V193,"")</f>
        <v/>
      </c>
      <c r="G193" s="10">
        <f>IF(每日收货出货登记!W193&gt;0,每日收货出货登记!W193,"")</f>
        <v/>
      </c>
      <c r="H193" s="10">
        <f>IF(每日收货出货登记!W193&gt;0,每日收货出货登记!R193,"")</f>
        <v/>
      </c>
      <c r="I193" s="9">
        <f>IF(每日收货出货登记!W193&gt;0,每日收货出货登记!S193,"")</f>
        <v/>
      </c>
      <c r="J193" s="9">
        <f>IF(每日收货出货登记!W193&gt;0,每日收货出货登记!AB193,"")</f>
        <v/>
      </c>
    </row>
    <row r="194" ht="22" customHeight="1">
      <c r="A194" s="9">
        <f>IF(每日收货出货登记!W194&gt;0,每日收货出货登记!A194,"")</f>
        <v/>
      </c>
      <c r="B194" s="10">
        <f>IF(每日收货出货登记!W194&gt;0,每日收货出货登记!D194,"")</f>
        <v/>
      </c>
      <c r="C194" s="10">
        <f>IF(每日收货出货登记!W194&gt;0,每日收货出货登记!G194,"")</f>
        <v/>
      </c>
      <c r="D194" s="10">
        <f>IF(每日收货出货登记!W194&gt;0,每日收货出货登记!E194,"")</f>
        <v/>
      </c>
      <c r="E194" s="10">
        <f>IF(每日收货出货登记!W194&gt;0,每日收货出货登记!Q194,"")</f>
        <v/>
      </c>
      <c r="F194" s="10">
        <f>IF(每日收货出货登记!W194&gt;0,每日收货出货登记!V194,"")</f>
        <v/>
      </c>
      <c r="G194" s="10">
        <f>IF(每日收货出货登记!W194&gt;0,每日收货出货登记!W194,"")</f>
        <v/>
      </c>
      <c r="H194" s="10">
        <f>IF(每日收货出货登记!W194&gt;0,每日收货出货登记!R194,"")</f>
        <v/>
      </c>
      <c r="I194" s="9">
        <f>IF(每日收货出货登记!W194&gt;0,每日收货出货登记!S194,"")</f>
        <v/>
      </c>
      <c r="J194" s="9">
        <f>IF(每日收货出货登记!W194&gt;0,每日收货出货登记!AB194,"")</f>
        <v/>
      </c>
    </row>
    <row r="195" ht="22" customHeight="1">
      <c r="A195" s="9">
        <f>IF(每日收货出货登记!W195&gt;0,每日收货出货登记!A195,"")</f>
        <v/>
      </c>
      <c r="B195" s="10">
        <f>IF(每日收货出货登记!W195&gt;0,每日收货出货登记!D195,"")</f>
        <v/>
      </c>
      <c r="C195" s="10">
        <f>IF(每日收货出货登记!W195&gt;0,每日收货出货登记!G195,"")</f>
        <v/>
      </c>
      <c r="D195" s="10">
        <f>IF(每日收货出货登记!W195&gt;0,每日收货出货登记!E195,"")</f>
        <v/>
      </c>
      <c r="E195" s="10">
        <f>IF(每日收货出货登记!W195&gt;0,每日收货出货登记!Q195,"")</f>
        <v/>
      </c>
      <c r="F195" s="10">
        <f>IF(每日收货出货登记!W195&gt;0,每日收货出货登记!V195,"")</f>
        <v/>
      </c>
      <c r="G195" s="10">
        <f>IF(每日收货出货登记!W195&gt;0,每日收货出货登记!W195,"")</f>
        <v/>
      </c>
      <c r="H195" s="10">
        <f>IF(每日收货出货登记!W195&gt;0,每日收货出货登记!R195,"")</f>
        <v/>
      </c>
      <c r="I195" s="9">
        <f>IF(每日收货出货登记!W195&gt;0,每日收货出货登记!S195,"")</f>
        <v/>
      </c>
      <c r="J195" s="9">
        <f>IF(每日收货出货登记!W195&gt;0,每日收货出货登记!AB195,"")</f>
        <v/>
      </c>
    </row>
    <row r="196" ht="22" customHeight="1">
      <c r="A196" s="9">
        <f>IF(每日收货出货登记!W196&gt;0,每日收货出货登记!A196,"")</f>
        <v/>
      </c>
      <c r="B196" s="10">
        <f>IF(每日收货出货登记!W196&gt;0,每日收货出货登记!D196,"")</f>
        <v/>
      </c>
      <c r="C196" s="10">
        <f>IF(每日收货出货登记!W196&gt;0,每日收货出货登记!G196,"")</f>
        <v/>
      </c>
      <c r="D196" s="10">
        <f>IF(每日收货出货登记!W196&gt;0,每日收货出货登记!E196,"")</f>
        <v/>
      </c>
      <c r="E196" s="10">
        <f>IF(每日收货出货登记!W196&gt;0,每日收货出货登记!Q196,"")</f>
        <v/>
      </c>
      <c r="F196" s="10">
        <f>IF(每日收货出货登记!W196&gt;0,每日收货出货登记!V196,"")</f>
        <v/>
      </c>
      <c r="G196" s="10">
        <f>IF(每日收货出货登记!W196&gt;0,每日收货出货登记!W196,"")</f>
        <v/>
      </c>
      <c r="H196" s="10">
        <f>IF(每日收货出货登记!W196&gt;0,每日收货出货登记!R196,"")</f>
        <v/>
      </c>
      <c r="I196" s="9">
        <f>IF(每日收货出货登记!W196&gt;0,每日收货出货登记!S196,"")</f>
        <v/>
      </c>
      <c r="J196" s="9">
        <f>IF(每日收货出货登记!W196&gt;0,每日收货出货登记!AB196,"")</f>
        <v/>
      </c>
    </row>
    <row r="197" ht="22" customHeight="1">
      <c r="A197" s="9">
        <f>IF(每日收货出货登记!W197&gt;0,每日收货出货登记!A197,"")</f>
        <v/>
      </c>
      <c r="B197" s="10">
        <f>IF(每日收货出货登记!W197&gt;0,每日收货出货登记!D197,"")</f>
        <v/>
      </c>
      <c r="C197" s="10">
        <f>IF(每日收货出货登记!W197&gt;0,每日收货出货登记!G197,"")</f>
        <v/>
      </c>
      <c r="D197" s="10">
        <f>IF(每日收货出货登记!W197&gt;0,每日收货出货登记!E197,"")</f>
        <v/>
      </c>
      <c r="E197" s="10">
        <f>IF(每日收货出货登记!W197&gt;0,每日收货出货登记!Q197,"")</f>
        <v/>
      </c>
      <c r="F197" s="10">
        <f>IF(每日收货出货登记!W197&gt;0,每日收货出货登记!V197,"")</f>
        <v/>
      </c>
      <c r="G197" s="10">
        <f>IF(每日收货出货登记!W197&gt;0,每日收货出货登记!W197,"")</f>
        <v/>
      </c>
      <c r="H197" s="10">
        <f>IF(每日收货出货登记!W197&gt;0,每日收货出货登记!R197,"")</f>
        <v/>
      </c>
      <c r="I197" s="9">
        <f>IF(每日收货出货登记!W197&gt;0,每日收货出货登记!S197,"")</f>
        <v/>
      </c>
      <c r="J197" s="9">
        <f>IF(每日收货出货登记!W197&gt;0,每日收货出货登记!AB197,"")</f>
        <v/>
      </c>
    </row>
    <row r="198" ht="22" customHeight="1">
      <c r="A198" s="9">
        <f>IF(每日收货出货登记!W198&gt;0,每日收货出货登记!A198,"")</f>
        <v/>
      </c>
      <c r="B198" s="10">
        <f>IF(每日收货出货登记!W198&gt;0,每日收货出货登记!D198,"")</f>
        <v/>
      </c>
      <c r="C198" s="10">
        <f>IF(每日收货出货登记!W198&gt;0,每日收货出货登记!G198,"")</f>
        <v/>
      </c>
      <c r="D198" s="10">
        <f>IF(每日收货出货登记!W198&gt;0,每日收货出货登记!E198,"")</f>
        <v/>
      </c>
      <c r="E198" s="10">
        <f>IF(每日收货出货登记!W198&gt;0,每日收货出货登记!Q198,"")</f>
        <v/>
      </c>
      <c r="F198" s="10">
        <f>IF(每日收货出货登记!W198&gt;0,每日收货出货登记!V198,"")</f>
        <v/>
      </c>
      <c r="G198" s="10">
        <f>IF(每日收货出货登记!W198&gt;0,每日收货出货登记!W198,"")</f>
        <v/>
      </c>
      <c r="H198" s="10">
        <f>IF(每日收货出货登记!W198&gt;0,每日收货出货登记!R198,"")</f>
        <v/>
      </c>
      <c r="I198" s="9">
        <f>IF(每日收货出货登记!W198&gt;0,每日收货出货登记!S198,"")</f>
        <v/>
      </c>
      <c r="J198" s="9">
        <f>IF(每日收货出货登记!W198&gt;0,每日收货出货登记!AB198,"")</f>
        <v/>
      </c>
    </row>
    <row r="199" ht="22" customHeight="1">
      <c r="A199" s="9">
        <f>IF(每日收货出货登记!W199&gt;0,每日收货出货登记!A199,"")</f>
        <v/>
      </c>
      <c r="B199" s="10">
        <f>IF(每日收货出货登记!W199&gt;0,每日收货出货登记!D199,"")</f>
        <v/>
      </c>
      <c r="C199" s="10">
        <f>IF(每日收货出货登记!W199&gt;0,每日收货出货登记!G199,"")</f>
        <v/>
      </c>
      <c r="D199" s="10">
        <f>IF(每日收货出货登记!W199&gt;0,每日收货出货登记!E199,"")</f>
        <v/>
      </c>
      <c r="E199" s="10">
        <f>IF(每日收货出货登记!W199&gt;0,每日收货出货登记!Q199,"")</f>
        <v/>
      </c>
      <c r="F199" s="10">
        <f>IF(每日收货出货登记!W199&gt;0,每日收货出货登记!V199,"")</f>
        <v/>
      </c>
      <c r="G199" s="10">
        <f>IF(每日收货出货登记!W199&gt;0,每日收货出货登记!W199,"")</f>
        <v/>
      </c>
      <c r="H199" s="10">
        <f>IF(每日收货出货登记!W199&gt;0,每日收货出货登记!R199,"")</f>
        <v/>
      </c>
      <c r="I199" s="9">
        <f>IF(每日收货出货登记!W199&gt;0,每日收货出货登记!S199,"")</f>
        <v/>
      </c>
      <c r="J199" s="9">
        <f>IF(每日收货出货登记!W199&gt;0,每日收货出货登记!AB199,"")</f>
        <v/>
      </c>
    </row>
    <row r="200" ht="22" customHeight="1">
      <c r="A200" s="9">
        <f>IF(每日收货出货登记!W200&gt;0,每日收货出货登记!A200,"")</f>
        <v/>
      </c>
      <c r="B200" s="10">
        <f>IF(每日收货出货登记!W200&gt;0,每日收货出货登记!D200,"")</f>
        <v/>
      </c>
      <c r="C200" s="10">
        <f>IF(每日收货出货登记!W200&gt;0,每日收货出货登记!G200,"")</f>
        <v/>
      </c>
      <c r="D200" s="10">
        <f>IF(每日收货出货登记!W200&gt;0,每日收货出货登记!E200,"")</f>
        <v/>
      </c>
      <c r="E200" s="10">
        <f>IF(每日收货出货登记!W200&gt;0,每日收货出货登记!Q200,"")</f>
        <v/>
      </c>
      <c r="F200" s="10">
        <f>IF(每日收货出货登记!W200&gt;0,每日收货出货登记!V200,"")</f>
        <v/>
      </c>
      <c r="G200" s="10">
        <f>IF(每日收货出货登记!W200&gt;0,每日收货出货登记!W200,"")</f>
        <v/>
      </c>
      <c r="H200" s="10">
        <f>IF(每日收货出货登记!W200&gt;0,每日收货出货登记!R200,"")</f>
        <v/>
      </c>
      <c r="I200" s="9">
        <f>IF(每日收货出货登记!W200&gt;0,每日收货出货登记!S200,"")</f>
        <v/>
      </c>
      <c r="J200" s="9">
        <f>IF(每日收货出货登记!W200&gt;0,每日收货出货登记!AB200,"")</f>
        <v/>
      </c>
    </row>
    <row r="201" ht="22" customHeight="1">
      <c r="A201" s="9">
        <f>IF(每日收货出货登记!W201&gt;0,每日收货出货登记!A201,"")</f>
        <v/>
      </c>
      <c r="B201" s="10">
        <f>IF(每日收货出货登记!W201&gt;0,每日收货出货登记!D201,"")</f>
        <v/>
      </c>
      <c r="C201" s="10">
        <f>IF(每日收货出货登记!W201&gt;0,每日收货出货登记!G201,"")</f>
        <v/>
      </c>
      <c r="D201" s="10">
        <f>IF(每日收货出货登记!W201&gt;0,每日收货出货登记!E201,"")</f>
        <v/>
      </c>
      <c r="E201" s="10">
        <f>IF(每日收货出货登记!W201&gt;0,每日收货出货登记!Q201,"")</f>
        <v/>
      </c>
      <c r="F201" s="10">
        <f>IF(每日收货出货登记!W201&gt;0,每日收货出货登记!V201,"")</f>
        <v/>
      </c>
      <c r="G201" s="10">
        <f>IF(每日收货出货登记!W201&gt;0,每日收货出货登记!W201,"")</f>
        <v/>
      </c>
      <c r="H201" s="10">
        <f>IF(每日收货出货登记!W201&gt;0,每日收货出货登记!R201,"")</f>
        <v/>
      </c>
      <c r="I201" s="9">
        <f>IF(每日收货出货登记!W201&gt;0,每日收货出货登记!S201,"")</f>
        <v/>
      </c>
      <c r="J201" s="9">
        <f>IF(每日收货出货登记!W201&gt;0,每日收货出货登记!AB201,"")</f>
        <v/>
      </c>
    </row>
    <row r="202" ht="22" customHeight="1">
      <c r="A202" s="9">
        <f>IF(每日收货出货登记!W202&gt;0,每日收货出货登记!A202,"")</f>
        <v/>
      </c>
      <c r="B202" s="10">
        <f>IF(每日收货出货登记!W202&gt;0,每日收货出货登记!D202,"")</f>
        <v/>
      </c>
      <c r="C202" s="10">
        <f>IF(每日收货出货登记!W202&gt;0,每日收货出货登记!G202,"")</f>
        <v/>
      </c>
      <c r="D202" s="10">
        <f>IF(每日收货出货登记!W202&gt;0,每日收货出货登记!E202,"")</f>
        <v/>
      </c>
      <c r="E202" s="10">
        <f>IF(每日收货出货登记!W202&gt;0,每日收货出货登记!Q202,"")</f>
        <v/>
      </c>
      <c r="F202" s="10">
        <f>IF(每日收货出货登记!W202&gt;0,每日收货出货登记!V202,"")</f>
        <v/>
      </c>
      <c r="G202" s="10">
        <f>IF(每日收货出货登记!W202&gt;0,每日收货出货登记!W202,"")</f>
        <v/>
      </c>
      <c r="H202" s="10">
        <f>IF(每日收货出货登记!W202&gt;0,每日收货出货登记!R202,"")</f>
        <v/>
      </c>
      <c r="I202" s="9">
        <f>IF(每日收货出货登记!W202&gt;0,每日收货出货登记!S202,"")</f>
        <v/>
      </c>
      <c r="J202" s="9">
        <f>IF(每日收货出货登记!W202&gt;0,每日收货出货登记!AB202,"")</f>
        <v/>
      </c>
    </row>
    <row r="203" ht="22" customHeight="1">
      <c r="A203" s="9">
        <f>IF(每日收货出货登记!W203&gt;0,每日收货出货登记!A203,"")</f>
        <v/>
      </c>
      <c r="B203" s="10">
        <f>IF(每日收货出货登记!W203&gt;0,每日收货出货登记!D203,"")</f>
        <v/>
      </c>
      <c r="C203" s="10">
        <f>IF(每日收货出货登记!W203&gt;0,每日收货出货登记!G203,"")</f>
        <v/>
      </c>
      <c r="D203" s="10">
        <f>IF(每日收货出货登记!W203&gt;0,每日收货出货登记!E203,"")</f>
        <v/>
      </c>
      <c r="E203" s="10">
        <f>IF(每日收货出货登记!W203&gt;0,每日收货出货登记!Q203,"")</f>
        <v/>
      </c>
      <c r="F203" s="10">
        <f>IF(每日收货出货登记!W203&gt;0,每日收货出货登记!V203,"")</f>
        <v/>
      </c>
      <c r="G203" s="10">
        <f>IF(每日收货出货登记!W203&gt;0,每日收货出货登记!W203,"")</f>
        <v/>
      </c>
      <c r="H203" s="10">
        <f>IF(每日收货出货登记!W203&gt;0,每日收货出货登记!R203,"")</f>
        <v/>
      </c>
      <c r="I203" s="9">
        <f>IF(每日收货出货登记!W203&gt;0,每日收货出货登记!S203,"")</f>
        <v/>
      </c>
      <c r="J203" s="9">
        <f>IF(每日收货出货登记!W203&gt;0,每日收货出货登记!AB203,"")</f>
        <v/>
      </c>
    </row>
    <row r="204" ht="22" customHeight="1">
      <c r="A204" s="9">
        <f>IF(每日收货出货登记!W204&gt;0,每日收货出货登记!A204,"")</f>
        <v/>
      </c>
      <c r="B204" s="10">
        <f>IF(每日收货出货登记!W204&gt;0,每日收货出货登记!D204,"")</f>
        <v/>
      </c>
      <c r="C204" s="10">
        <f>IF(每日收货出货登记!W204&gt;0,每日收货出货登记!G204,"")</f>
        <v/>
      </c>
      <c r="D204" s="10">
        <f>IF(每日收货出货登记!W204&gt;0,每日收货出货登记!E204,"")</f>
        <v/>
      </c>
      <c r="E204" s="10">
        <f>IF(每日收货出货登记!W204&gt;0,每日收货出货登记!Q204,"")</f>
        <v/>
      </c>
      <c r="F204" s="10">
        <f>IF(每日收货出货登记!W204&gt;0,每日收货出货登记!V204,"")</f>
        <v/>
      </c>
      <c r="G204" s="10">
        <f>IF(每日收货出货登记!W204&gt;0,每日收货出货登记!W204,"")</f>
        <v/>
      </c>
      <c r="H204" s="10">
        <f>IF(每日收货出货登记!W204&gt;0,每日收货出货登记!R204,"")</f>
        <v/>
      </c>
      <c r="I204" s="9">
        <f>IF(每日收货出货登记!W204&gt;0,每日收货出货登记!S204,"")</f>
        <v/>
      </c>
      <c r="J204" s="9">
        <f>IF(每日收货出货登记!W204&gt;0,每日收货出货登记!AB204,"")</f>
        <v/>
      </c>
    </row>
    <row r="205" ht="22" customHeight="1">
      <c r="A205" s="9">
        <f>IF(每日收货出货登记!W205&gt;0,每日收货出货登记!A205,"")</f>
        <v/>
      </c>
      <c r="B205" s="10">
        <f>IF(每日收货出货登记!W205&gt;0,每日收货出货登记!D205,"")</f>
        <v/>
      </c>
      <c r="C205" s="10">
        <f>IF(每日收货出货登记!W205&gt;0,每日收货出货登记!G205,"")</f>
        <v/>
      </c>
      <c r="D205" s="10">
        <f>IF(每日收货出货登记!W205&gt;0,每日收货出货登记!E205,"")</f>
        <v/>
      </c>
      <c r="E205" s="10">
        <f>IF(每日收货出货登记!W205&gt;0,每日收货出货登记!Q205,"")</f>
        <v/>
      </c>
      <c r="F205" s="10">
        <f>IF(每日收货出货登记!W205&gt;0,每日收货出货登记!V205,"")</f>
        <v/>
      </c>
      <c r="G205" s="10">
        <f>IF(每日收货出货登记!W205&gt;0,每日收货出货登记!W205,"")</f>
        <v/>
      </c>
      <c r="H205" s="10">
        <f>IF(每日收货出货登记!W205&gt;0,每日收货出货登记!R205,"")</f>
        <v/>
      </c>
      <c r="I205" s="9">
        <f>IF(每日收货出货登记!W205&gt;0,每日收货出货登记!S205,"")</f>
        <v/>
      </c>
      <c r="J205" s="9">
        <f>IF(每日收货出货登记!W205&gt;0,每日收货出货登记!AB205,"")</f>
        <v/>
      </c>
    </row>
    <row r="206" ht="22" customHeight="1">
      <c r="A206" s="9">
        <f>IF(每日收货出货登记!W206&gt;0,每日收货出货登记!A206,"")</f>
        <v/>
      </c>
      <c r="B206" s="10">
        <f>IF(每日收货出货登记!W206&gt;0,每日收货出货登记!D206,"")</f>
        <v/>
      </c>
      <c r="C206" s="10">
        <f>IF(每日收货出货登记!W206&gt;0,每日收货出货登记!G206,"")</f>
        <v/>
      </c>
      <c r="D206" s="10">
        <f>IF(每日收货出货登记!W206&gt;0,每日收货出货登记!E206,"")</f>
        <v/>
      </c>
      <c r="E206" s="10">
        <f>IF(每日收货出货登记!W206&gt;0,每日收货出货登记!Q206,"")</f>
        <v/>
      </c>
      <c r="F206" s="10">
        <f>IF(每日收货出货登记!W206&gt;0,每日收货出货登记!V206,"")</f>
        <v/>
      </c>
      <c r="G206" s="10">
        <f>IF(每日收货出货登记!W206&gt;0,每日收货出货登记!W206,"")</f>
        <v/>
      </c>
      <c r="H206" s="10">
        <f>IF(每日收货出货登记!W206&gt;0,每日收货出货登记!R206,"")</f>
        <v/>
      </c>
      <c r="I206" s="9">
        <f>IF(每日收货出货登记!W206&gt;0,每日收货出货登记!S206,"")</f>
        <v/>
      </c>
      <c r="J206" s="9">
        <f>IF(每日收货出货登记!W206&gt;0,每日收货出货登记!AB206,"")</f>
        <v/>
      </c>
    </row>
    <row r="207" ht="22" customHeight="1">
      <c r="A207" s="9">
        <f>IF(每日收货出货登记!W207&gt;0,每日收货出货登记!A207,"")</f>
        <v/>
      </c>
      <c r="B207" s="10">
        <f>IF(每日收货出货登记!W207&gt;0,每日收货出货登记!D207,"")</f>
        <v/>
      </c>
      <c r="C207" s="10">
        <f>IF(每日收货出货登记!W207&gt;0,每日收货出货登记!G207,"")</f>
        <v/>
      </c>
      <c r="D207" s="10">
        <f>IF(每日收货出货登记!W207&gt;0,每日收货出货登记!E207,"")</f>
        <v/>
      </c>
      <c r="E207" s="10">
        <f>IF(每日收货出货登记!W207&gt;0,每日收货出货登记!Q207,"")</f>
        <v/>
      </c>
      <c r="F207" s="10">
        <f>IF(每日收货出货登记!W207&gt;0,每日收货出货登记!V207,"")</f>
        <v/>
      </c>
      <c r="G207" s="10">
        <f>IF(每日收货出货登记!W207&gt;0,每日收货出货登记!W207,"")</f>
        <v/>
      </c>
      <c r="H207" s="10">
        <f>IF(每日收货出货登记!W207&gt;0,每日收货出货登记!R207,"")</f>
        <v/>
      </c>
      <c r="I207" s="9">
        <f>IF(每日收货出货登记!W207&gt;0,每日收货出货登记!S207,"")</f>
        <v/>
      </c>
      <c r="J207" s="9">
        <f>IF(每日收货出货登记!W207&gt;0,每日收货出货登记!AB207,"")</f>
        <v/>
      </c>
    </row>
    <row r="208" ht="22" customHeight="1">
      <c r="A208" s="9">
        <f>IF(每日收货出货登记!W208&gt;0,每日收货出货登记!A208,"")</f>
        <v/>
      </c>
      <c r="B208" s="10">
        <f>IF(每日收货出货登记!W208&gt;0,每日收货出货登记!D208,"")</f>
        <v/>
      </c>
      <c r="C208" s="10">
        <f>IF(每日收货出货登记!W208&gt;0,每日收货出货登记!G208,"")</f>
        <v/>
      </c>
      <c r="D208" s="10">
        <f>IF(每日收货出货登记!W208&gt;0,每日收货出货登记!E208,"")</f>
        <v/>
      </c>
      <c r="E208" s="10">
        <f>IF(每日收货出货登记!W208&gt;0,每日收货出货登记!Q208,"")</f>
        <v/>
      </c>
      <c r="F208" s="10">
        <f>IF(每日收货出货登记!W208&gt;0,每日收货出货登记!V208,"")</f>
        <v/>
      </c>
      <c r="G208" s="10">
        <f>IF(每日收货出货登记!W208&gt;0,每日收货出货登记!W208,"")</f>
        <v/>
      </c>
      <c r="H208" s="10">
        <f>IF(每日收货出货登记!W208&gt;0,每日收货出货登记!R208,"")</f>
        <v/>
      </c>
      <c r="I208" s="9">
        <f>IF(每日收货出货登记!W208&gt;0,每日收货出货登记!S208,"")</f>
        <v/>
      </c>
      <c r="J208" s="9">
        <f>IF(每日收货出货登记!W208&gt;0,每日收货出货登记!AB208,"")</f>
        <v/>
      </c>
    </row>
    <row r="209" ht="22" customHeight="1">
      <c r="A209" s="9">
        <f>IF(每日收货出货登记!W209&gt;0,每日收货出货登记!A209,"")</f>
        <v/>
      </c>
      <c r="B209" s="10">
        <f>IF(每日收货出货登记!W209&gt;0,每日收货出货登记!D209,"")</f>
        <v/>
      </c>
      <c r="C209" s="10">
        <f>IF(每日收货出货登记!W209&gt;0,每日收货出货登记!G209,"")</f>
        <v/>
      </c>
      <c r="D209" s="10">
        <f>IF(每日收货出货登记!W209&gt;0,每日收货出货登记!E209,"")</f>
        <v/>
      </c>
      <c r="E209" s="10">
        <f>IF(每日收货出货登记!W209&gt;0,每日收货出货登记!Q209,"")</f>
        <v/>
      </c>
      <c r="F209" s="10">
        <f>IF(每日收货出货登记!W209&gt;0,每日收货出货登记!V209,"")</f>
        <v/>
      </c>
      <c r="G209" s="10">
        <f>IF(每日收货出货登记!W209&gt;0,每日收货出货登记!W209,"")</f>
        <v/>
      </c>
      <c r="H209" s="10">
        <f>IF(每日收货出货登记!W209&gt;0,每日收货出货登记!R209,"")</f>
        <v/>
      </c>
      <c r="I209" s="9">
        <f>IF(每日收货出货登记!W209&gt;0,每日收货出货登记!S209,"")</f>
        <v/>
      </c>
      <c r="J209" s="9">
        <f>IF(每日收货出货登记!W209&gt;0,每日收货出货登记!AB209,"")</f>
        <v/>
      </c>
    </row>
    <row r="210" ht="22" customHeight="1">
      <c r="A210" s="9">
        <f>IF(每日收货出货登记!W210&gt;0,每日收货出货登记!A210,"")</f>
        <v/>
      </c>
      <c r="B210" s="10">
        <f>IF(每日收货出货登记!W210&gt;0,每日收货出货登记!D210,"")</f>
        <v/>
      </c>
      <c r="C210" s="10">
        <f>IF(每日收货出货登记!W210&gt;0,每日收货出货登记!G210,"")</f>
        <v/>
      </c>
      <c r="D210" s="10">
        <f>IF(每日收货出货登记!W210&gt;0,每日收货出货登记!E210,"")</f>
        <v/>
      </c>
      <c r="E210" s="10">
        <f>IF(每日收货出货登记!W210&gt;0,每日收货出货登记!Q210,"")</f>
        <v/>
      </c>
      <c r="F210" s="10">
        <f>IF(每日收货出货登记!W210&gt;0,每日收货出货登记!V210,"")</f>
        <v/>
      </c>
      <c r="G210" s="10">
        <f>IF(每日收货出货登记!W210&gt;0,每日收货出货登记!W210,"")</f>
        <v/>
      </c>
      <c r="H210" s="10">
        <f>IF(每日收货出货登记!W210&gt;0,每日收货出货登记!R210,"")</f>
        <v/>
      </c>
      <c r="I210" s="9">
        <f>IF(每日收货出货登记!W210&gt;0,每日收货出货登记!S210,"")</f>
        <v/>
      </c>
      <c r="J210" s="9">
        <f>IF(每日收货出货登记!W210&gt;0,每日收货出货登记!AB210,"")</f>
        <v/>
      </c>
    </row>
    <row r="211" ht="22" customHeight="1">
      <c r="A211" s="9">
        <f>IF(每日收货出货登记!W211&gt;0,每日收货出货登记!A211,"")</f>
        <v/>
      </c>
      <c r="B211" s="10">
        <f>IF(每日收货出货登记!W211&gt;0,每日收货出货登记!D211,"")</f>
        <v/>
      </c>
      <c r="C211" s="10">
        <f>IF(每日收货出货登记!W211&gt;0,每日收货出货登记!G211,"")</f>
        <v/>
      </c>
      <c r="D211" s="10">
        <f>IF(每日收货出货登记!W211&gt;0,每日收货出货登记!E211,"")</f>
        <v/>
      </c>
      <c r="E211" s="10">
        <f>IF(每日收货出货登记!W211&gt;0,每日收货出货登记!Q211,"")</f>
        <v/>
      </c>
      <c r="F211" s="10">
        <f>IF(每日收货出货登记!W211&gt;0,每日收货出货登记!V211,"")</f>
        <v/>
      </c>
      <c r="G211" s="10">
        <f>IF(每日收货出货登记!W211&gt;0,每日收货出货登记!W211,"")</f>
        <v/>
      </c>
      <c r="H211" s="10">
        <f>IF(每日收货出货登记!W211&gt;0,每日收货出货登记!R211,"")</f>
        <v/>
      </c>
      <c r="I211" s="9">
        <f>IF(每日收货出货登记!W211&gt;0,每日收货出货登记!S211,"")</f>
        <v/>
      </c>
      <c r="J211" s="9">
        <f>IF(每日收货出货登记!W211&gt;0,每日收货出货登记!AB211,"")</f>
        <v/>
      </c>
    </row>
    <row r="212" ht="22" customHeight="1">
      <c r="A212" s="9">
        <f>IF(每日收货出货登记!W212&gt;0,每日收货出货登记!A212,"")</f>
        <v/>
      </c>
      <c r="B212" s="10">
        <f>IF(每日收货出货登记!W212&gt;0,每日收货出货登记!D212,"")</f>
        <v/>
      </c>
      <c r="C212" s="10">
        <f>IF(每日收货出货登记!W212&gt;0,每日收货出货登记!G212,"")</f>
        <v/>
      </c>
      <c r="D212" s="10">
        <f>IF(每日收货出货登记!W212&gt;0,每日收货出货登记!E212,"")</f>
        <v/>
      </c>
      <c r="E212" s="10">
        <f>IF(每日收货出货登记!W212&gt;0,每日收货出货登记!Q212,"")</f>
        <v/>
      </c>
      <c r="F212" s="10">
        <f>IF(每日收货出货登记!W212&gt;0,每日收货出货登记!V212,"")</f>
        <v/>
      </c>
      <c r="G212" s="10">
        <f>IF(每日收货出货登记!W212&gt;0,每日收货出货登记!W212,"")</f>
        <v/>
      </c>
      <c r="H212" s="10">
        <f>IF(每日收货出货登记!W212&gt;0,每日收货出货登记!R212,"")</f>
        <v/>
      </c>
      <c r="I212" s="9">
        <f>IF(每日收货出货登记!W212&gt;0,每日收货出货登记!S212,"")</f>
        <v/>
      </c>
      <c r="J212" s="9">
        <f>IF(每日收货出货登记!W212&gt;0,每日收货出货登记!AB212,"")</f>
        <v/>
      </c>
    </row>
    <row r="213" ht="22" customHeight="1">
      <c r="A213" s="9">
        <f>IF(每日收货出货登记!W213&gt;0,每日收货出货登记!A213,"")</f>
        <v/>
      </c>
      <c r="B213" s="10">
        <f>IF(每日收货出货登记!W213&gt;0,每日收货出货登记!D213,"")</f>
        <v/>
      </c>
      <c r="C213" s="10">
        <f>IF(每日收货出货登记!W213&gt;0,每日收货出货登记!G213,"")</f>
        <v/>
      </c>
      <c r="D213" s="10">
        <f>IF(每日收货出货登记!W213&gt;0,每日收货出货登记!E213,"")</f>
        <v/>
      </c>
      <c r="E213" s="10">
        <f>IF(每日收货出货登记!W213&gt;0,每日收货出货登记!Q213,"")</f>
        <v/>
      </c>
      <c r="F213" s="10">
        <f>IF(每日收货出货登记!W213&gt;0,每日收货出货登记!V213,"")</f>
        <v/>
      </c>
      <c r="G213" s="10">
        <f>IF(每日收货出货登记!W213&gt;0,每日收货出货登记!W213,"")</f>
        <v/>
      </c>
      <c r="H213" s="10">
        <f>IF(每日收货出货登记!W213&gt;0,每日收货出货登记!R213,"")</f>
        <v/>
      </c>
      <c r="I213" s="9">
        <f>IF(每日收货出货登记!W213&gt;0,每日收货出货登记!S213,"")</f>
        <v/>
      </c>
      <c r="J213" s="9">
        <f>IF(每日收货出货登记!W213&gt;0,每日收货出货登记!AB213,"")</f>
        <v/>
      </c>
    </row>
    <row r="214" ht="22" customHeight="1">
      <c r="A214" s="9">
        <f>IF(每日收货出货登记!W214&gt;0,每日收货出货登记!A214,"")</f>
        <v/>
      </c>
      <c r="B214" s="10">
        <f>IF(每日收货出货登记!W214&gt;0,每日收货出货登记!D214,"")</f>
        <v/>
      </c>
      <c r="C214" s="10">
        <f>IF(每日收货出货登记!W214&gt;0,每日收货出货登记!G214,"")</f>
        <v/>
      </c>
      <c r="D214" s="10">
        <f>IF(每日收货出货登记!W214&gt;0,每日收货出货登记!E214,"")</f>
        <v/>
      </c>
      <c r="E214" s="10">
        <f>IF(每日收货出货登记!W214&gt;0,每日收货出货登记!Q214,"")</f>
        <v/>
      </c>
      <c r="F214" s="10">
        <f>IF(每日收货出货登记!W214&gt;0,每日收货出货登记!V214,"")</f>
        <v/>
      </c>
      <c r="G214" s="10">
        <f>IF(每日收货出货登记!W214&gt;0,每日收货出货登记!W214,"")</f>
        <v/>
      </c>
      <c r="H214" s="10">
        <f>IF(每日收货出货登记!W214&gt;0,每日收货出货登记!R214,"")</f>
        <v/>
      </c>
      <c r="I214" s="9">
        <f>IF(每日收货出货登记!W214&gt;0,每日收货出货登记!S214,"")</f>
        <v/>
      </c>
      <c r="J214" s="9">
        <f>IF(每日收货出货登记!W214&gt;0,每日收货出货登记!AB214,"")</f>
        <v/>
      </c>
    </row>
    <row r="215" ht="22" customHeight="1">
      <c r="A215" s="9">
        <f>IF(每日收货出货登记!W215&gt;0,每日收货出货登记!A215,"")</f>
        <v/>
      </c>
      <c r="B215" s="10">
        <f>IF(每日收货出货登记!W215&gt;0,每日收货出货登记!D215,"")</f>
        <v/>
      </c>
      <c r="C215" s="10">
        <f>IF(每日收货出货登记!W215&gt;0,每日收货出货登记!G215,"")</f>
        <v/>
      </c>
      <c r="D215" s="10">
        <f>IF(每日收货出货登记!W215&gt;0,每日收货出货登记!E215,"")</f>
        <v/>
      </c>
      <c r="E215" s="10">
        <f>IF(每日收货出货登记!W215&gt;0,每日收货出货登记!Q215,"")</f>
        <v/>
      </c>
      <c r="F215" s="10">
        <f>IF(每日收货出货登记!W215&gt;0,每日收货出货登记!V215,"")</f>
        <v/>
      </c>
      <c r="G215" s="10">
        <f>IF(每日收货出货登记!W215&gt;0,每日收货出货登记!W215,"")</f>
        <v/>
      </c>
      <c r="H215" s="10">
        <f>IF(每日收货出货登记!W215&gt;0,每日收货出货登记!R215,"")</f>
        <v/>
      </c>
      <c r="I215" s="9">
        <f>IF(每日收货出货登记!W215&gt;0,每日收货出货登记!S215,"")</f>
        <v/>
      </c>
      <c r="J215" s="9">
        <f>IF(每日收货出货登记!W215&gt;0,每日收货出货登记!AB215,"")</f>
        <v/>
      </c>
    </row>
    <row r="216" ht="22" customHeight="1">
      <c r="A216" s="9">
        <f>IF(每日收货出货登记!W216&gt;0,每日收货出货登记!A216,"")</f>
        <v/>
      </c>
      <c r="B216" s="10">
        <f>IF(每日收货出货登记!W216&gt;0,每日收货出货登记!D216,"")</f>
        <v/>
      </c>
      <c r="C216" s="10">
        <f>IF(每日收货出货登记!W216&gt;0,每日收货出货登记!G216,"")</f>
        <v/>
      </c>
      <c r="D216" s="10">
        <f>IF(每日收货出货登记!W216&gt;0,每日收货出货登记!E216,"")</f>
        <v/>
      </c>
      <c r="E216" s="10">
        <f>IF(每日收货出货登记!W216&gt;0,每日收货出货登记!Q216,"")</f>
        <v/>
      </c>
      <c r="F216" s="10">
        <f>IF(每日收货出货登记!W216&gt;0,每日收货出货登记!V216,"")</f>
        <v/>
      </c>
      <c r="G216" s="10">
        <f>IF(每日收货出货登记!W216&gt;0,每日收货出货登记!W216,"")</f>
        <v/>
      </c>
      <c r="H216" s="10">
        <f>IF(每日收货出货登记!W216&gt;0,每日收货出货登记!R216,"")</f>
        <v/>
      </c>
      <c r="I216" s="9">
        <f>IF(每日收货出货登记!W216&gt;0,每日收货出货登记!S216,"")</f>
        <v/>
      </c>
      <c r="J216" s="9">
        <f>IF(每日收货出货登记!W216&gt;0,每日收货出货登记!AB216,"")</f>
        <v/>
      </c>
    </row>
    <row r="217" ht="22" customHeight="1">
      <c r="A217" s="9">
        <f>IF(每日收货出货登记!W217&gt;0,每日收货出货登记!A217,"")</f>
        <v/>
      </c>
      <c r="B217" s="10">
        <f>IF(每日收货出货登记!W217&gt;0,每日收货出货登记!D217,"")</f>
        <v/>
      </c>
      <c r="C217" s="10">
        <f>IF(每日收货出货登记!W217&gt;0,每日收货出货登记!G217,"")</f>
        <v/>
      </c>
      <c r="D217" s="10">
        <f>IF(每日收货出货登记!W217&gt;0,每日收货出货登记!E217,"")</f>
        <v/>
      </c>
      <c r="E217" s="10">
        <f>IF(每日收货出货登记!W217&gt;0,每日收货出货登记!Q217,"")</f>
        <v/>
      </c>
      <c r="F217" s="10">
        <f>IF(每日收货出货登记!W217&gt;0,每日收货出货登记!V217,"")</f>
        <v/>
      </c>
      <c r="G217" s="10">
        <f>IF(每日收货出货登记!W217&gt;0,每日收货出货登记!W217,"")</f>
        <v/>
      </c>
      <c r="H217" s="10">
        <f>IF(每日收货出货登记!W217&gt;0,每日收货出货登记!R217,"")</f>
        <v/>
      </c>
      <c r="I217" s="9">
        <f>IF(每日收货出货登记!W217&gt;0,每日收货出货登记!S217,"")</f>
        <v/>
      </c>
      <c r="J217" s="9">
        <f>IF(每日收货出货登记!W217&gt;0,每日收货出货登记!AB217,"")</f>
        <v/>
      </c>
    </row>
    <row r="218" ht="22" customHeight="1">
      <c r="A218" s="9">
        <f>IF(每日收货出货登记!W218&gt;0,每日收货出货登记!A218,"")</f>
        <v/>
      </c>
      <c r="B218" s="10">
        <f>IF(每日收货出货登记!W218&gt;0,每日收货出货登记!D218,"")</f>
        <v/>
      </c>
      <c r="C218" s="10">
        <f>IF(每日收货出货登记!W218&gt;0,每日收货出货登记!G218,"")</f>
        <v/>
      </c>
      <c r="D218" s="10">
        <f>IF(每日收货出货登记!W218&gt;0,每日收货出货登记!E218,"")</f>
        <v/>
      </c>
      <c r="E218" s="10">
        <f>IF(每日收货出货登记!W218&gt;0,每日收货出货登记!Q218,"")</f>
        <v/>
      </c>
      <c r="F218" s="10">
        <f>IF(每日收货出货登记!W218&gt;0,每日收货出货登记!V218,"")</f>
        <v/>
      </c>
      <c r="G218" s="10">
        <f>IF(每日收货出货登记!W218&gt;0,每日收货出货登记!W218,"")</f>
        <v/>
      </c>
      <c r="H218" s="10">
        <f>IF(每日收货出货登记!W218&gt;0,每日收货出货登记!R218,"")</f>
        <v/>
      </c>
      <c r="I218" s="9">
        <f>IF(每日收货出货登记!W218&gt;0,每日收货出货登记!S218,"")</f>
        <v/>
      </c>
      <c r="J218" s="9">
        <f>IF(每日收货出货登记!W218&gt;0,每日收货出货登记!AB218,"")</f>
        <v/>
      </c>
    </row>
    <row r="219" ht="22" customHeight="1">
      <c r="A219" s="9">
        <f>IF(每日收货出货登记!W219&gt;0,每日收货出货登记!A219,"")</f>
        <v/>
      </c>
      <c r="B219" s="10">
        <f>IF(每日收货出货登记!W219&gt;0,每日收货出货登记!D219,"")</f>
        <v/>
      </c>
      <c r="C219" s="10">
        <f>IF(每日收货出货登记!W219&gt;0,每日收货出货登记!G219,"")</f>
        <v/>
      </c>
      <c r="D219" s="10">
        <f>IF(每日收货出货登记!W219&gt;0,每日收货出货登记!E219,"")</f>
        <v/>
      </c>
      <c r="E219" s="10">
        <f>IF(每日收货出货登记!W219&gt;0,每日收货出货登记!Q219,"")</f>
        <v/>
      </c>
      <c r="F219" s="10">
        <f>IF(每日收货出货登记!W219&gt;0,每日收货出货登记!V219,"")</f>
        <v/>
      </c>
      <c r="G219" s="10">
        <f>IF(每日收货出货登记!W219&gt;0,每日收货出货登记!W219,"")</f>
        <v/>
      </c>
      <c r="H219" s="10">
        <f>IF(每日收货出货登记!W219&gt;0,每日收货出货登记!R219,"")</f>
        <v/>
      </c>
      <c r="I219" s="9">
        <f>IF(每日收货出货登记!W219&gt;0,每日收货出货登记!S219,"")</f>
        <v/>
      </c>
      <c r="J219" s="9">
        <f>IF(每日收货出货登记!W219&gt;0,每日收货出货登记!AB219,"")</f>
        <v/>
      </c>
    </row>
    <row r="220" ht="22" customHeight="1">
      <c r="A220" s="9">
        <f>IF(每日收货出货登记!W220&gt;0,每日收货出货登记!A220,"")</f>
        <v/>
      </c>
      <c r="B220" s="10">
        <f>IF(每日收货出货登记!W220&gt;0,每日收货出货登记!D220,"")</f>
        <v/>
      </c>
      <c r="C220" s="10">
        <f>IF(每日收货出货登记!W220&gt;0,每日收货出货登记!G220,"")</f>
        <v/>
      </c>
      <c r="D220" s="10">
        <f>IF(每日收货出货登记!W220&gt;0,每日收货出货登记!E220,"")</f>
        <v/>
      </c>
      <c r="E220" s="10">
        <f>IF(每日收货出货登记!W220&gt;0,每日收货出货登记!Q220,"")</f>
        <v/>
      </c>
      <c r="F220" s="10">
        <f>IF(每日收货出货登记!W220&gt;0,每日收货出货登记!V220,"")</f>
        <v/>
      </c>
      <c r="G220" s="10">
        <f>IF(每日收货出货登记!W220&gt;0,每日收货出货登记!W220,"")</f>
        <v/>
      </c>
      <c r="H220" s="10">
        <f>IF(每日收货出货登记!W220&gt;0,每日收货出货登记!R220,"")</f>
        <v/>
      </c>
      <c r="I220" s="9">
        <f>IF(每日收货出货登记!W220&gt;0,每日收货出货登记!S220,"")</f>
        <v/>
      </c>
      <c r="J220" s="9">
        <f>IF(每日收货出货登记!W220&gt;0,每日收货出货登记!AB220,"")</f>
        <v/>
      </c>
    </row>
    <row r="221" ht="22" customHeight="1">
      <c r="A221" s="9">
        <f>IF(每日收货出货登记!W221&gt;0,每日收货出货登记!A221,"")</f>
        <v/>
      </c>
      <c r="B221" s="10">
        <f>IF(每日收货出货登记!W221&gt;0,每日收货出货登记!D221,"")</f>
        <v/>
      </c>
      <c r="C221" s="10">
        <f>IF(每日收货出货登记!W221&gt;0,每日收货出货登记!G221,"")</f>
        <v/>
      </c>
      <c r="D221" s="10">
        <f>IF(每日收货出货登记!W221&gt;0,每日收货出货登记!E221,"")</f>
        <v/>
      </c>
      <c r="E221" s="10">
        <f>IF(每日收货出货登记!W221&gt;0,每日收货出货登记!Q221,"")</f>
        <v/>
      </c>
      <c r="F221" s="10">
        <f>IF(每日收货出货登记!W221&gt;0,每日收货出货登记!V221,"")</f>
        <v/>
      </c>
      <c r="G221" s="10">
        <f>IF(每日收货出货登记!W221&gt;0,每日收货出货登记!W221,"")</f>
        <v/>
      </c>
      <c r="H221" s="10">
        <f>IF(每日收货出货登记!W221&gt;0,每日收货出货登记!R221,"")</f>
        <v/>
      </c>
      <c r="I221" s="9">
        <f>IF(每日收货出货登记!W221&gt;0,每日收货出货登记!S221,"")</f>
        <v/>
      </c>
      <c r="J221" s="9">
        <f>IF(每日收货出货登记!W221&gt;0,每日收货出货登记!AB221,"")</f>
        <v/>
      </c>
    </row>
    <row r="222" ht="22" customHeight="1">
      <c r="A222" s="9">
        <f>IF(每日收货出货登记!W222&gt;0,每日收货出货登记!A222,"")</f>
        <v/>
      </c>
      <c r="B222" s="10">
        <f>IF(每日收货出货登记!W222&gt;0,每日收货出货登记!D222,"")</f>
        <v/>
      </c>
      <c r="C222" s="10">
        <f>IF(每日收货出货登记!W222&gt;0,每日收货出货登记!G222,"")</f>
        <v/>
      </c>
      <c r="D222" s="10">
        <f>IF(每日收货出货登记!W222&gt;0,每日收货出货登记!E222,"")</f>
        <v/>
      </c>
      <c r="E222" s="10">
        <f>IF(每日收货出货登记!W222&gt;0,每日收货出货登记!Q222,"")</f>
        <v/>
      </c>
      <c r="F222" s="10">
        <f>IF(每日收货出货登记!W222&gt;0,每日收货出货登记!V222,"")</f>
        <v/>
      </c>
      <c r="G222" s="10">
        <f>IF(每日收货出货登记!W222&gt;0,每日收货出货登记!W222,"")</f>
        <v/>
      </c>
      <c r="H222" s="10">
        <f>IF(每日收货出货登记!W222&gt;0,每日收货出货登记!R222,"")</f>
        <v/>
      </c>
      <c r="I222" s="9">
        <f>IF(每日收货出货登记!W222&gt;0,每日收货出货登记!S222,"")</f>
        <v/>
      </c>
      <c r="J222" s="9">
        <f>IF(每日收货出货登记!W222&gt;0,每日收货出货登记!AB222,"")</f>
        <v/>
      </c>
    </row>
    <row r="223" ht="22" customHeight="1">
      <c r="A223" s="9">
        <f>IF(每日收货出货登记!W223&gt;0,每日收货出货登记!A223,"")</f>
        <v/>
      </c>
      <c r="B223" s="10">
        <f>IF(每日收货出货登记!W223&gt;0,每日收货出货登记!D223,"")</f>
        <v/>
      </c>
      <c r="C223" s="10">
        <f>IF(每日收货出货登记!W223&gt;0,每日收货出货登记!G223,"")</f>
        <v/>
      </c>
      <c r="D223" s="10">
        <f>IF(每日收货出货登记!W223&gt;0,每日收货出货登记!E223,"")</f>
        <v/>
      </c>
      <c r="E223" s="10">
        <f>IF(每日收货出货登记!W223&gt;0,每日收货出货登记!Q223,"")</f>
        <v/>
      </c>
      <c r="F223" s="10">
        <f>IF(每日收货出货登记!W223&gt;0,每日收货出货登记!V223,"")</f>
        <v/>
      </c>
      <c r="G223" s="10">
        <f>IF(每日收货出货登记!W223&gt;0,每日收货出货登记!W223,"")</f>
        <v/>
      </c>
      <c r="H223" s="10">
        <f>IF(每日收货出货登记!W223&gt;0,每日收货出货登记!R223,"")</f>
        <v/>
      </c>
      <c r="I223" s="9">
        <f>IF(每日收货出货登记!W223&gt;0,每日收货出货登记!S223,"")</f>
        <v/>
      </c>
      <c r="J223" s="9">
        <f>IF(每日收货出货登记!W223&gt;0,每日收货出货登记!AB223,"")</f>
        <v/>
      </c>
    </row>
    <row r="224" ht="22" customHeight="1">
      <c r="A224" s="9">
        <f>IF(每日收货出货登记!W224&gt;0,每日收货出货登记!A224,"")</f>
        <v/>
      </c>
      <c r="B224" s="10">
        <f>IF(每日收货出货登记!W224&gt;0,每日收货出货登记!D224,"")</f>
        <v/>
      </c>
      <c r="C224" s="10">
        <f>IF(每日收货出货登记!W224&gt;0,每日收货出货登记!G224,"")</f>
        <v/>
      </c>
      <c r="D224" s="10">
        <f>IF(每日收货出货登记!W224&gt;0,每日收货出货登记!E224,"")</f>
        <v/>
      </c>
      <c r="E224" s="10">
        <f>IF(每日收货出货登记!W224&gt;0,每日收货出货登记!Q224,"")</f>
        <v/>
      </c>
      <c r="F224" s="10">
        <f>IF(每日收货出货登记!W224&gt;0,每日收货出货登记!V224,"")</f>
        <v/>
      </c>
      <c r="G224" s="10">
        <f>IF(每日收货出货登记!W224&gt;0,每日收货出货登记!W224,"")</f>
        <v/>
      </c>
      <c r="H224" s="10">
        <f>IF(每日收货出货登记!W224&gt;0,每日收货出货登记!R224,"")</f>
        <v/>
      </c>
      <c r="I224" s="9">
        <f>IF(每日收货出货登记!W224&gt;0,每日收货出货登记!S224,"")</f>
        <v/>
      </c>
      <c r="J224" s="9">
        <f>IF(每日收货出货登记!W224&gt;0,每日收货出货登记!AB224,"")</f>
        <v/>
      </c>
    </row>
    <row r="225" ht="22" customHeight="1">
      <c r="A225" s="9">
        <f>IF(每日收货出货登记!W225&gt;0,每日收货出货登记!A225,"")</f>
        <v/>
      </c>
      <c r="B225" s="10">
        <f>IF(每日收货出货登记!W225&gt;0,每日收货出货登记!D225,"")</f>
        <v/>
      </c>
      <c r="C225" s="10">
        <f>IF(每日收货出货登记!W225&gt;0,每日收货出货登记!G225,"")</f>
        <v/>
      </c>
      <c r="D225" s="10">
        <f>IF(每日收货出货登记!W225&gt;0,每日收货出货登记!E225,"")</f>
        <v/>
      </c>
      <c r="E225" s="10">
        <f>IF(每日收货出货登记!W225&gt;0,每日收货出货登记!Q225,"")</f>
        <v/>
      </c>
      <c r="F225" s="10">
        <f>IF(每日收货出货登记!W225&gt;0,每日收货出货登记!V225,"")</f>
        <v/>
      </c>
      <c r="G225" s="10">
        <f>IF(每日收货出货登记!W225&gt;0,每日收货出货登记!W225,"")</f>
        <v/>
      </c>
      <c r="H225" s="10">
        <f>IF(每日收货出货登记!W225&gt;0,每日收货出货登记!R225,"")</f>
        <v/>
      </c>
      <c r="I225" s="9">
        <f>IF(每日收货出货登记!W225&gt;0,每日收货出货登记!S225,"")</f>
        <v/>
      </c>
      <c r="J225" s="9">
        <f>IF(每日收货出货登记!W225&gt;0,每日收货出货登记!AB225,"")</f>
        <v/>
      </c>
    </row>
    <row r="226" ht="22" customHeight="1">
      <c r="A226" s="9">
        <f>IF(每日收货出货登记!W226&gt;0,每日收货出货登记!A226,"")</f>
        <v/>
      </c>
      <c r="B226" s="10">
        <f>IF(每日收货出货登记!W226&gt;0,每日收货出货登记!D226,"")</f>
        <v/>
      </c>
      <c r="C226" s="10">
        <f>IF(每日收货出货登记!W226&gt;0,每日收货出货登记!G226,"")</f>
        <v/>
      </c>
      <c r="D226" s="10">
        <f>IF(每日收货出货登记!W226&gt;0,每日收货出货登记!E226,"")</f>
        <v/>
      </c>
      <c r="E226" s="10">
        <f>IF(每日收货出货登记!W226&gt;0,每日收货出货登记!Q226,"")</f>
        <v/>
      </c>
      <c r="F226" s="10">
        <f>IF(每日收货出货登记!W226&gt;0,每日收货出货登记!V226,"")</f>
        <v/>
      </c>
      <c r="G226" s="10">
        <f>IF(每日收货出货登记!W226&gt;0,每日收货出货登记!W226,"")</f>
        <v/>
      </c>
      <c r="H226" s="10">
        <f>IF(每日收货出货登记!W226&gt;0,每日收货出货登记!R226,"")</f>
        <v/>
      </c>
      <c r="I226" s="9">
        <f>IF(每日收货出货登记!W226&gt;0,每日收货出货登记!S226,"")</f>
        <v/>
      </c>
      <c r="J226" s="9">
        <f>IF(每日收货出货登记!W226&gt;0,每日收货出货登记!AB226,"")</f>
        <v/>
      </c>
    </row>
    <row r="227" ht="22" customHeight="1">
      <c r="A227" s="9">
        <f>IF(每日收货出货登记!W227&gt;0,每日收货出货登记!A227,"")</f>
        <v/>
      </c>
      <c r="B227" s="10">
        <f>IF(每日收货出货登记!W227&gt;0,每日收货出货登记!D227,"")</f>
        <v/>
      </c>
      <c r="C227" s="10">
        <f>IF(每日收货出货登记!W227&gt;0,每日收货出货登记!G227,"")</f>
        <v/>
      </c>
      <c r="D227" s="10">
        <f>IF(每日收货出货登记!W227&gt;0,每日收货出货登记!E227,"")</f>
        <v/>
      </c>
      <c r="E227" s="10">
        <f>IF(每日收货出货登记!W227&gt;0,每日收货出货登记!Q227,"")</f>
        <v/>
      </c>
      <c r="F227" s="10">
        <f>IF(每日收货出货登记!W227&gt;0,每日收货出货登记!V227,"")</f>
        <v/>
      </c>
      <c r="G227" s="10">
        <f>IF(每日收货出货登记!W227&gt;0,每日收货出货登记!W227,"")</f>
        <v/>
      </c>
      <c r="H227" s="10">
        <f>IF(每日收货出货登记!W227&gt;0,每日收货出货登记!R227,"")</f>
        <v/>
      </c>
      <c r="I227" s="9">
        <f>IF(每日收货出货登记!W227&gt;0,每日收货出货登记!S227,"")</f>
        <v/>
      </c>
      <c r="J227" s="9">
        <f>IF(每日收货出货登记!W227&gt;0,每日收货出货登记!AB227,"")</f>
        <v/>
      </c>
    </row>
    <row r="228" ht="22" customHeight="1">
      <c r="A228" s="9">
        <f>IF(每日收货出货登记!W228&gt;0,每日收货出货登记!A228,"")</f>
        <v/>
      </c>
      <c r="B228" s="10">
        <f>IF(每日收货出货登记!W228&gt;0,每日收货出货登记!D228,"")</f>
        <v/>
      </c>
      <c r="C228" s="10">
        <f>IF(每日收货出货登记!W228&gt;0,每日收货出货登记!G228,"")</f>
        <v/>
      </c>
      <c r="D228" s="10">
        <f>IF(每日收货出货登记!W228&gt;0,每日收货出货登记!E228,"")</f>
        <v/>
      </c>
      <c r="E228" s="10">
        <f>IF(每日收货出货登记!W228&gt;0,每日收货出货登记!Q228,"")</f>
        <v/>
      </c>
      <c r="F228" s="10">
        <f>IF(每日收货出货登记!W228&gt;0,每日收货出货登记!V228,"")</f>
        <v/>
      </c>
      <c r="G228" s="10">
        <f>IF(每日收货出货登记!W228&gt;0,每日收货出货登记!W228,"")</f>
        <v/>
      </c>
      <c r="H228" s="10">
        <f>IF(每日收货出货登记!W228&gt;0,每日收货出货登记!R228,"")</f>
        <v/>
      </c>
      <c r="I228" s="9">
        <f>IF(每日收货出货登记!W228&gt;0,每日收货出货登记!S228,"")</f>
        <v/>
      </c>
      <c r="J228" s="9">
        <f>IF(每日收货出货登记!W228&gt;0,每日收货出货登记!AB228,"")</f>
        <v/>
      </c>
    </row>
    <row r="229" ht="22" customHeight="1">
      <c r="A229" s="9">
        <f>IF(每日收货出货登记!W229&gt;0,每日收货出货登记!A229,"")</f>
        <v/>
      </c>
      <c r="B229" s="10">
        <f>IF(每日收货出货登记!W229&gt;0,每日收货出货登记!D229,"")</f>
        <v/>
      </c>
      <c r="C229" s="10">
        <f>IF(每日收货出货登记!W229&gt;0,每日收货出货登记!G229,"")</f>
        <v/>
      </c>
      <c r="D229" s="10">
        <f>IF(每日收货出货登记!W229&gt;0,每日收货出货登记!E229,"")</f>
        <v/>
      </c>
      <c r="E229" s="10">
        <f>IF(每日收货出货登记!W229&gt;0,每日收货出货登记!Q229,"")</f>
        <v/>
      </c>
      <c r="F229" s="10">
        <f>IF(每日收货出货登记!W229&gt;0,每日收货出货登记!V229,"")</f>
        <v/>
      </c>
      <c r="G229" s="10">
        <f>IF(每日收货出货登记!W229&gt;0,每日收货出货登记!W229,"")</f>
        <v/>
      </c>
      <c r="H229" s="10">
        <f>IF(每日收货出货登记!W229&gt;0,每日收货出货登记!R229,"")</f>
        <v/>
      </c>
      <c r="I229" s="9">
        <f>IF(每日收货出货登记!W229&gt;0,每日收货出货登记!S229,"")</f>
        <v/>
      </c>
      <c r="J229" s="9">
        <f>IF(每日收货出货登记!W229&gt;0,每日收货出货登记!AB229,"")</f>
        <v/>
      </c>
    </row>
    <row r="230" ht="22" customHeight="1">
      <c r="A230" s="9">
        <f>IF(每日收货出货登记!W230&gt;0,每日收货出货登记!A230,"")</f>
        <v/>
      </c>
      <c r="B230" s="10">
        <f>IF(每日收货出货登记!W230&gt;0,每日收货出货登记!D230,"")</f>
        <v/>
      </c>
      <c r="C230" s="10">
        <f>IF(每日收货出货登记!W230&gt;0,每日收货出货登记!G230,"")</f>
        <v/>
      </c>
      <c r="D230" s="10">
        <f>IF(每日收货出货登记!W230&gt;0,每日收货出货登记!E230,"")</f>
        <v/>
      </c>
      <c r="E230" s="10">
        <f>IF(每日收货出货登记!W230&gt;0,每日收货出货登记!Q230,"")</f>
        <v/>
      </c>
      <c r="F230" s="10">
        <f>IF(每日收货出货登记!W230&gt;0,每日收货出货登记!V230,"")</f>
        <v/>
      </c>
      <c r="G230" s="10">
        <f>IF(每日收货出货登记!W230&gt;0,每日收货出货登记!W230,"")</f>
        <v/>
      </c>
      <c r="H230" s="10">
        <f>IF(每日收货出货登记!W230&gt;0,每日收货出货登记!R230,"")</f>
        <v/>
      </c>
      <c r="I230" s="9">
        <f>IF(每日收货出货登记!W230&gt;0,每日收货出货登记!S230,"")</f>
        <v/>
      </c>
      <c r="J230" s="9">
        <f>IF(每日收货出货登记!W230&gt;0,每日收货出货登记!AB230,"")</f>
        <v/>
      </c>
    </row>
    <row r="231" ht="22" customHeight="1">
      <c r="A231" s="9">
        <f>IF(每日收货出货登记!W231&gt;0,每日收货出货登记!A231,"")</f>
        <v/>
      </c>
      <c r="B231" s="10">
        <f>IF(每日收货出货登记!W231&gt;0,每日收货出货登记!D231,"")</f>
        <v/>
      </c>
      <c r="C231" s="10">
        <f>IF(每日收货出货登记!W231&gt;0,每日收货出货登记!G231,"")</f>
        <v/>
      </c>
      <c r="D231" s="10">
        <f>IF(每日收货出货登记!W231&gt;0,每日收货出货登记!E231,"")</f>
        <v/>
      </c>
      <c r="E231" s="10">
        <f>IF(每日收货出货登记!W231&gt;0,每日收货出货登记!Q231,"")</f>
        <v/>
      </c>
      <c r="F231" s="10">
        <f>IF(每日收货出货登记!W231&gt;0,每日收货出货登记!V231,"")</f>
        <v/>
      </c>
      <c r="G231" s="10">
        <f>IF(每日收货出货登记!W231&gt;0,每日收货出货登记!W231,"")</f>
        <v/>
      </c>
      <c r="H231" s="10">
        <f>IF(每日收货出货登记!W231&gt;0,每日收货出货登记!R231,"")</f>
        <v/>
      </c>
      <c r="I231" s="9">
        <f>IF(每日收货出货登记!W231&gt;0,每日收货出货登记!S231,"")</f>
        <v/>
      </c>
      <c r="J231" s="9">
        <f>IF(每日收货出货登记!W231&gt;0,每日收货出货登记!AB231,"")</f>
        <v/>
      </c>
    </row>
    <row r="232" ht="22" customHeight="1">
      <c r="A232" s="9">
        <f>IF(每日收货出货登记!W232&gt;0,每日收货出货登记!A232,"")</f>
        <v/>
      </c>
      <c r="B232" s="10">
        <f>IF(每日收货出货登记!W232&gt;0,每日收货出货登记!D232,"")</f>
        <v/>
      </c>
      <c r="C232" s="10">
        <f>IF(每日收货出货登记!W232&gt;0,每日收货出货登记!G232,"")</f>
        <v/>
      </c>
      <c r="D232" s="10">
        <f>IF(每日收货出货登记!W232&gt;0,每日收货出货登记!E232,"")</f>
        <v/>
      </c>
      <c r="E232" s="10">
        <f>IF(每日收货出货登记!W232&gt;0,每日收货出货登记!Q232,"")</f>
        <v/>
      </c>
      <c r="F232" s="10">
        <f>IF(每日收货出货登记!W232&gt;0,每日收货出货登记!V232,"")</f>
        <v/>
      </c>
      <c r="G232" s="10">
        <f>IF(每日收货出货登记!W232&gt;0,每日收货出货登记!W232,"")</f>
        <v/>
      </c>
      <c r="H232" s="10">
        <f>IF(每日收货出货登记!W232&gt;0,每日收货出货登记!R232,"")</f>
        <v/>
      </c>
      <c r="I232" s="9">
        <f>IF(每日收货出货登记!W232&gt;0,每日收货出货登记!S232,"")</f>
        <v/>
      </c>
      <c r="J232" s="9">
        <f>IF(每日收货出货登记!W232&gt;0,每日收货出货登记!AB232,"")</f>
        <v/>
      </c>
    </row>
    <row r="233" ht="22" customHeight="1">
      <c r="A233" s="9">
        <f>IF(每日收货出货登记!W233&gt;0,每日收货出货登记!A233,"")</f>
        <v/>
      </c>
      <c r="B233" s="10">
        <f>IF(每日收货出货登记!W233&gt;0,每日收货出货登记!D233,"")</f>
        <v/>
      </c>
      <c r="C233" s="10">
        <f>IF(每日收货出货登记!W233&gt;0,每日收货出货登记!G233,"")</f>
        <v/>
      </c>
      <c r="D233" s="10">
        <f>IF(每日收货出货登记!W233&gt;0,每日收货出货登记!E233,"")</f>
        <v/>
      </c>
      <c r="E233" s="10">
        <f>IF(每日收货出货登记!W233&gt;0,每日收货出货登记!Q233,"")</f>
        <v/>
      </c>
      <c r="F233" s="10">
        <f>IF(每日收货出货登记!W233&gt;0,每日收货出货登记!V233,"")</f>
        <v/>
      </c>
      <c r="G233" s="10">
        <f>IF(每日收货出货登记!W233&gt;0,每日收货出货登记!W233,"")</f>
        <v/>
      </c>
      <c r="H233" s="10">
        <f>IF(每日收货出货登记!W233&gt;0,每日收货出货登记!R233,"")</f>
        <v/>
      </c>
      <c r="I233" s="9">
        <f>IF(每日收货出货登记!W233&gt;0,每日收货出货登记!S233,"")</f>
        <v/>
      </c>
      <c r="J233" s="9">
        <f>IF(每日收货出货登记!W233&gt;0,每日收货出货登记!AB233,"")</f>
        <v/>
      </c>
    </row>
    <row r="234" ht="22" customHeight="1">
      <c r="A234" s="9">
        <f>IF(每日收货出货登记!W234&gt;0,每日收货出货登记!A234,"")</f>
        <v/>
      </c>
      <c r="B234" s="10">
        <f>IF(每日收货出货登记!W234&gt;0,每日收货出货登记!D234,"")</f>
        <v/>
      </c>
      <c r="C234" s="10">
        <f>IF(每日收货出货登记!W234&gt;0,每日收货出货登记!G234,"")</f>
        <v/>
      </c>
      <c r="D234" s="10">
        <f>IF(每日收货出货登记!W234&gt;0,每日收货出货登记!E234,"")</f>
        <v/>
      </c>
      <c r="E234" s="10">
        <f>IF(每日收货出货登记!W234&gt;0,每日收货出货登记!Q234,"")</f>
        <v/>
      </c>
      <c r="F234" s="10">
        <f>IF(每日收货出货登记!W234&gt;0,每日收货出货登记!V234,"")</f>
        <v/>
      </c>
      <c r="G234" s="10">
        <f>IF(每日收货出货登记!W234&gt;0,每日收货出货登记!W234,"")</f>
        <v/>
      </c>
      <c r="H234" s="10">
        <f>IF(每日收货出货登记!W234&gt;0,每日收货出货登记!R234,"")</f>
        <v/>
      </c>
      <c r="I234" s="9">
        <f>IF(每日收货出货登记!W234&gt;0,每日收货出货登记!S234,"")</f>
        <v/>
      </c>
      <c r="J234" s="9">
        <f>IF(每日收货出货登记!W234&gt;0,每日收货出货登记!AB234,"")</f>
        <v/>
      </c>
    </row>
    <row r="235" ht="22" customHeight="1">
      <c r="A235" s="9">
        <f>IF(每日收货出货登记!W235&gt;0,每日收货出货登记!A235,"")</f>
        <v/>
      </c>
      <c r="B235" s="10">
        <f>IF(每日收货出货登记!W235&gt;0,每日收货出货登记!D235,"")</f>
        <v/>
      </c>
      <c r="C235" s="10">
        <f>IF(每日收货出货登记!W235&gt;0,每日收货出货登记!G235,"")</f>
        <v/>
      </c>
      <c r="D235" s="10">
        <f>IF(每日收货出货登记!W235&gt;0,每日收货出货登记!E235,"")</f>
        <v/>
      </c>
      <c r="E235" s="10">
        <f>IF(每日收货出货登记!W235&gt;0,每日收货出货登记!Q235,"")</f>
        <v/>
      </c>
      <c r="F235" s="10">
        <f>IF(每日收货出货登记!W235&gt;0,每日收货出货登记!V235,"")</f>
        <v/>
      </c>
      <c r="G235" s="10">
        <f>IF(每日收货出货登记!W235&gt;0,每日收货出货登记!W235,"")</f>
        <v/>
      </c>
      <c r="H235" s="10">
        <f>IF(每日收货出货登记!W235&gt;0,每日收货出货登记!R235,"")</f>
        <v/>
      </c>
      <c r="I235" s="9">
        <f>IF(每日收货出货登记!W235&gt;0,每日收货出货登记!S235,"")</f>
        <v/>
      </c>
      <c r="J235" s="9">
        <f>IF(每日收货出货登记!W235&gt;0,每日收货出货登记!AB235,"")</f>
        <v/>
      </c>
    </row>
    <row r="236" ht="22" customHeight="1">
      <c r="A236" s="9">
        <f>IF(每日收货出货登记!W236&gt;0,每日收货出货登记!A236,"")</f>
        <v/>
      </c>
      <c r="B236" s="10">
        <f>IF(每日收货出货登记!W236&gt;0,每日收货出货登记!D236,"")</f>
        <v/>
      </c>
      <c r="C236" s="10">
        <f>IF(每日收货出货登记!W236&gt;0,每日收货出货登记!G236,"")</f>
        <v/>
      </c>
      <c r="D236" s="10">
        <f>IF(每日收货出货登记!W236&gt;0,每日收货出货登记!E236,"")</f>
        <v/>
      </c>
      <c r="E236" s="10">
        <f>IF(每日收货出货登记!W236&gt;0,每日收货出货登记!Q236,"")</f>
        <v/>
      </c>
      <c r="F236" s="10">
        <f>IF(每日收货出货登记!W236&gt;0,每日收货出货登记!V236,"")</f>
        <v/>
      </c>
      <c r="G236" s="10">
        <f>IF(每日收货出货登记!W236&gt;0,每日收货出货登记!W236,"")</f>
        <v/>
      </c>
      <c r="H236" s="10">
        <f>IF(每日收货出货登记!W236&gt;0,每日收货出货登记!R236,"")</f>
        <v/>
      </c>
      <c r="I236" s="9">
        <f>IF(每日收货出货登记!W236&gt;0,每日收货出货登记!S236,"")</f>
        <v/>
      </c>
      <c r="J236" s="9">
        <f>IF(每日收货出货登记!W236&gt;0,每日收货出货登记!AB236,"")</f>
        <v/>
      </c>
    </row>
    <row r="237" ht="22" customHeight="1">
      <c r="A237" s="9">
        <f>IF(每日收货出货登记!W237&gt;0,每日收货出货登记!A237,"")</f>
        <v/>
      </c>
      <c r="B237" s="10">
        <f>IF(每日收货出货登记!W237&gt;0,每日收货出货登记!D237,"")</f>
        <v/>
      </c>
      <c r="C237" s="10">
        <f>IF(每日收货出货登记!W237&gt;0,每日收货出货登记!G237,"")</f>
        <v/>
      </c>
      <c r="D237" s="10">
        <f>IF(每日收货出货登记!W237&gt;0,每日收货出货登记!E237,"")</f>
        <v/>
      </c>
      <c r="E237" s="10">
        <f>IF(每日收货出货登记!W237&gt;0,每日收货出货登记!Q237,"")</f>
        <v/>
      </c>
      <c r="F237" s="10">
        <f>IF(每日收货出货登记!W237&gt;0,每日收货出货登记!V237,"")</f>
        <v/>
      </c>
      <c r="G237" s="10">
        <f>IF(每日收货出货登记!W237&gt;0,每日收货出货登记!W237,"")</f>
        <v/>
      </c>
      <c r="H237" s="10">
        <f>IF(每日收货出货登记!W237&gt;0,每日收货出货登记!R237,"")</f>
        <v/>
      </c>
      <c r="I237" s="9">
        <f>IF(每日收货出货登记!W237&gt;0,每日收货出货登记!S237,"")</f>
        <v/>
      </c>
      <c r="J237" s="9">
        <f>IF(每日收货出货登记!W237&gt;0,每日收货出货登记!AB237,"")</f>
        <v/>
      </c>
    </row>
    <row r="238" ht="22" customHeight="1">
      <c r="A238" s="9">
        <f>IF(每日收货出货登记!W238&gt;0,每日收货出货登记!A238,"")</f>
        <v/>
      </c>
      <c r="B238" s="10">
        <f>IF(每日收货出货登记!W238&gt;0,每日收货出货登记!D238,"")</f>
        <v/>
      </c>
      <c r="C238" s="10">
        <f>IF(每日收货出货登记!W238&gt;0,每日收货出货登记!G238,"")</f>
        <v/>
      </c>
      <c r="D238" s="10">
        <f>IF(每日收货出货登记!W238&gt;0,每日收货出货登记!E238,"")</f>
        <v/>
      </c>
      <c r="E238" s="10">
        <f>IF(每日收货出货登记!W238&gt;0,每日收货出货登记!Q238,"")</f>
        <v/>
      </c>
      <c r="F238" s="10">
        <f>IF(每日收货出货登记!W238&gt;0,每日收货出货登记!V238,"")</f>
        <v/>
      </c>
      <c r="G238" s="10">
        <f>IF(每日收货出货登记!W238&gt;0,每日收货出货登记!W238,"")</f>
        <v/>
      </c>
      <c r="H238" s="10">
        <f>IF(每日收货出货登记!W238&gt;0,每日收货出货登记!R238,"")</f>
        <v/>
      </c>
      <c r="I238" s="9">
        <f>IF(每日收货出货登记!W238&gt;0,每日收货出货登记!S238,"")</f>
        <v/>
      </c>
      <c r="J238" s="9">
        <f>IF(每日收货出货登记!W238&gt;0,每日收货出货登记!AB238,"")</f>
        <v/>
      </c>
    </row>
    <row r="239" ht="22" customHeight="1">
      <c r="A239" s="9">
        <f>IF(每日收货出货登记!W239&gt;0,每日收货出货登记!A239,"")</f>
        <v/>
      </c>
      <c r="B239" s="10">
        <f>IF(每日收货出货登记!W239&gt;0,每日收货出货登记!D239,"")</f>
        <v/>
      </c>
      <c r="C239" s="10">
        <f>IF(每日收货出货登记!W239&gt;0,每日收货出货登记!G239,"")</f>
        <v/>
      </c>
      <c r="D239" s="10">
        <f>IF(每日收货出货登记!W239&gt;0,每日收货出货登记!E239,"")</f>
        <v/>
      </c>
      <c r="E239" s="10">
        <f>IF(每日收货出货登记!W239&gt;0,每日收货出货登记!Q239,"")</f>
        <v/>
      </c>
      <c r="F239" s="10">
        <f>IF(每日收货出货登记!W239&gt;0,每日收货出货登记!V239,"")</f>
        <v/>
      </c>
      <c r="G239" s="10">
        <f>IF(每日收货出货登记!W239&gt;0,每日收货出货登记!W239,"")</f>
        <v/>
      </c>
      <c r="H239" s="10">
        <f>IF(每日收货出货登记!W239&gt;0,每日收货出货登记!R239,"")</f>
        <v/>
      </c>
      <c r="I239" s="9">
        <f>IF(每日收货出货登记!W239&gt;0,每日收货出货登记!S239,"")</f>
        <v/>
      </c>
      <c r="J239" s="9">
        <f>IF(每日收货出货登记!W239&gt;0,每日收货出货登记!AB239,"")</f>
        <v/>
      </c>
    </row>
    <row r="240" ht="22" customHeight="1">
      <c r="A240" s="9">
        <f>IF(每日收货出货登记!W240&gt;0,每日收货出货登记!A240,"")</f>
        <v/>
      </c>
      <c r="B240" s="10">
        <f>IF(每日收货出货登记!W240&gt;0,每日收货出货登记!D240,"")</f>
        <v/>
      </c>
      <c r="C240" s="10">
        <f>IF(每日收货出货登记!W240&gt;0,每日收货出货登记!G240,"")</f>
        <v/>
      </c>
      <c r="D240" s="10">
        <f>IF(每日收货出货登记!W240&gt;0,每日收货出货登记!E240,"")</f>
        <v/>
      </c>
      <c r="E240" s="10">
        <f>IF(每日收货出货登记!W240&gt;0,每日收货出货登记!Q240,"")</f>
        <v/>
      </c>
      <c r="F240" s="10">
        <f>IF(每日收货出货登记!W240&gt;0,每日收货出货登记!V240,"")</f>
        <v/>
      </c>
      <c r="G240" s="10">
        <f>IF(每日收货出货登记!W240&gt;0,每日收货出货登记!W240,"")</f>
        <v/>
      </c>
      <c r="H240" s="10">
        <f>IF(每日收货出货登记!W240&gt;0,每日收货出货登记!R240,"")</f>
        <v/>
      </c>
      <c r="I240" s="9">
        <f>IF(每日收货出货登记!W240&gt;0,每日收货出货登记!S240,"")</f>
        <v/>
      </c>
      <c r="J240" s="9">
        <f>IF(每日收货出货登记!W240&gt;0,每日收货出货登记!AB240,"")</f>
        <v/>
      </c>
    </row>
    <row r="241" ht="22" customHeight="1">
      <c r="A241" s="9">
        <f>IF(每日收货出货登记!W241&gt;0,每日收货出货登记!A241,"")</f>
        <v/>
      </c>
      <c r="B241" s="10">
        <f>IF(每日收货出货登记!W241&gt;0,每日收货出货登记!D241,"")</f>
        <v/>
      </c>
      <c r="C241" s="10">
        <f>IF(每日收货出货登记!W241&gt;0,每日收货出货登记!G241,"")</f>
        <v/>
      </c>
      <c r="D241" s="10">
        <f>IF(每日收货出货登记!W241&gt;0,每日收货出货登记!E241,"")</f>
        <v/>
      </c>
      <c r="E241" s="10">
        <f>IF(每日收货出货登记!W241&gt;0,每日收货出货登记!Q241,"")</f>
        <v/>
      </c>
      <c r="F241" s="10">
        <f>IF(每日收货出货登记!W241&gt;0,每日收货出货登记!V241,"")</f>
        <v/>
      </c>
      <c r="G241" s="10">
        <f>IF(每日收货出货登记!W241&gt;0,每日收货出货登记!W241,"")</f>
        <v/>
      </c>
      <c r="H241" s="10">
        <f>IF(每日收货出货登记!W241&gt;0,每日收货出货登记!R241,"")</f>
        <v/>
      </c>
      <c r="I241" s="9">
        <f>IF(每日收货出货登记!W241&gt;0,每日收货出货登记!S241,"")</f>
        <v/>
      </c>
      <c r="J241" s="9">
        <f>IF(每日收货出货登记!W241&gt;0,每日收货出货登记!AB241,"")</f>
        <v/>
      </c>
    </row>
    <row r="242" ht="22" customHeight="1">
      <c r="A242" s="9">
        <f>IF(每日收货出货登记!W242&gt;0,每日收货出货登记!A242,"")</f>
        <v/>
      </c>
      <c r="B242" s="10">
        <f>IF(每日收货出货登记!W242&gt;0,每日收货出货登记!D242,"")</f>
        <v/>
      </c>
      <c r="C242" s="10">
        <f>IF(每日收货出货登记!W242&gt;0,每日收货出货登记!G242,"")</f>
        <v/>
      </c>
      <c r="D242" s="10">
        <f>IF(每日收货出货登记!W242&gt;0,每日收货出货登记!E242,"")</f>
        <v/>
      </c>
      <c r="E242" s="10">
        <f>IF(每日收货出货登记!W242&gt;0,每日收货出货登记!Q242,"")</f>
        <v/>
      </c>
      <c r="F242" s="10">
        <f>IF(每日收货出货登记!W242&gt;0,每日收货出货登记!V242,"")</f>
        <v/>
      </c>
      <c r="G242" s="10">
        <f>IF(每日收货出货登记!W242&gt;0,每日收货出货登记!W242,"")</f>
        <v/>
      </c>
      <c r="H242" s="10">
        <f>IF(每日收货出货登记!W242&gt;0,每日收货出货登记!R242,"")</f>
        <v/>
      </c>
      <c r="I242" s="9">
        <f>IF(每日收货出货登记!W242&gt;0,每日收货出货登记!S242,"")</f>
        <v/>
      </c>
      <c r="J242" s="9">
        <f>IF(每日收货出货登记!W242&gt;0,每日收货出货登记!AB242,"")</f>
        <v/>
      </c>
    </row>
    <row r="243" ht="22" customHeight="1">
      <c r="A243" s="9">
        <f>IF(每日收货出货登记!W243&gt;0,每日收货出货登记!A243,"")</f>
        <v/>
      </c>
      <c r="B243" s="10">
        <f>IF(每日收货出货登记!W243&gt;0,每日收货出货登记!D243,"")</f>
        <v/>
      </c>
      <c r="C243" s="10">
        <f>IF(每日收货出货登记!W243&gt;0,每日收货出货登记!G243,"")</f>
        <v/>
      </c>
      <c r="D243" s="10">
        <f>IF(每日收货出货登记!W243&gt;0,每日收货出货登记!E243,"")</f>
        <v/>
      </c>
      <c r="E243" s="10">
        <f>IF(每日收货出货登记!W243&gt;0,每日收货出货登记!Q243,"")</f>
        <v/>
      </c>
      <c r="F243" s="10">
        <f>IF(每日收货出货登记!W243&gt;0,每日收货出货登记!V243,"")</f>
        <v/>
      </c>
      <c r="G243" s="10">
        <f>IF(每日收货出货登记!W243&gt;0,每日收货出货登记!W243,"")</f>
        <v/>
      </c>
      <c r="H243" s="10">
        <f>IF(每日收货出货登记!W243&gt;0,每日收货出货登记!R243,"")</f>
        <v/>
      </c>
      <c r="I243" s="9">
        <f>IF(每日收货出货登记!W243&gt;0,每日收货出货登记!S243,"")</f>
        <v/>
      </c>
      <c r="J243" s="9">
        <f>IF(每日收货出货登记!W243&gt;0,每日收货出货登记!AB243,"")</f>
        <v/>
      </c>
    </row>
    <row r="244" ht="22" customHeight="1">
      <c r="A244" s="9">
        <f>IF(每日收货出货登记!W244&gt;0,每日收货出货登记!A244,"")</f>
        <v/>
      </c>
      <c r="B244" s="10">
        <f>IF(每日收货出货登记!W244&gt;0,每日收货出货登记!D244,"")</f>
        <v/>
      </c>
      <c r="C244" s="10">
        <f>IF(每日收货出货登记!W244&gt;0,每日收货出货登记!G244,"")</f>
        <v/>
      </c>
      <c r="D244" s="10">
        <f>IF(每日收货出货登记!W244&gt;0,每日收货出货登记!E244,"")</f>
        <v/>
      </c>
      <c r="E244" s="10">
        <f>IF(每日收货出货登记!W244&gt;0,每日收货出货登记!Q244,"")</f>
        <v/>
      </c>
      <c r="F244" s="10">
        <f>IF(每日收货出货登记!W244&gt;0,每日收货出货登记!V244,"")</f>
        <v/>
      </c>
      <c r="G244" s="10">
        <f>IF(每日收货出货登记!W244&gt;0,每日收货出货登记!W244,"")</f>
        <v/>
      </c>
      <c r="H244" s="10">
        <f>IF(每日收货出货登记!W244&gt;0,每日收货出货登记!R244,"")</f>
        <v/>
      </c>
      <c r="I244" s="9">
        <f>IF(每日收货出货登记!W244&gt;0,每日收货出货登记!S244,"")</f>
        <v/>
      </c>
      <c r="J244" s="9">
        <f>IF(每日收货出货登记!W244&gt;0,每日收货出货登记!AB244,"")</f>
        <v/>
      </c>
    </row>
    <row r="245" ht="22" customHeight="1">
      <c r="A245" s="9">
        <f>IF(每日收货出货登记!W245&gt;0,每日收货出货登记!A245,"")</f>
        <v/>
      </c>
      <c r="B245" s="10">
        <f>IF(每日收货出货登记!W245&gt;0,每日收货出货登记!D245,"")</f>
        <v/>
      </c>
      <c r="C245" s="10">
        <f>IF(每日收货出货登记!W245&gt;0,每日收货出货登记!G245,"")</f>
        <v/>
      </c>
      <c r="D245" s="10">
        <f>IF(每日收货出货登记!W245&gt;0,每日收货出货登记!E245,"")</f>
        <v/>
      </c>
      <c r="E245" s="10">
        <f>IF(每日收货出货登记!W245&gt;0,每日收货出货登记!Q245,"")</f>
        <v/>
      </c>
      <c r="F245" s="10">
        <f>IF(每日收货出货登记!W245&gt;0,每日收货出货登记!V245,"")</f>
        <v/>
      </c>
      <c r="G245" s="10">
        <f>IF(每日收货出货登记!W245&gt;0,每日收货出货登记!W245,"")</f>
        <v/>
      </c>
      <c r="H245" s="10">
        <f>IF(每日收货出货登记!W245&gt;0,每日收货出货登记!R245,"")</f>
        <v/>
      </c>
      <c r="I245" s="9">
        <f>IF(每日收货出货登记!W245&gt;0,每日收货出货登记!S245,"")</f>
        <v/>
      </c>
      <c r="J245" s="9">
        <f>IF(每日收货出货登记!W245&gt;0,每日收货出货登记!AB245,"")</f>
        <v/>
      </c>
    </row>
    <row r="246" ht="22" customHeight="1">
      <c r="A246" s="9">
        <f>IF(每日收货出货登记!W246&gt;0,每日收货出货登记!A246,"")</f>
        <v/>
      </c>
      <c r="B246" s="10">
        <f>IF(每日收货出货登记!W246&gt;0,每日收货出货登记!D246,"")</f>
        <v/>
      </c>
      <c r="C246" s="10">
        <f>IF(每日收货出货登记!W246&gt;0,每日收货出货登记!G246,"")</f>
        <v/>
      </c>
      <c r="D246" s="10">
        <f>IF(每日收货出货登记!W246&gt;0,每日收货出货登记!E246,"")</f>
        <v/>
      </c>
      <c r="E246" s="10">
        <f>IF(每日收货出货登记!W246&gt;0,每日收货出货登记!Q246,"")</f>
        <v/>
      </c>
      <c r="F246" s="10">
        <f>IF(每日收货出货登记!W246&gt;0,每日收货出货登记!V246,"")</f>
        <v/>
      </c>
      <c r="G246" s="10">
        <f>IF(每日收货出货登记!W246&gt;0,每日收货出货登记!W246,"")</f>
        <v/>
      </c>
      <c r="H246" s="10">
        <f>IF(每日收货出货登记!W246&gt;0,每日收货出货登记!R246,"")</f>
        <v/>
      </c>
      <c r="I246" s="9">
        <f>IF(每日收货出货登记!W246&gt;0,每日收货出货登记!S246,"")</f>
        <v/>
      </c>
      <c r="J246" s="9">
        <f>IF(每日收货出货登记!W246&gt;0,每日收货出货登记!AB246,"")</f>
        <v/>
      </c>
    </row>
    <row r="247" ht="22" customHeight="1">
      <c r="A247" s="9">
        <f>IF(每日收货出货登记!W247&gt;0,每日收货出货登记!A247,"")</f>
        <v/>
      </c>
      <c r="B247" s="10">
        <f>IF(每日收货出货登记!W247&gt;0,每日收货出货登记!D247,"")</f>
        <v/>
      </c>
      <c r="C247" s="10">
        <f>IF(每日收货出货登记!W247&gt;0,每日收货出货登记!G247,"")</f>
        <v/>
      </c>
      <c r="D247" s="10">
        <f>IF(每日收货出货登记!W247&gt;0,每日收货出货登记!E247,"")</f>
        <v/>
      </c>
      <c r="E247" s="10">
        <f>IF(每日收货出货登记!W247&gt;0,每日收货出货登记!Q247,"")</f>
        <v/>
      </c>
      <c r="F247" s="10">
        <f>IF(每日收货出货登记!W247&gt;0,每日收货出货登记!V247,"")</f>
        <v/>
      </c>
      <c r="G247" s="10">
        <f>IF(每日收货出货登记!W247&gt;0,每日收货出货登记!W247,"")</f>
        <v/>
      </c>
      <c r="H247" s="10">
        <f>IF(每日收货出货登记!W247&gt;0,每日收货出货登记!R247,"")</f>
        <v/>
      </c>
      <c r="I247" s="9">
        <f>IF(每日收货出货登记!W247&gt;0,每日收货出货登记!S247,"")</f>
        <v/>
      </c>
      <c r="J247" s="9">
        <f>IF(每日收货出货登记!W247&gt;0,每日收货出货登记!AB247,"")</f>
        <v/>
      </c>
    </row>
    <row r="248" ht="22" customHeight="1">
      <c r="A248" s="9">
        <f>IF(每日收货出货登记!W248&gt;0,每日收货出货登记!A248,"")</f>
        <v/>
      </c>
      <c r="B248" s="10">
        <f>IF(每日收货出货登记!W248&gt;0,每日收货出货登记!D248,"")</f>
        <v/>
      </c>
      <c r="C248" s="10">
        <f>IF(每日收货出货登记!W248&gt;0,每日收货出货登记!G248,"")</f>
        <v/>
      </c>
      <c r="D248" s="10">
        <f>IF(每日收货出货登记!W248&gt;0,每日收货出货登记!E248,"")</f>
        <v/>
      </c>
      <c r="E248" s="10">
        <f>IF(每日收货出货登记!W248&gt;0,每日收货出货登记!Q248,"")</f>
        <v/>
      </c>
      <c r="F248" s="10">
        <f>IF(每日收货出货登记!W248&gt;0,每日收货出货登记!V248,"")</f>
        <v/>
      </c>
      <c r="G248" s="10">
        <f>IF(每日收货出货登记!W248&gt;0,每日收货出货登记!W248,"")</f>
        <v/>
      </c>
      <c r="H248" s="10">
        <f>IF(每日收货出货登记!W248&gt;0,每日收货出货登记!R248,"")</f>
        <v/>
      </c>
      <c r="I248" s="9">
        <f>IF(每日收货出货登记!W248&gt;0,每日收货出货登记!S248,"")</f>
        <v/>
      </c>
      <c r="J248" s="9">
        <f>IF(每日收货出货登记!W248&gt;0,每日收货出货登记!AB248,"")</f>
        <v/>
      </c>
    </row>
    <row r="249" ht="22" customHeight="1">
      <c r="A249" s="9">
        <f>IF(每日收货出货登记!W249&gt;0,每日收货出货登记!A249,"")</f>
        <v/>
      </c>
      <c r="B249" s="10">
        <f>IF(每日收货出货登记!W249&gt;0,每日收货出货登记!D249,"")</f>
        <v/>
      </c>
      <c r="C249" s="10">
        <f>IF(每日收货出货登记!W249&gt;0,每日收货出货登记!G249,"")</f>
        <v/>
      </c>
      <c r="D249" s="10">
        <f>IF(每日收货出货登记!W249&gt;0,每日收货出货登记!E249,"")</f>
        <v/>
      </c>
      <c r="E249" s="10">
        <f>IF(每日收货出货登记!W249&gt;0,每日收货出货登记!Q249,"")</f>
        <v/>
      </c>
      <c r="F249" s="10">
        <f>IF(每日收货出货登记!W249&gt;0,每日收货出货登记!V249,"")</f>
        <v/>
      </c>
      <c r="G249" s="10">
        <f>IF(每日收货出货登记!W249&gt;0,每日收货出货登记!W249,"")</f>
        <v/>
      </c>
      <c r="H249" s="10">
        <f>IF(每日收货出货登记!W249&gt;0,每日收货出货登记!R249,"")</f>
        <v/>
      </c>
      <c r="I249" s="9">
        <f>IF(每日收货出货登记!W249&gt;0,每日收货出货登记!S249,"")</f>
        <v/>
      </c>
      <c r="J249" s="9">
        <f>IF(每日收货出货登记!W249&gt;0,每日收货出货登记!AB249,"")</f>
        <v/>
      </c>
    </row>
    <row r="250" ht="22" customHeight="1">
      <c r="A250" s="9">
        <f>IF(每日收货出货登记!W250&gt;0,每日收货出货登记!A250,"")</f>
        <v/>
      </c>
      <c r="B250" s="10">
        <f>IF(每日收货出货登记!W250&gt;0,每日收货出货登记!D250,"")</f>
        <v/>
      </c>
      <c r="C250" s="10">
        <f>IF(每日收货出货登记!W250&gt;0,每日收货出货登记!G250,"")</f>
        <v/>
      </c>
      <c r="D250" s="10">
        <f>IF(每日收货出货登记!W250&gt;0,每日收货出货登记!E250,"")</f>
        <v/>
      </c>
      <c r="E250" s="10">
        <f>IF(每日收货出货登记!W250&gt;0,每日收货出货登记!Q250,"")</f>
        <v/>
      </c>
      <c r="F250" s="10">
        <f>IF(每日收货出货登记!W250&gt;0,每日收货出货登记!V250,"")</f>
        <v/>
      </c>
      <c r="G250" s="10">
        <f>IF(每日收货出货登记!W250&gt;0,每日收货出货登记!W250,"")</f>
        <v/>
      </c>
      <c r="H250" s="10">
        <f>IF(每日收货出货登记!W250&gt;0,每日收货出货登记!R250,"")</f>
        <v/>
      </c>
      <c r="I250" s="9">
        <f>IF(每日收货出货登记!W250&gt;0,每日收货出货登记!S250,"")</f>
        <v/>
      </c>
      <c r="J250" s="9">
        <f>IF(每日收货出货登记!W250&gt;0,每日收货出货登记!AB250,"")</f>
        <v/>
      </c>
    </row>
    <row r="251" ht="22" customHeight="1">
      <c r="A251" s="9">
        <f>IF(每日收货出货登记!W251&gt;0,每日收货出货登记!A251,"")</f>
        <v/>
      </c>
      <c r="B251" s="10">
        <f>IF(每日收货出货登记!W251&gt;0,每日收货出货登记!D251,"")</f>
        <v/>
      </c>
      <c r="C251" s="10">
        <f>IF(每日收货出货登记!W251&gt;0,每日收货出货登记!G251,"")</f>
        <v/>
      </c>
      <c r="D251" s="10">
        <f>IF(每日收货出货登记!W251&gt;0,每日收货出货登记!E251,"")</f>
        <v/>
      </c>
      <c r="E251" s="10">
        <f>IF(每日收货出货登记!W251&gt;0,每日收货出货登记!Q251,"")</f>
        <v/>
      </c>
      <c r="F251" s="10">
        <f>IF(每日收货出货登记!W251&gt;0,每日收货出货登记!V251,"")</f>
        <v/>
      </c>
      <c r="G251" s="10">
        <f>IF(每日收货出货登记!W251&gt;0,每日收货出货登记!W251,"")</f>
        <v/>
      </c>
      <c r="H251" s="10">
        <f>IF(每日收货出货登记!W251&gt;0,每日收货出货登记!R251,"")</f>
        <v/>
      </c>
      <c r="I251" s="9">
        <f>IF(每日收货出货登记!W251&gt;0,每日收货出货登记!S251,"")</f>
        <v/>
      </c>
      <c r="J251" s="9">
        <f>IF(每日收货出货登记!W251&gt;0,每日收货出货登记!AB251,"")</f>
        <v/>
      </c>
    </row>
    <row r="252" ht="22" customHeight="1">
      <c r="A252" s="9">
        <f>IF(每日收货出货登记!W252&gt;0,每日收货出货登记!A252,"")</f>
        <v/>
      </c>
      <c r="B252" s="10">
        <f>IF(每日收货出货登记!W252&gt;0,每日收货出货登记!D252,"")</f>
        <v/>
      </c>
      <c r="C252" s="10">
        <f>IF(每日收货出货登记!W252&gt;0,每日收货出货登记!G252,"")</f>
        <v/>
      </c>
      <c r="D252" s="10">
        <f>IF(每日收货出货登记!W252&gt;0,每日收货出货登记!E252,"")</f>
        <v/>
      </c>
      <c r="E252" s="10">
        <f>IF(每日收货出货登记!W252&gt;0,每日收货出货登记!Q252,"")</f>
        <v/>
      </c>
      <c r="F252" s="10">
        <f>IF(每日收货出货登记!W252&gt;0,每日收货出货登记!V252,"")</f>
        <v/>
      </c>
      <c r="G252" s="10">
        <f>IF(每日收货出货登记!W252&gt;0,每日收货出货登记!W252,"")</f>
        <v/>
      </c>
      <c r="H252" s="10">
        <f>IF(每日收货出货登记!W252&gt;0,每日收货出货登记!R252,"")</f>
        <v/>
      </c>
      <c r="I252" s="9">
        <f>IF(每日收货出货登记!W252&gt;0,每日收货出货登记!S252,"")</f>
        <v/>
      </c>
      <c r="J252" s="9">
        <f>IF(每日收货出货登记!W252&gt;0,每日收货出货登记!AB252,"")</f>
        <v/>
      </c>
    </row>
    <row r="253" ht="22" customHeight="1">
      <c r="A253" s="9">
        <f>IF(每日收货出货登记!W253&gt;0,每日收货出货登记!A253,"")</f>
        <v/>
      </c>
      <c r="B253" s="10">
        <f>IF(每日收货出货登记!W253&gt;0,每日收货出货登记!D253,"")</f>
        <v/>
      </c>
      <c r="C253" s="10">
        <f>IF(每日收货出货登记!W253&gt;0,每日收货出货登记!G253,"")</f>
        <v/>
      </c>
      <c r="D253" s="10">
        <f>IF(每日收货出货登记!W253&gt;0,每日收货出货登记!E253,"")</f>
        <v/>
      </c>
      <c r="E253" s="10">
        <f>IF(每日收货出货登记!W253&gt;0,每日收货出货登记!Q253,"")</f>
        <v/>
      </c>
      <c r="F253" s="10">
        <f>IF(每日收货出货登记!W253&gt;0,每日收货出货登记!V253,"")</f>
        <v/>
      </c>
      <c r="G253" s="10">
        <f>IF(每日收货出货登记!W253&gt;0,每日收货出货登记!W253,"")</f>
        <v/>
      </c>
      <c r="H253" s="10">
        <f>IF(每日收货出货登记!W253&gt;0,每日收货出货登记!R253,"")</f>
        <v/>
      </c>
      <c r="I253" s="9">
        <f>IF(每日收货出货登记!W253&gt;0,每日收货出货登记!S253,"")</f>
        <v/>
      </c>
      <c r="J253" s="9">
        <f>IF(每日收货出货登记!W253&gt;0,每日收货出货登记!AB253,"")</f>
        <v/>
      </c>
    </row>
    <row r="254" ht="22" customHeight="1">
      <c r="A254" s="9">
        <f>IF(每日收货出货登记!W254&gt;0,每日收货出货登记!A254,"")</f>
        <v/>
      </c>
      <c r="B254" s="10">
        <f>IF(每日收货出货登记!W254&gt;0,每日收货出货登记!D254,"")</f>
        <v/>
      </c>
      <c r="C254" s="10">
        <f>IF(每日收货出货登记!W254&gt;0,每日收货出货登记!G254,"")</f>
        <v/>
      </c>
      <c r="D254" s="10">
        <f>IF(每日收货出货登记!W254&gt;0,每日收货出货登记!E254,"")</f>
        <v/>
      </c>
      <c r="E254" s="10">
        <f>IF(每日收货出货登记!W254&gt;0,每日收货出货登记!Q254,"")</f>
        <v/>
      </c>
      <c r="F254" s="10">
        <f>IF(每日收货出货登记!W254&gt;0,每日收货出货登记!V254,"")</f>
        <v/>
      </c>
      <c r="G254" s="10">
        <f>IF(每日收货出货登记!W254&gt;0,每日收货出货登记!W254,"")</f>
        <v/>
      </c>
      <c r="H254" s="10">
        <f>IF(每日收货出货登记!W254&gt;0,每日收货出货登记!R254,"")</f>
        <v/>
      </c>
      <c r="I254" s="9">
        <f>IF(每日收货出货登记!W254&gt;0,每日收货出货登记!S254,"")</f>
        <v/>
      </c>
      <c r="J254" s="9">
        <f>IF(每日收货出货登记!W254&gt;0,每日收货出货登记!AB254,"")</f>
        <v/>
      </c>
    </row>
    <row r="255" ht="22" customHeight="1">
      <c r="A255" s="9">
        <f>IF(每日收货出货登记!W255&gt;0,每日收货出货登记!A255,"")</f>
        <v/>
      </c>
      <c r="B255" s="10">
        <f>IF(每日收货出货登记!W255&gt;0,每日收货出货登记!D255,"")</f>
        <v/>
      </c>
      <c r="C255" s="10">
        <f>IF(每日收货出货登记!W255&gt;0,每日收货出货登记!G255,"")</f>
        <v/>
      </c>
      <c r="D255" s="10">
        <f>IF(每日收货出货登记!W255&gt;0,每日收货出货登记!E255,"")</f>
        <v/>
      </c>
      <c r="E255" s="10">
        <f>IF(每日收货出货登记!W255&gt;0,每日收货出货登记!Q255,"")</f>
        <v/>
      </c>
      <c r="F255" s="10">
        <f>IF(每日收货出货登记!W255&gt;0,每日收货出货登记!V255,"")</f>
        <v/>
      </c>
      <c r="G255" s="10">
        <f>IF(每日收货出货登记!W255&gt;0,每日收货出货登记!W255,"")</f>
        <v/>
      </c>
      <c r="H255" s="10">
        <f>IF(每日收货出货登记!W255&gt;0,每日收货出货登记!R255,"")</f>
        <v/>
      </c>
      <c r="I255" s="9">
        <f>IF(每日收货出货登记!W255&gt;0,每日收货出货登记!S255,"")</f>
        <v/>
      </c>
      <c r="J255" s="9">
        <f>IF(每日收货出货登记!W255&gt;0,每日收货出货登记!AB255,"")</f>
        <v/>
      </c>
    </row>
    <row r="256" ht="22" customHeight="1">
      <c r="A256" s="9">
        <f>IF(每日收货出货登记!W256&gt;0,每日收货出货登记!A256,"")</f>
        <v/>
      </c>
      <c r="B256" s="10">
        <f>IF(每日收货出货登记!W256&gt;0,每日收货出货登记!D256,"")</f>
        <v/>
      </c>
      <c r="C256" s="10">
        <f>IF(每日收货出货登记!W256&gt;0,每日收货出货登记!G256,"")</f>
        <v/>
      </c>
      <c r="D256" s="10">
        <f>IF(每日收货出货登记!W256&gt;0,每日收货出货登记!E256,"")</f>
        <v/>
      </c>
      <c r="E256" s="10">
        <f>IF(每日收货出货登记!W256&gt;0,每日收货出货登记!Q256,"")</f>
        <v/>
      </c>
      <c r="F256" s="10">
        <f>IF(每日收货出货登记!W256&gt;0,每日收货出货登记!V256,"")</f>
        <v/>
      </c>
      <c r="G256" s="10">
        <f>IF(每日收货出货登记!W256&gt;0,每日收货出货登记!W256,"")</f>
        <v/>
      </c>
      <c r="H256" s="10">
        <f>IF(每日收货出货登记!W256&gt;0,每日收货出货登记!R256,"")</f>
        <v/>
      </c>
      <c r="I256" s="9">
        <f>IF(每日收货出货登记!W256&gt;0,每日收货出货登记!S256,"")</f>
        <v/>
      </c>
      <c r="J256" s="9">
        <f>IF(每日收货出货登记!W256&gt;0,每日收货出货登记!AB256,"")</f>
        <v/>
      </c>
    </row>
    <row r="257" ht="22" customHeight="1">
      <c r="A257" s="9">
        <f>IF(每日收货出货登记!W257&gt;0,每日收货出货登记!A257,"")</f>
        <v/>
      </c>
      <c r="B257" s="10">
        <f>IF(每日收货出货登记!W257&gt;0,每日收货出货登记!D257,"")</f>
        <v/>
      </c>
      <c r="C257" s="10">
        <f>IF(每日收货出货登记!W257&gt;0,每日收货出货登记!G257,"")</f>
        <v/>
      </c>
      <c r="D257" s="10">
        <f>IF(每日收货出货登记!W257&gt;0,每日收货出货登记!E257,"")</f>
        <v/>
      </c>
      <c r="E257" s="10">
        <f>IF(每日收货出货登记!W257&gt;0,每日收货出货登记!Q257,"")</f>
        <v/>
      </c>
      <c r="F257" s="10">
        <f>IF(每日收货出货登记!W257&gt;0,每日收货出货登记!V257,"")</f>
        <v/>
      </c>
      <c r="G257" s="10">
        <f>IF(每日收货出货登记!W257&gt;0,每日收货出货登记!W257,"")</f>
        <v/>
      </c>
      <c r="H257" s="10">
        <f>IF(每日收货出货登记!W257&gt;0,每日收货出货登记!R257,"")</f>
        <v/>
      </c>
      <c r="I257" s="9">
        <f>IF(每日收货出货登记!W257&gt;0,每日收货出货登记!S257,"")</f>
        <v/>
      </c>
      <c r="J257" s="9">
        <f>IF(每日收货出货登记!W257&gt;0,每日收货出货登记!AB257,"")</f>
        <v/>
      </c>
    </row>
    <row r="258" ht="22" customHeight="1">
      <c r="A258" s="9">
        <f>IF(每日收货出货登记!W258&gt;0,每日收货出货登记!A258,"")</f>
        <v/>
      </c>
      <c r="B258" s="10">
        <f>IF(每日收货出货登记!W258&gt;0,每日收货出货登记!D258,"")</f>
        <v/>
      </c>
      <c r="C258" s="10">
        <f>IF(每日收货出货登记!W258&gt;0,每日收货出货登记!G258,"")</f>
        <v/>
      </c>
      <c r="D258" s="10">
        <f>IF(每日收货出货登记!W258&gt;0,每日收货出货登记!E258,"")</f>
        <v/>
      </c>
      <c r="E258" s="10">
        <f>IF(每日收货出货登记!W258&gt;0,每日收货出货登记!Q258,"")</f>
        <v/>
      </c>
      <c r="F258" s="10">
        <f>IF(每日收货出货登记!W258&gt;0,每日收货出货登记!V258,"")</f>
        <v/>
      </c>
      <c r="G258" s="10">
        <f>IF(每日收货出货登记!W258&gt;0,每日收货出货登记!W258,"")</f>
        <v/>
      </c>
      <c r="H258" s="10">
        <f>IF(每日收货出货登记!W258&gt;0,每日收货出货登记!R258,"")</f>
        <v/>
      </c>
      <c r="I258" s="9">
        <f>IF(每日收货出货登记!W258&gt;0,每日收货出货登记!S258,"")</f>
        <v/>
      </c>
      <c r="J258" s="9">
        <f>IF(每日收货出货登记!W258&gt;0,每日收货出货登记!AB258,"")</f>
        <v/>
      </c>
    </row>
    <row r="259" ht="22" customHeight="1">
      <c r="A259" s="9">
        <f>IF(每日收货出货登记!W259&gt;0,每日收货出货登记!A259,"")</f>
        <v/>
      </c>
      <c r="B259" s="10">
        <f>IF(每日收货出货登记!W259&gt;0,每日收货出货登记!D259,"")</f>
        <v/>
      </c>
      <c r="C259" s="10">
        <f>IF(每日收货出货登记!W259&gt;0,每日收货出货登记!G259,"")</f>
        <v/>
      </c>
      <c r="D259" s="10">
        <f>IF(每日收货出货登记!W259&gt;0,每日收货出货登记!E259,"")</f>
        <v/>
      </c>
      <c r="E259" s="10">
        <f>IF(每日收货出货登记!W259&gt;0,每日收货出货登记!Q259,"")</f>
        <v/>
      </c>
      <c r="F259" s="10">
        <f>IF(每日收货出货登记!W259&gt;0,每日收货出货登记!V259,"")</f>
        <v/>
      </c>
      <c r="G259" s="10">
        <f>IF(每日收货出货登记!W259&gt;0,每日收货出货登记!W259,"")</f>
        <v/>
      </c>
      <c r="H259" s="10">
        <f>IF(每日收货出货登记!W259&gt;0,每日收货出货登记!R259,"")</f>
        <v/>
      </c>
      <c r="I259" s="9">
        <f>IF(每日收货出货登记!W259&gt;0,每日收货出货登记!S259,"")</f>
        <v/>
      </c>
      <c r="J259" s="9">
        <f>IF(每日收货出货登记!W259&gt;0,每日收货出货登记!AB259,"")</f>
        <v/>
      </c>
    </row>
    <row r="260" ht="22" customHeight="1">
      <c r="A260" s="9">
        <f>IF(每日收货出货登记!W260&gt;0,每日收货出货登记!A260,"")</f>
        <v/>
      </c>
      <c r="B260" s="10">
        <f>IF(每日收货出货登记!W260&gt;0,每日收货出货登记!D260,"")</f>
        <v/>
      </c>
      <c r="C260" s="10">
        <f>IF(每日收货出货登记!W260&gt;0,每日收货出货登记!G260,"")</f>
        <v/>
      </c>
      <c r="D260" s="10">
        <f>IF(每日收货出货登记!W260&gt;0,每日收货出货登记!E260,"")</f>
        <v/>
      </c>
      <c r="E260" s="10">
        <f>IF(每日收货出货登记!W260&gt;0,每日收货出货登记!Q260,"")</f>
        <v/>
      </c>
      <c r="F260" s="10">
        <f>IF(每日收货出货登记!W260&gt;0,每日收货出货登记!V260,"")</f>
        <v/>
      </c>
      <c r="G260" s="10">
        <f>IF(每日收货出货登记!W260&gt;0,每日收货出货登记!W260,"")</f>
        <v/>
      </c>
      <c r="H260" s="10">
        <f>IF(每日收货出货登记!W260&gt;0,每日收货出货登记!R260,"")</f>
        <v/>
      </c>
      <c r="I260" s="9">
        <f>IF(每日收货出货登记!W260&gt;0,每日收货出货登记!S260,"")</f>
        <v/>
      </c>
      <c r="J260" s="9">
        <f>IF(每日收货出货登记!W260&gt;0,每日收货出货登记!AB260,"")</f>
        <v/>
      </c>
    </row>
    <row r="261" ht="22" customHeight="1">
      <c r="A261" s="9">
        <f>IF(每日收货出货登记!W261&gt;0,每日收货出货登记!A261,"")</f>
        <v/>
      </c>
      <c r="B261" s="10">
        <f>IF(每日收货出货登记!W261&gt;0,每日收货出货登记!D261,"")</f>
        <v/>
      </c>
      <c r="C261" s="10">
        <f>IF(每日收货出货登记!W261&gt;0,每日收货出货登记!G261,"")</f>
        <v/>
      </c>
      <c r="D261" s="10">
        <f>IF(每日收货出货登记!W261&gt;0,每日收货出货登记!E261,"")</f>
        <v/>
      </c>
      <c r="E261" s="10">
        <f>IF(每日收货出货登记!W261&gt;0,每日收货出货登记!Q261,"")</f>
        <v/>
      </c>
      <c r="F261" s="10">
        <f>IF(每日收货出货登记!W261&gt;0,每日收货出货登记!V261,"")</f>
        <v/>
      </c>
      <c r="G261" s="10">
        <f>IF(每日收货出货登记!W261&gt;0,每日收货出货登记!W261,"")</f>
        <v/>
      </c>
      <c r="H261" s="10">
        <f>IF(每日收货出货登记!W261&gt;0,每日收货出货登记!R261,"")</f>
        <v/>
      </c>
      <c r="I261" s="9">
        <f>IF(每日收货出货登记!W261&gt;0,每日收货出货登记!S261,"")</f>
        <v/>
      </c>
      <c r="J261" s="9">
        <f>IF(每日收货出货登记!W261&gt;0,每日收货出货登记!AB261,"")</f>
        <v/>
      </c>
    </row>
    <row r="262" ht="22" customHeight="1">
      <c r="A262" s="9">
        <f>IF(每日收货出货登记!W262&gt;0,每日收货出货登记!A262,"")</f>
        <v/>
      </c>
      <c r="B262" s="10">
        <f>IF(每日收货出货登记!W262&gt;0,每日收货出货登记!D262,"")</f>
        <v/>
      </c>
      <c r="C262" s="10">
        <f>IF(每日收货出货登记!W262&gt;0,每日收货出货登记!G262,"")</f>
        <v/>
      </c>
      <c r="D262" s="10">
        <f>IF(每日收货出货登记!W262&gt;0,每日收货出货登记!E262,"")</f>
        <v/>
      </c>
      <c r="E262" s="10">
        <f>IF(每日收货出货登记!W262&gt;0,每日收货出货登记!Q262,"")</f>
        <v/>
      </c>
      <c r="F262" s="10">
        <f>IF(每日收货出货登记!W262&gt;0,每日收货出货登记!V262,"")</f>
        <v/>
      </c>
      <c r="G262" s="10">
        <f>IF(每日收货出货登记!W262&gt;0,每日收货出货登记!W262,"")</f>
        <v/>
      </c>
      <c r="H262" s="10">
        <f>IF(每日收货出货登记!W262&gt;0,每日收货出货登记!R262,"")</f>
        <v/>
      </c>
      <c r="I262" s="9">
        <f>IF(每日收货出货登记!W262&gt;0,每日收货出货登记!S262,"")</f>
        <v/>
      </c>
      <c r="J262" s="9">
        <f>IF(每日收货出货登记!W262&gt;0,每日收货出货登记!AB262,"")</f>
        <v/>
      </c>
    </row>
    <row r="263" ht="22" customHeight="1">
      <c r="A263" s="9">
        <f>IF(每日收货出货登记!W263&gt;0,每日收货出货登记!A263,"")</f>
        <v/>
      </c>
      <c r="B263" s="10">
        <f>IF(每日收货出货登记!W263&gt;0,每日收货出货登记!D263,"")</f>
        <v/>
      </c>
      <c r="C263" s="10">
        <f>IF(每日收货出货登记!W263&gt;0,每日收货出货登记!G263,"")</f>
        <v/>
      </c>
      <c r="D263" s="10">
        <f>IF(每日收货出货登记!W263&gt;0,每日收货出货登记!E263,"")</f>
        <v/>
      </c>
      <c r="E263" s="10">
        <f>IF(每日收货出货登记!W263&gt;0,每日收货出货登记!Q263,"")</f>
        <v/>
      </c>
      <c r="F263" s="10">
        <f>IF(每日收货出货登记!W263&gt;0,每日收货出货登记!V263,"")</f>
        <v/>
      </c>
      <c r="G263" s="10">
        <f>IF(每日收货出货登记!W263&gt;0,每日收货出货登记!W263,"")</f>
        <v/>
      </c>
      <c r="H263" s="10">
        <f>IF(每日收货出货登记!W263&gt;0,每日收货出货登记!R263,"")</f>
        <v/>
      </c>
      <c r="I263" s="9">
        <f>IF(每日收货出货登记!W263&gt;0,每日收货出货登记!S263,"")</f>
        <v/>
      </c>
      <c r="J263" s="9">
        <f>IF(每日收货出货登记!W263&gt;0,每日收货出货登记!AB263,"")</f>
        <v/>
      </c>
    </row>
    <row r="264" ht="22" customHeight="1">
      <c r="A264" s="9">
        <f>IF(每日收货出货登记!W264&gt;0,每日收货出货登记!A264,"")</f>
        <v/>
      </c>
      <c r="B264" s="10">
        <f>IF(每日收货出货登记!W264&gt;0,每日收货出货登记!D264,"")</f>
        <v/>
      </c>
      <c r="C264" s="10">
        <f>IF(每日收货出货登记!W264&gt;0,每日收货出货登记!G264,"")</f>
        <v/>
      </c>
      <c r="D264" s="10">
        <f>IF(每日收货出货登记!W264&gt;0,每日收货出货登记!E264,"")</f>
        <v/>
      </c>
      <c r="E264" s="10">
        <f>IF(每日收货出货登记!W264&gt;0,每日收货出货登记!Q264,"")</f>
        <v/>
      </c>
      <c r="F264" s="10">
        <f>IF(每日收货出货登记!W264&gt;0,每日收货出货登记!V264,"")</f>
        <v/>
      </c>
      <c r="G264" s="10">
        <f>IF(每日收货出货登记!W264&gt;0,每日收货出货登记!W264,"")</f>
        <v/>
      </c>
      <c r="H264" s="10">
        <f>IF(每日收货出货登记!W264&gt;0,每日收货出货登记!R264,"")</f>
        <v/>
      </c>
      <c r="I264" s="9">
        <f>IF(每日收货出货登记!W264&gt;0,每日收货出货登记!S264,"")</f>
        <v/>
      </c>
      <c r="J264" s="9">
        <f>IF(每日收货出货登记!W264&gt;0,每日收货出货登记!AB264,"")</f>
        <v/>
      </c>
    </row>
    <row r="265" ht="22" customHeight="1">
      <c r="A265" s="9">
        <f>IF(每日收货出货登记!W265&gt;0,每日收货出货登记!A265,"")</f>
        <v/>
      </c>
      <c r="B265" s="10">
        <f>IF(每日收货出货登记!W265&gt;0,每日收货出货登记!D265,"")</f>
        <v/>
      </c>
      <c r="C265" s="10">
        <f>IF(每日收货出货登记!W265&gt;0,每日收货出货登记!G265,"")</f>
        <v/>
      </c>
      <c r="D265" s="10">
        <f>IF(每日收货出货登记!W265&gt;0,每日收货出货登记!E265,"")</f>
        <v/>
      </c>
      <c r="E265" s="10">
        <f>IF(每日收货出货登记!W265&gt;0,每日收货出货登记!Q265,"")</f>
        <v/>
      </c>
      <c r="F265" s="10">
        <f>IF(每日收货出货登记!W265&gt;0,每日收货出货登记!V265,"")</f>
        <v/>
      </c>
      <c r="G265" s="10">
        <f>IF(每日收货出货登记!W265&gt;0,每日收货出货登记!W265,"")</f>
        <v/>
      </c>
      <c r="H265" s="10">
        <f>IF(每日收货出货登记!W265&gt;0,每日收货出货登记!R265,"")</f>
        <v/>
      </c>
      <c r="I265" s="9">
        <f>IF(每日收货出货登记!W265&gt;0,每日收货出货登记!S265,"")</f>
        <v/>
      </c>
      <c r="J265" s="9">
        <f>IF(每日收货出货登记!W265&gt;0,每日收货出货登记!AB265,"")</f>
        <v/>
      </c>
    </row>
    <row r="266" ht="22" customHeight="1">
      <c r="A266" s="9">
        <f>IF(每日收货出货登记!W266&gt;0,每日收货出货登记!A266,"")</f>
        <v/>
      </c>
      <c r="B266" s="10">
        <f>IF(每日收货出货登记!W266&gt;0,每日收货出货登记!D266,"")</f>
        <v/>
      </c>
      <c r="C266" s="10">
        <f>IF(每日收货出货登记!W266&gt;0,每日收货出货登记!G266,"")</f>
        <v/>
      </c>
      <c r="D266" s="10">
        <f>IF(每日收货出货登记!W266&gt;0,每日收货出货登记!E266,"")</f>
        <v/>
      </c>
      <c r="E266" s="10">
        <f>IF(每日收货出货登记!W266&gt;0,每日收货出货登记!Q266,"")</f>
        <v/>
      </c>
      <c r="F266" s="10">
        <f>IF(每日收货出货登记!W266&gt;0,每日收货出货登记!V266,"")</f>
        <v/>
      </c>
      <c r="G266" s="10">
        <f>IF(每日收货出货登记!W266&gt;0,每日收货出货登记!W266,"")</f>
        <v/>
      </c>
      <c r="H266" s="10">
        <f>IF(每日收货出货登记!W266&gt;0,每日收货出货登记!R266,"")</f>
        <v/>
      </c>
      <c r="I266" s="9">
        <f>IF(每日收货出货登记!W266&gt;0,每日收货出货登记!S266,"")</f>
        <v/>
      </c>
      <c r="J266" s="9">
        <f>IF(每日收货出货登记!W266&gt;0,每日收货出货登记!AB266,"")</f>
        <v/>
      </c>
    </row>
    <row r="267" ht="22" customHeight="1">
      <c r="A267" s="9">
        <f>IF(每日收货出货登记!W267&gt;0,每日收货出货登记!A267,"")</f>
        <v/>
      </c>
      <c r="B267" s="10">
        <f>IF(每日收货出货登记!W267&gt;0,每日收货出货登记!D267,"")</f>
        <v/>
      </c>
      <c r="C267" s="10">
        <f>IF(每日收货出货登记!W267&gt;0,每日收货出货登记!G267,"")</f>
        <v/>
      </c>
      <c r="D267" s="10">
        <f>IF(每日收货出货登记!W267&gt;0,每日收货出货登记!E267,"")</f>
        <v/>
      </c>
      <c r="E267" s="10">
        <f>IF(每日收货出货登记!W267&gt;0,每日收货出货登记!Q267,"")</f>
        <v/>
      </c>
      <c r="F267" s="10">
        <f>IF(每日收货出货登记!W267&gt;0,每日收货出货登记!V267,"")</f>
        <v/>
      </c>
      <c r="G267" s="10">
        <f>IF(每日收货出货登记!W267&gt;0,每日收货出货登记!W267,"")</f>
        <v/>
      </c>
      <c r="H267" s="10">
        <f>IF(每日收货出货登记!W267&gt;0,每日收货出货登记!R267,"")</f>
        <v/>
      </c>
      <c r="I267" s="9">
        <f>IF(每日收货出货登记!W267&gt;0,每日收货出货登记!S267,"")</f>
        <v/>
      </c>
      <c r="J267" s="9">
        <f>IF(每日收货出货登记!W267&gt;0,每日收货出货登记!AB267,"")</f>
        <v/>
      </c>
    </row>
    <row r="268" ht="22" customHeight="1">
      <c r="A268" s="9">
        <f>IF(每日收货出货登记!W268&gt;0,每日收货出货登记!A268,"")</f>
        <v/>
      </c>
      <c r="B268" s="10">
        <f>IF(每日收货出货登记!W268&gt;0,每日收货出货登记!D268,"")</f>
        <v/>
      </c>
      <c r="C268" s="10">
        <f>IF(每日收货出货登记!W268&gt;0,每日收货出货登记!G268,"")</f>
        <v/>
      </c>
      <c r="D268" s="10">
        <f>IF(每日收货出货登记!W268&gt;0,每日收货出货登记!E268,"")</f>
        <v/>
      </c>
      <c r="E268" s="10">
        <f>IF(每日收货出货登记!W268&gt;0,每日收货出货登记!Q268,"")</f>
        <v/>
      </c>
      <c r="F268" s="10">
        <f>IF(每日收货出货登记!W268&gt;0,每日收货出货登记!V268,"")</f>
        <v/>
      </c>
      <c r="G268" s="10">
        <f>IF(每日收货出货登记!W268&gt;0,每日收货出货登记!W268,"")</f>
        <v/>
      </c>
      <c r="H268" s="10">
        <f>IF(每日收货出货登记!W268&gt;0,每日收货出货登记!R268,"")</f>
        <v/>
      </c>
      <c r="I268" s="9">
        <f>IF(每日收货出货登记!W268&gt;0,每日收货出货登记!S268,"")</f>
        <v/>
      </c>
      <c r="J268" s="9">
        <f>IF(每日收货出货登记!W268&gt;0,每日收货出货登记!AB268,"")</f>
        <v/>
      </c>
    </row>
    <row r="269" ht="22" customHeight="1">
      <c r="A269" s="9">
        <f>IF(每日收货出货登记!W269&gt;0,每日收货出货登记!A269,"")</f>
        <v/>
      </c>
      <c r="B269" s="10">
        <f>IF(每日收货出货登记!W269&gt;0,每日收货出货登记!D269,"")</f>
        <v/>
      </c>
      <c r="C269" s="10">
        <f>IF(每日收货出货登记!W269&gt;0,每日收货出货登记!G269,"")</f>
        <v/>
      </c>
      <c r="D269" s="10">
        <f>IF(每日收货出货登记!W269&gt;0,每日收货出货登记!E269,"")</f>
        <v/>
      </c>
      <c r="E269" s="10">
        <f>IF(每日收货出货登记!W269&gt;0,每日收货出货登记!Q269,"")</f>
        <v/>
      </c>
      <c r="F269" s="10">
        <f>IF(每日收货出货登记!W269&gt;0,每日收货出货登记!V269,"")</f>
        <v/>
      </c>
      <c r="G269" s="10">
        <f>IF(每日收货出货登记!W269&gt;0,每日收货出货登记!W269,"")</f>
        <v/>
      </c>
      <c r="H269" s="10">
        <f>IF(每日收货出货登记!W269&gt;0,每日收货出货登记!R269,"")</f>
        <v/>
      </c>
      <c r="I269" s="9">
        <f>IF(每日收货出货登记!W269&gt;0,每日收货出货登记!S269,"")</f>
        <v/>
      </c>
      <c r="J269" s="9">
        <f>IF(每日收货出货登记!W269&gt;0,每日收货出货登记!AB269,"")</f>
        <v/>
      </c>
    </row>
    <row r="270" ht="22" customHeight="1">
      <c r="A270" s="9">
        <f>IF(每日收货出货登记!W270&gt;0,每日收货出货登记!A270,"")</f>
        <v/>
      </c>
      <c r="B270" s="10">
        <f>IF(每日收货出货登记!W270&gt;0,每日收货出货登记!D270,"")</f>
        <v/>
      </c>
      <c r="C270" s="10">
        <f>IF(每日收货出货登记!W270&gt;0,每日收货出货登记!G270,"")</f>
        <v/>
      </c>
      <c r="D270" s="10">
        <f>IF(每日收货出货登记!W270&gt;0,每日收货出货登记!E270,"")</f>
        <v/>
      </c>
      <c r="E270" s="10">
        <f>IF(每日收货出货登记!W270&gt;0,每日收货出货登记!Q270,"")</f>
        <v/>
      </c>
      <c r="F270" s="10">
        <f>IF(每日收货出货登记!W270&gt;0,每日收货出货登记!V270,"")</f>
        <v/>
      </c>
      <c r="G270" s="10">
        <f>IF(每日收货出货登记!W270&gt;0,每日收货出货登记!W270,"")</f>
        <v/>
      </c>
      <c r="H270" s="10">
        <f>IF(每日收货出货登记!W270&gt;0,每日收货出货登记!R270,"")</f>
        <v/>
      </c>
      <c r="I270" s="9">
        <f>IF(每日收货出货登记!W270&gt;0,每日收货出货登记!S270,"")</f>
        <v/>
      </c>
      <c r="J270" s="9">
        <f>IF(每日收货出货登记!W270&gt;0,每日收货出货登记!AB270,"")</f>
        <v/>
      </c>
    </row>
    <row r="271" ht="22" customHeight="1">
      <c r="A271" s="9">
        <f>IF(每日收货出货登记!W271&gt;0,每日收货出货登记!A271,"")</f>
        <v/>
      </c>
      <c r="B271" s="10">
        <f>IF(每日收货出货登记!W271&gt;0,每日收货出货登记!D271,"")</f>
        <v/>
      </c>
      <c r="C271" s="10">
        <f>IF(每日收货出货登记!W271&gt;0,每日收货出货登记!G271,"")</f>
        <v/>
      </c>
      <c r="D271" s="10">
        <f>IF(每日收货出货登记!W271&gt;0,每日收货出货登记!E271,"")</f>
        <v/>
      </c>
      <c r="E271" s="10">
        <f>IF(每日收货出货登记!W271&gt;0,每日收货出货登记!Q271,"")</f>
        <v/>
      </c>
      <c r="F271" s="10">
        <f>IF(每日收货出货登记!W271&gt;0,每日收货出货登记!V271,"")</f>
        <v/>
      </c>
      <c r="G271" s="10">
        <f>IF(每日收货出货登记!W271&gt;0,每日收货出货登记!W271,"")</f>
        <v/>
      </c>
      <c r="H271" s="10">
        <f>IF(每日收货出货登记!W271&gt;0,每日收货出货登记!R271,"")</f>
        <v/>
      </c>
      <c r="I271" s="9">
        <f>IF(每日收货出货登记!W271&gt;0,每日收货出货登记!S271,"")</f>
        <v/>
      </c>
      <c r="J271" s="9">
        <f>IF(每日收货出货登记!W271&gt;0,每日收货出货登记!AB271,"")</f>
        <v/>
      </c>
    </row>
    <row r="272" ht="22" customHeight="1">
      <c r="A272" s="9">
        <f>IF(每日收货出货登记!W272&gt;0,每日收货出货登记!A272,"")</f>
        <v/>
      </c>
      <c r="B272" s="10">
        <f>IF(每日收货出货登记!W272&gt;0,每日收货出货登记!D272,"")</f>
        <v/>
      </c>
      <c r="C272" s="10">
        <f>IF(每日收货出货登记!W272&gt;0,每日收货出货登记!G272,"")</f>
        <v/>
      </c>
      <c r="D272" s="10">
        <f>IF(每日收货出货登记!W272&gt;0,每日收货出货登记!E272,"")</f>
        <v/>
      </c>
      <c r="E272" s="10">
        <f>IF(每日收货出货登记!W272&gt;0,每日收货出货登记!Q272,"")</f>
        <v/>
      </c>
      <c r="F272" s="10">
        <f>IF(每日收货出货登记!W272&gt;0,每日收货出货登记!V272,"")</f>
        <v/>
      </c>
      <c r="G272" s="10">
        <f>IF(每日收货出货登记!W272&gt;0,每日收货出货登记!W272,"")</f>
        <v/>
      </c>
      <c r="H272" s="10">
        <f>IF(每日收货出货登记!W272&gt;0,每日收货出货登记!R272,"")</f>
        <v/>
      </c>
      <c r="I272" s="9">
        <f>IF(每日收货出货登记!W272&gt;0,每日收货出货登记!S272,"")</f>
        <v/>
      </c>
      <c r="J272" s="9">
        <f>IF(每日收货出货登记!W272&gt;0,每日收货出货登记!AB272,"")</f>
        <v/>
      </c>
    </row>
    <row r="273" ht="22" customHeight="1">
      <c r="A273" s="9">
        <f>IF(每日收货出货登记!W273&gt;0,每日收货出货登记!A273,"")</f>
        <v/>
      </c>
      <c r="B273" s="10">
        <f>IF(每日收货出货登记!W273&gt;0,每日收货出货登记!D273,"")</f>
        <v/>
      </c>
      <c r="C273" s="10">
        <f>IF(每日收货出货登记!W273&gt;0,每日收货出货登记!G273,"")</f>
        <v/>
      </c>
      <c r="D273" s="10">
        <f>IF(每日收货出货登记!W273&gt;0,每日收货出货登记!E273,"")</f>
        <v/>
      </c>
      <c r="E273" s="10">
        <f>IF(每日收货出货登记!W273&gt;0,每日收货出货登记!Q273,"")</f>
        <v/>
      </c>
      <c r="F273" s="10">
        <f>IF(每日收货出货登记!W273&gt;0,每日收货出货登记!V273,"")</f>
        <v/>
      </c>
      <c r="G273" s="10">
        <f>IF(每日收货出货登记!W273&gt;0,每日收货出货登记!W273,"")</f>
        <v/>
      </c>
      <c r="H273" s="10">
        <f>IF(每日收货出货登记!W273&gt;0,每日收货出货登记!R273,"")</f>
        <v/>
      </c>
      <c r="I273" s="9">
        <f>IF(每日收货出货登记!W273&gt;0,每日收货出货登记!S273,"")</f>
        <v/>
      </c>
      <c r="J273" s="9">
        <f>IF(每日收货出货登记!W273&gt;0,每日收货出货登记!AB273,"")</f>
        <v/>
      </c>
    </row>
    <row r="274" ht="22" customHeight="1">
      <c r="A274" s="9">
        <f>IF(每日收货出货登记!W274&gt;0,每日收货出货登记!A274,"")</f>
        <v/>
      </c>
      <c r="B274" s="10">
        <f>IF(每日收货出货登记!W274&gt;0,每日收货出货登记!D274,"")</f>
        <v/>
      </c>
      <c r="C274" s="10">
        <f>IF(每日收货出货登记!W274&gt;0,每日收货出货登记!G274,"")</f>
        <v/>
      </c>
      <c r="D274" s="10">
        <f>IF(每日收货出货登记!W274&gt;0,每日收货出货登记!E274,"")</f>
        <v/>
      </c>
      <c r="E274" s="10">
        <f>IF(每日收货出货登记!W274&gt;0,每日收货出货登记!Q274,"")</f>
        <v/>
      </c>
      <c r="F274" s="10">
        <f>IF(每日收货出货登记!W274&gt;0,每日收货出货登记!V274,"")</f>
        <v/>
      </c>
      <c r="G274" s="10">
        <f>IF(每日收货出货登记!W274&gt;0,每日收货出货登记!W274,"")</f>
        <v/>
      </c>
      <c r="H274" s="10">
        <f>IF(每日收货出货登记!W274&gt;0,每日收货出货登记!R274,"")</f>
        <v/>
      </c>
      <c r="I274" s="9">
        <f>IF(每日收货出货登记!W274&gt;0,每日收货出货登记!S274,"")</f>
        <v/>
      </c>
      <c r="J274" s="9">
        <f>IF(每日收货出货登记!W274&gt;0,每日收货出货登记!AB274,"")</f>
        <v/>
      </c>
    </row>
    <row r="275" ht="22" customHeight="1">
      <c r="A275" s="9">
        <f>IF(每日收货出货登记!W275&gt;0,每日收货出货登记!A275,"")</f>
        <v/>
      </c>
      <c r="B275" s="10">
        <f>IF(每日收货出货登记!W275&gt;0,每日收货出货登记!D275,"")</f>
        <v/>
      </c>
      <c r="C275" s="10">
        <f>IF(每日收货出货登记!W275&gt;0,每日收货出货登记!G275,"")</f>
        <v/>
      </c>
      <c r="D275" s="10">
        <f>IF(每日收货出货登记!W275&gt;0,每日收货出货登记!E275,"")</f>
        <v/>
      </c>
      <c r="E275" s="10">
        <f>IF(每日收货出货登记!W275&gt;0,每日收货出货登记!Q275,"")</f>
        <v/>
      </c>
      <c r="F275" s="10">
        <f>IF(每日收货出货登记!W275&gt;0,每日收货出货登记!V275,"")</f>
        <v/>
      </c>
      <c r="G275" s="10">
        <f>IF(每日收货出货登记!W275&gt;0,每日收货出货登记!W275,"")</f>
        <v/>
      </c>
      <c r="H275" s="10">
        <f>IF(每日收货出货登记!W275&gt;0,每日收货出货登记!R275,"")</f>
        <v/>
      </c>
      <c r="I275" s="9">
        <f>IF(每日收货出货登记!W275&gt;0,每日收货出货登记!S275,"")</f>
        <v/>
      </c>
      <c r="J275" s="9">
        <f>IF(每日收货出货登记!W275&gt;0,每日收货出货登记!AB275,"")</f>
        <v/>
      </c>
    </row>
    <row r="276" ht="22" customHeight="1">
      <c r="A276" s="9">
        <f>IF(每日收货出货登记!W276&gt;0,每日收货出货登记!A276,"")</f>
        <v/>
      </c>
      <c r="B276" s="10">
        <f>IF(每日收货出货登记!W276&gt;0,每日收货出货登记!D276,"")</f>
        <v/>
      </c>
      <c r="C276" s="10">
        <f>IF(每日收货出货登记!W276&gt;0,每日收货出货登记!G276,"")</f>
        <v/>
      </c>
      <c r="D276" s="10">
        <f>IF(每日收货出货登记!W276&gt;0,每日收货出货登记!E276,"")</f>
        <v/>
      </c>
      <c r="E276" s="10">
        <f>IF(每日收货出货登记!W276&gt;0,每日收货出货登记!Q276,"")</f>
        <v/>
      </c>
      <c r="F276" s="10">
        <f>IF(每日收货出货登记!W276&gt;0,每日收货出货登记!V276,"")</f>
        <v/>
      </c>
      <c r="G276" s="10">
        <f>IF(每日收货出货登记!W276&gt;0,每日收货出货登记!W276,"")</f>
        <v/>
      </c>
      <c r="H276" s="10">
        <f>IF(每日收货出货登记!W276&gt;0,每日收货出货登记!R276,"")</f>
        <v/>
      </c>
      <c r="I276" s="9">
        <f>IF(每日收货出货登记!W276&gt;0,每日收货出货登记!S276,"")</f>
        <v/>
      </c>
      <c r="J276" s="9">
        <f>IF(每日收货出货登记!W276&gt;0,每日收货出货登记!AB276,"")</f>
        <v/>
      </c>
    </row>
    <row r="277" ht="22" customHeight="1">
      <c r="A277" s="9">
        <f>IF(每日收货出货登记!W277&gt;0,每日收货出货登记!A277,"")</f>
        <v/>
      </c>
      <c r="B277" s="10">
        <f>IF(每日收货出货登记!W277&gt;0,每日收货出货登记!D277,"")</f>
        <v/>
      </c>
      <c r="C277" s="10">
        <f>IF(每日收货出货登记!W277&gt;0,每日收货出货登记!G277,"")</f>
        <v/>
      </c>
      <c r="D277" s="10">
        <f>IF(每日收货出货登记!W277&gt;0,每日收货出货登记!E277,"")</f>
        <v/>
      </c>
      <c r="E277" s="10">
        <f>IF(每日收货出货登记!W277&gt;0,每日收货出货登记!Q277,"")</f>
        <v/>
      </c>
      <c r="F277" s="10">
        <f>IF(每日收货出货登记!W277&gt;0,每日收货出货登记!V277,"")</f>
        <v/>
      </c>
      <c r="G277" s="10">
        <f>IF(每日收货出货登记!W277&gt;0,每日收货出货登记!W277,"")</f>
        <v/>
      </c>
      <c r="H277" s="10">
        <f>IF(每日收货出货登记!W277&gt;0,每日收货出货登记!R277,"")</f>
        <v/>
      </c>
      <c r="I277" s="9">
        <f>IF(每日收货出货登记!W277&gt;0,每日收货出货登记!S277,"")</f>
        <v/>
      </c>
      <c r="J277" s="9">
        <f>IF(每日收货出货登记!W277&gt;0,每日收货出货登记!AB277,"")</f>
        <v/>
      </c>
    </row>
    <row r="278" ht="22" customHeight="1">
      <c r="A278" s="9">
        <f>IF(每日收货出货登记!W278&gt;0,每日收货出货登记!A278,"")</f>
        <v/>
      </c>
      <c r="B278" s="10">
        <f>IF(每日收货出货登记!W278&gt;0,每日收货出货登记!D278,"")</f>
        <v/>
      </c>
      <c r="C278" s="10">
        <f>IF(每日收货出货登记!W278&gt;0,每日收货出货登记!G278,"")</f>
        <v/>
      </c>
      <c r="D278" s="10">
        <f>IF(每日收货出货登记!W278&gt;0,每日收货出货登记!E278,"")</f>
        <v/>
      </c>
      <c r="E278" s="10">
        <f>IF(每日收货出货登记!W278&gt;0,每日收货出货登记!Q278,"")</f>
        <v/>
      </c>
      <c r="F278" s="10">
        <f>IF(每日收货出货登记!W278&gt;0,每日收货出货登记!V278,"")</f>
        <v/>
      </c>
      <c r="G278" s="10">
        <f>IF(每日收货出货登记!W278&gt;0,每日收货出货登记!W278,"")</f>
        <v/>
      </c>
      <c r="H278" s="10">
        <f>IF(每日收货出货登记!W278&gt;0,每日收货出货登记!R278,"")</f>
        <v/>
      </c>
      <c r="I278" s="9">
        <f>IF(每日收货出货登记!W278&gt;0,每日收货出货登记!S278,"")</f>
        <v/>
      </c>
      <c r="J278" s="9">
        <f>IF(每日收货出货登记!W278&gt;0,每日收货出货登记!AB278,"")</f>
        <v/>
      </c>
    </row>
    <row r="279" ht="22" customHeight="1">
      <c r="A279" s="9">
        <f>IF(每日收货出货登记!W279&gt;0,每日收货出货登记!A279,"")</f>
        <v/>
      </c>
      <c r="B279" s="10">
        <f>IF(每日收货出货登记!W279&gt;0,每日收货出货登记!D279,"")</f>
        <v/>
      </c>
      <c r="C279" s="10">
        <f>IF(每日收货出货登记!W279&gt;0,每日收货出货登记!G279,"")</f>
        <v/>
      </c>
      <c r="D279" s="10">
        <f>IF(每日收货出货登记!W279&gt;0,每日收货出货登记!E279,"")</f>
        <v/>
      </c>
      <c r="E279" s="10">
        <f>IF(每日收货出货登记!W279&gt;0,每日收货出货登记!Q279,"")</f>
        <v/>
      </c>
      <c r="F279" s="10">
        <f>IF(每日收货出货登记!W279&gt;0,每日收货出货登记!V279,"")</f>
        <v/>
      </c>
      <c r="G279" s="10">
        <f>IF(每日收货出货登记!W279&gt;0,每日收货出货登记!W279,"")</f>
        <v/>
      </c>
      <c r="H279" s="10">
        <f>IF(每日收货出货登记!W279&gt;0,每日收货出货登记!R279,"")</f>
        <v/>
      </c>
      <c r="I279" s="9">
        <f>IF(每日收货出货登记!W279&gt;0,每日收货出货登记!S279,"")</f>
        <v/>
      </c>
      <c r="J279" s="9">
        <f>IF(每日收货出货登记!W279&gt;0,每日收货出货登记!AB279,"")</f>
        <v/>
      </c>
    </row>
    <row r="280" ht="22" customHeight="1">
      <c r="A280" s="9">
        <f>IF(每日收货出货登记!W280&gt;0,每日收货出货登记!A280,"")</f>
        <v/>
      </c>
      <c r="B280" s="10">
        <f>IF(每日收货出货登记!W280&gt;0,每日收货出货登记!D280,"")</f>
        <v/>
      </c>
      <c r="C280" s="10">
        <f>IF(每日收货出货登记!W280&gt;0,每日收货出货登记!G280,"")</f>
        <v/>
      </c>
      <c r="D280" s="10">
        <f>IF(每日收货出货登记!W280&gt;0,每日收货出货登记!E280,"")</f>
        <v/>
      </c>
      <c r="E280" s="10">
        <f>IF(每日收货出货登记!W280&gt;0,每日收货出货登记!Q280,"")</f>
        <v/>
      </c>
      <c r="F280" s="10">
        <f>IF(每日收货出货登记!W280&gt;0,每日收货出货登记!V280,"")</f>
        <v/>
      </c>
      <c r="G280" s="10">
        <f>IF(每日收货出货登记!W280&gt;0,每日收货出货登记!W280,"")</f>
        <v/>
      </c>
      <c r="H280" s="10">
        <f>IF(每日收货出货登记!W280&gt;0,每日收货出货登记!R280,"")</f>
        <v/>
      </c>
      <c r="I280" s="9">
        <f>IF(每日收货出货登记!W280&gt;0,每日收货出货登记!S280,"")</f>
        <v/>
      </c>
      <c r="J280" s="9">
        <f>IF(每日收货出货登记!W280&gt;0,每日收货出货登记!AB280,"")</f>
        <v/>
      </c>
    </row>
    <row r="281" ht="22" customHeight="1">
      <c r="A281" s="9">
        <f>IF(每日收货出货登记!W281&gt;0,每日收货出货登记!A281,"")</f>
        <v/>
      </c>
      <c r="B281" s="10">
        <f>IF(每日收货出货登记!W281&gt;0,每日收货出货登记!D281,"")</f>
        <v/>
      </c>
      <c r="C281" s="10">
        <f>IF(每日收货出货登记!W281&gt;0,每日收货出货登记!G281,"")</f>
        <v/>
      </c>
      <c r="D281" s="10">
        <f>IF(每日收货出货登记!W281&gt;0,每日收货出货登记!E281,"")</f>
        <v/>
      </c>
      <c r="E281" s="10">
        <f>IF(每日收货出货登记!W281&gt;0,每日收货出货登记!Q281,"")</f>
        <v/>
      </c>
      <c r="F281" s="10">
        <f>IF(每日收货出货登记!W281&gt;0,每日收货出货登记!V281,"")</f>
        <v/>
      </c>
      <c r="G281" s="10">
        <f>IF(每日收货出货登记!W281&gt;0,每日收货出货登记!W281,"")</f>
        <v/>
      </c>
      <c r="H281" s="10">
        <f>IF(每日收货出货登记!W281&gt;0,每日收货出货登记!R281,"")</f>
        <v/>
      </c>
      <c r="I281" s="9">
        <f>IF(每日收货出货登记!W281&gt;0,每日收货出货登记!S281,"")</f>
        <v/>
      </c>
      <c r="J281" s="9">
        <f>IF(每日收货出货登记!W281&gt;0,每日收货出货登记!AB281,"")</f>
        <v/>
      </c>
    </row>
    <row r="282" ht="22" customHeight="1">
      <c r="A282" s="9">
        <f>IF(每日收货出货登记!W282&gt;0,每日收货出货登记!A282,"")</f>
        <v/>
      </c>
      <c r="B282" s="10">
        <f>IF(每日收货出货登记!W282&gt;0,每日收货出货登记!D282,"")</f>
        <v/>
      </c>
      <c r="C282" s="10">
        <f>IF(每日收货出货登记!W282&gt;0,每日收货出货登记!G282,"")</f>
        <v/>
      </c>
      <c r="D282" s="10">
        <f>IF(每日收货出货登记!W282&gt;0,每日收货出货登记!E282,"")</f>
        <v/>
      </c>
      <c r="E282" s="10">
        <f>IF(每日收货出货登记!W282&gt;0,每日收货出货登记!Q282,"")</f>
        <v/>
      </c>
      <c r="F282" s="10">
        <f>IF(每日收货出货登记!W282&gt;0,每日收货出货登记!V282,"")</f>
        <v/>
      </c>
      <c r="G282" s="10">
        <f>IF(每日收货出货登记!W282&gt;0,每日收货出货登记!W282,"")</f>
        <v/>
      </c>
      <c r="H282" s="10">
        <f>IF(每日收货出货登记!W282&gt;0,每日收货出货登记!R282,"")</f>
        <v/>
      </c>
      <c r="I282" s="9">
        <f>IF(每日收货出货登记!W282&gt;0,每日收货出货登记!S282,"")</f>
        <v/>
      </c>
      <c r="J282" s="9">
        <f>IF(每日收货出货登记!W282&gt;0,每日收货出货登记!AB282,"")</f>
        <v/>
      </c>
    </row>
    <row r="283" ht="22" customHeight="1">
      <c r="A283" s="9">
        <f>IF(每日收货出货登记!W283&gt;0,每日收货出货登记!A283,"")</f>
        <v/>
      </c>
      <c r="B283" s="10">
        <f>IF(每日收货出货登记!W283&gt;0,每日收货出货登记!D283,"")</f>
        <v/>
      </c>
      <c r="C283" s="10">
        <f>IF(每日收货出货登记!W283&gt;0,每日收货出货登记!G283,"")</f>
        <v/>
      </c>
      <c r="D283" s="10">
        <f>IF(每日收货出货登记!W283&gt;0,每日收货出货登记!E283,"")</f>
        <v/>
      </c>
      <c r="E283" s="10">
        <f>IF(每日收货出货登记!W283&gt;0,每日收货出货登记!Q283,"")</f>
        <v/>
      </c>
      <c r="F283" s="10">
        <f>IF(每日收货出货登记!W283&gt;0,每日收货出货登记!V283,"")</f>
        <v/>
      </c>
      <c r="G283" s="10">
        <f>IF(每日收货出货登记!W283&gt;0,每日收货出货登记!W283,"")</f>
        <v/>
      </c>
      <c r="H283" s="10">
        <f>IF(每日收货出货登记!W283&gt;0,每日收货出货登记!R283,"")</f>
        <v/>
      </c>
      <c r="I283" s="9">
        <f>IF(每日收货出货登记!W283&gt;0,每日收货出货登记!S283,"")</f>
        <v/>
      </c>
      <c r="J283" s="9">
        <f>IF(每日收货出货登记!W283&gt;0,每日收货出货登记!AB283,"")</f>
        <v/>
      </c>
    </row>
    <row r="284" ht="22" customHeight="1">
      <c r="A284" s="9">
        <f>IF(每日收货出货登记!W284&gt;0,每日收货出货登记!A284,"")</f>
        <v/>
      </c>
      <c r="B284" s="10">
        <f>IF(每日收货出货登记!W284&gt;0,每日收货出货登记!D284,"")</f>
        <v/>
      </c>
      <c r="C284" s="10">
        <f>IF(每日收货出货登记!W284&gt;0,每日收货出货登记!G284,"")</f>
        <v/>
      </c>
      <c r="D284" s="10">
        <f>IF(每日收货出货登记!W284&gt;0,每日收货出货登记!E284,"")</f>
        <v/>
      </c>
      <c r="E284" s="10">
        <f>IF(每日收货出货登记!W284&gt;0,每日收货出货登记!Q284,"")</f>
        <v/>
      </c>
      <c r="F284" s="10">
        <f>IF(每日收货出货登记!W284&gt;0,每日收货出货登记!V284,"")</f>
        <v/>
      </c>
      <c r="G284" s="10">
        <f>IF(每日收货出货登记!W284&gt;0,每日收货出货登记!W284,"")</f>
        <v/>
      </c>
      <c r="H284" s="10">
        <f>IF(每日收货出货登记!W284&gt;0,每日收货出货登记!R284,"")</f>
        <v/>
      </c>
      <c r="I284" s="9">
        <f>IF(每日收货出货登记!W284&gt;0,每日收货出货登记!S284,"")</f>
        <v/>
      </c>
      <c r="J284" s="9">
        <f>IF(每日收货出货登记!W284&gt;0,每日收货出货登记!AB284,"")</f>
        <v/>
      </c>
    </row>
    <row r="285" ht="22" customHeight="1">
      <c r="A285" s="9">
        <f>IF(每日收货出货登记!W285&gt;0,每日收货出货登记!A285,"")</f>
        <v/>
      </c>
      <c r="B285" s="10">
        <f>IF(每日收货出货登记!W285&gt;0,每日收货出货登记!D285,"")</f>
        <v/>
      </c>
      <c r="C285" s="10">
        <f>IF(每日收货出货登记!W285&gt;0,每日收货出货登记!G285,"")</f>
        <v/>
      </c>
      <c r="D285" s="10">
        <f>IF(每日收货出货登记!W285&gt;0,每日收货出货登记!E285,"")</f>
        <v/>
      </c>
      <c r="E285" s="10">
        <f>IF(每日收货出货登记!W285&gt;0,每日收货出货登记!Q285,"")</f>
        <v/>
      </c>
      <c r="F285" s="10">
        <f>IF(每日收货出货登记!W285&gt;0,每日收货出货登记!V285,"")</f>
        <v/>
      </c>
      <c r="G285" s="10">
        <f>IF(每日收货出货登记!W285&gt;0,每日收货出货登记!W285,"")</f>
        <v/>
      </c>
      <c r="H285" s="10">
        <f>IF(每日收货出货登记!W285&gt;0,每日收货出货登记!R285,"")</f>
        <v/>
      </c>
      <c r="I285" s="9">
        <f>IF(每日收货出货登记!W285&gt;0,每日收货出货登记!S285,"")</f>
        <v/>
      </c>
      <c r="J285" s="9">
        <f>IF(每日收货出货登记!W285&gt;0,每日收货出货登记!AB285,"")</f>
        <v/>
      </c>
    </row>
    <row r="286" ht="22" customHeight="1">
      <c r="A286" s="9">
        <f>IF(每日收货出货登记!W286&gt;0,每日收货出货登记!A286,"")</f>
        <v/>
      </c>
      <c r="B286" s="10">
        <f>IF(每日收货出货登记!W286&gt;0,每日收货出货登记!D286,"")</f>
        <v/>
      </c>
      <c r="C286" s="10">
        <f>IF(每日收货出货登记!W286&gt;0,每日收货出货登记!G286,"")</f>
        <v/>
      </c>
      <c r="D286" s="10">
        <f>IF(每日收货出货登记!W286&gt;0,每日收货出货登记!E286,"")</f>
        <v/>
      </c>
      <c r="E286" s="10">
        <f>IF(每日收货出货登记!W286&gt;0,每日收货出货登记!Q286,"")</f>
        <v/>
      </c>
      <c r="F286" s="10">
        <f>IF(每日收货出货登记!W286&gt;0,每日收货出货登记!V286,"")</f>
        <v/>
      </c>
      <c r="G286" s="10">
        <f>IF(每日收货出货登记!W286&gt;0,每日收货出货登记!W286,"")</f>
        <v/>
      </c>
      <c r="H286" s="10">
        <f>IF(每日收货出货登记!W286&gt;0,每日收货出货登记!R286,"")</f>
        <v/>
      </c>
      <c r="I286" s="9">
        <f>IF(每日收货出货登记!W286&gt;0,每日收货出货登记!S286,"")</f>
        <v/>
      </c>
      <c r="J286" s="9">
        <f>IF(每日收货出货登记!W286&gt;0,每日收货出货登记!AB286,"")</f>
        <v/>
      </c>
    </row>
    <row r="287" ht="22" customHeight="1">
      <c r="A287" s="9">
        <f>IF(每日收货出货登记!W287&gt;0,每日收货出货登记!A287,"")</f>
        <v/>
      </c>
      <c r="B287" s="10">
        <f>IF(每日收货出货登记!W287&gt;0,每日收货出货登记!D287,"")</f>
        <v/>
      </c>
      <c r="C287" s="10">
        <f>IF(每日收货出货登记!W287&gt;0,每日收货出货登记!G287,"")</f>
        <v/>
      </c>
      <c r="D287" s="10">
        <f>IF(每日收货出货登记!W287&gt;0,每日收货出货登记!E287,"")</f>
        <v/>
      </c>
      <c r="E287" s="10">
        <f>IF(每日收货出货登记!W287&gt;0,每日收货出货登记!Q287,"")</f>
        <v/>
      </c>
      <c r="F287" s="10">
        <f>IF(每日收货出货登记!W287&gt;0,每日收货出货登记!V287,"")</f>
        <v/>
      </c>
      <c r="G287" s="10">
        <f>IF(每日收货出货登记!W287&gt;0,每日收货出货登记!W287,"")</f>
        <v/>
      </c>
      <c r="H287" s="10">
        <f>IF(每日收货出货登记!W287&gt;0,每日收货出货登记!R287,"")</f>
        <v/>
      </c>
      <c r="I287" s="9">
        <f>IF(每日收货出货登记!W287&gt;0,每日收货出货登记!S287,"")</f>
        <v/>
      </c>
      <c r="J287" s="9">
        <f>IF(每日收货出货登记!W287&gt;0,每日收货出货登记!AB287,"")</f>
        <v/>
      </c>
    </row>
    <row r="288" ht="22" customHeight="1">
      <c r="A288" s="9">
        <f>IF(每日收货出货登记!W288&gt;0,每日收货出货登记!A288,"")</f>
        <v/>
      </c>
      <c r="B288" s="10">
        <f>IF(每日收货出货登记!W288&gt;0,每日收货出货登记!D288,"")</f>
        <v/>
      </c>
      <c r="C288" s="10">
        <f>IF(每日收货出货登记!W288&gt;0,每日收货出货登记!G288,"")</f>
        <v/>
      </c>
      <c r="D288" s="10">
        <f>IF(每日收货出货登记!W288&gt;0,每日收货出货登记!E288,"")</f>
        <v/>
      </c>
      <c r="E288" s="10">
        <f>IF(每日收货出货登记!W288&gt;0,每日收货出货登记!Q288,"")</f>
        <v/>
      </c>
      <c r="F288" s="10">
        <f>IF(每日收货出货登记!W288&gt;0,每日收货出货登记!V288,"")</f>
        <v/>
      </c>
      <c r="G288" s="10">
        <f>IF(每日收货出货登记!W288&gt;0,每日收货出货登记!W288,"")</f>
        <v/>
      </c>
      <c r="H288" s="10">
        <f>IF(每日收货出货登记!W288&gt;0,每日收货出货登记!R288,"")</f>
        <v/>
      </c>
      <c r="I288" s="9">
        <f>IF(每日收货出货登记!W288&gt;0,每日收货出货登记!S288,"")</f>
        <v/>
      </c>
      <c r="J288" s="9">
        <f>IF(每日收货出货登记!W288&gt;0,每日收货出货登记!AB288,"")</f>
        <v/>
      </c>
    </row>
    <row r="289" ht="22" customHeight="1">
      <c r="A289" s="9">
        <f>IF(每日收货出货登记!W289&gt;0,每日收货出货登记!A289,"")</f>
        <v/>
      </c>
      <c r="B289" s="10">
        <f>IF(每日收货出货登记!W289&gt;0,每日收货出货登记!D289,"")</f>
        <v/>
      </c>
      <c r="C289" s="10">
        <f>IF(每日收货出货登记!W289&gt;0,每日收货出货登记!G289,"")</f>
        <v/>
      </c>
      <c r="D289" s="10">
        <f>IF(每日收货出货登记!W289&gt;0,每日收货出货登记!E289,"")</f>
        <v/>
      </c>
      <c r="E289" s="10">
        <f>IF(每日收货出货登记!W289&gt;0,每日收货出货登记!Q289,"")</f>
        <v/>
      </c>
      <c r="F289" s="10">
        <f>IF(每日收货出货登记!W289&gt;0,每日收货出货登记!V289,"")</f>
        <v/>
      </c>
      <c r="G289" s="10">
        <f>IF(每日收货出货登记!W289&gt;0,每日收货出货登记!W289,"")</f>
        <v/>
      </c>
      <c r="H289" s="10">
        <f>IF(每日收货出货登记!W289&gt;0,每日收货出货登记!R289,"")</f>
        <v/>
      </c>
      <c r="I289" s="9">
        <f>IF(每日收货出货登记!W289&gt;0,每日收货出货登记!S289,"")</f>
        <v/>
      </c>
      <c r="J289" s="9">
        <f>IF(每日收货出货登记!W289&gt;0,每日收货出货登记!AB289,"")</f>
        <v/>
      </c>
    </row>
    <row r="290" ht="22" customHeight="1">
      <c r="A290" s="9">
        <f>IF(每日收货出货登记!W290&gt;0,每日收货出货登记!A290,"")</f>
        <v/>
      </c>
      <c r="B290" s="10">
        <f>IF(每日收货出货登记!W290&gt;0,每日收货出货登记!D290,"")</f>
        <v/>
      </c>
      <c r="C290" s="10">
        <f>IF(每日收货出货登记!W290&gt;0,每日收货出货登记!G290,"")</f>
        <v/>
      </c>
      <c r="D290" s="10">
        <f>IF(每日收货出货登记!W290&gt;0,每日收货出货登记!E290,"")</f>
        <v/>
      </c>
      <c r="E290" s="10">
        <f>IF(每日收货出货登记!W290&gt;0,每日收货出货登记!Q290,"")</f>
        <v/>
      </c>
      <c r="F290" s="10">
        <f>IF(每日收货出货登记!W290&gt;0,每日收货出货登记!V290,"")</f>
        <v/>
      </c>
      <c r="G290" s="10">
        <f>IF(每日收货出货登记!W290&gt;0,每日收货出货登记!W290,"")</f>
        <v/>
      </c>
      <c r="H290" s="10">
        <f>IF(每日收货出货登记!W290&gt;0,每日收货出货登记!R290,"")</f>
        <v/>
      </c>
      <c r="I290" s="9">
        <f>IF(每日收货出货登记!W290&gt;0,每日收货出货登记!S290,"")</f>
        <v/>
      </c>
      <c r="J290" s="9">
        <f>IF(每日收货出货登记!W290&gt;0,每日收货出货登记!AB290,"")</f>
        <v/>
      </c>
    </row>
    <row r="291" ht="22" customHeight="1">
      <c r="A291" s="9">
        <f>IF(每日收货出货登记!W291&gt;0,每日收货出货登记!A291,"")</f>
        <v/>
      </c>
      <c r="B291" s="10">
        <f>IF(每日收货出货登记!W291&gt;0,每日收货出货登记!D291,"")</f>
        <v/>
      </c>
      <c r="C291" s="10">
        <f>IF(每日收货出货登记!W291&gt;0,每日收货出货登记!G291,"")</f>
        <v/>
      </c>
      <c r="D291" s="10">
        <f>IF(每日收货出货登记!W291&gt;0,每日收货出货登记!E291,"")</f>
        <v/>
      </c>
      <c r="E291" s="10">
        <f>IF(每日收货出货登记!W291&gt;0,每日收货出货登记!Q291,"")</f>
        <v/>
      </c>
      <c r="F291" s="10">
        <f>IF(每日收货出货登记!W291&gt;0,每日收货出货登记!V291,"")</f>
        <v/>
      </c>
      <c r="G291" s="10">
        <f>IF(每日收货出货登记!W291&gt;0,每日收货出货登记!W291,"")</f>
        <v/>
      </c>
      <c r="H291" s="10">
        <f>IF(每日收货出货登记!W291&gt;0,每日收货出货登记!R291,"")</f>
        <v/>
      </c>
      <c r="I291" s="9">
        <f>IF(每日收货出货登记!W291&gt;0,每日收货出货登记!S291,"")</f>
        <v/>
      </c>
      <c r="J291" s="9">
        <f>IF(每日收货出货登记!W291&gt;0,每日收货出货登记!AB291,"")</f>
        <v/>
      </c>
    </row>
    <row r="292" ht="22" customHeight="1">
      <c r="A292" s="9">
        <f>IF(每日收货出货登记!W292&gt;0,每日收货出货登记!A292,"")</f>
        <v/>
      </c>
      <c r="B292" s="10">
        <f>IF(每日收货出货登记!W292&gt;0,每日收货出货登记!D292,"")</f>
        <v/>
      </c>
      <c r="C292" s="10">
        <f>IF(每日收货出货登记!W292&gt;0,每日收货出货登记!G292,"")</f>
        <v/>
      </c>
      <c r="D292" s="10">
        <f>IF(每日收货出货登记!W292&gt;0,每日收货出货登记!E292,"")</f>
        <v/>
      </c>
      <c r="E292" s="10">
        <f>IF(每日收货出货登记!W292&gt;0,每日收货出货登记!Q292,"")</f>
        <v/>
      </c>
      <c r="F292" s="10">
        <f>IF(每日收货出货登记!W292&gt;0,每日收货出货登记!V292,"")</f>
        <v/>
      </c>
      <c r="G292" s="10">
        <f>IF(每日收货出货登记!W292&gt;0,每日收货出货登记!W292,"")</f>
        <v/>
      </c>
      <c r="H292" s="10">
        <f>IF(每日收货出货登记!W292&gt;0,每日收货出货登记!R292,"")</f>
        <v/>
      </c>
      <c r="I292" s="9">
        <f>IF(每日收货出货登记!W292&gt;0,每日收货出货登记!S292,"")</f>
        <v/>
      </c>
      <c r="J292" s="9">
        <f>IF(每日收货出货登记!W292&gt;0,每日收货出货登记!AB292,"")</f>
        <v/>
      </c>
    </row>
    <row r="293" ht="22" customHeight="1">
      <c r="A293" s="9">
        <f>IF(每日收货出货登记!W293&gt;0,每日收货出货登记!A293,"")</f>
        <v/>
      </c>
      <c r="B293" s="10">
        <f>IF(每日收货出货登记!W293&gt;0,每日收货出货登记!D293,"")</f>
        <v/>
      </c>
      <c r="C293" s="10">
        <f>IF(每日收货出货登记!W293&gt;0,每日收货出货登记!G293,"")</f>
        <v/>
      </c>
      <c r="D293" s="10">
        <f>IF(每日收货出货登记!W293&gt;0,每日收货出货登记!E293,"")</f>
        <v/>
      </c>
      <c r="E293" s="10">
        <f>IF(每日收货出货登记!W293&gt;0,每日收货出货登记!Q293,"")</f>
        <v/>
      </c>
      <c r="F293" s="10">
        <f>IF(每日收货出货登记!W293&gt;0,每日收货出货登记!V293,"")</f>
        <v/>
      </c>
      <c r="G293" s="10">
        <f>IF(每日收货出货登记!W293&gt;0,每日收货出货登记!W293,"")</f>
        <v/>
      </c>
      <c r="H293" s="10">
        <f>IF(每日收货出货登记!W293&gt;0,每日收货出货登记!R293,"")</f>
        <v/>
      </c>
      <c r="I293" s="9">
        <f>IF(每日收货出货登记!W293&gt;0,每日收货出货登记!S293,"")</f>
        <v/>
      </c>
      <c r="J293" s="9">
        <f>IF(每日收货出货登记!W293&gt;0,每日收货出货登记!AB293,"")</f>
        <v/>
      </c>
    </row>
    <row r="294" ht="22" customHeight="1">
      <c r="A294" s="9">
        <f>IF(每日收货出货登记!W294&gt;0,每日收货出货登记!A294,"")</f>
        <v/>
      </c>
      <c r="B294" s="10">
        <f>IF(每日收货出货登记!W294&gt;0,每日收货出货登记!D294,"")</f>
        <v/>
      </c>
      <c r="C294" s="10">
        <f>IF(每日收货出货登记!W294&gt;0,每日收货出货登记!G294,"")</f>
        <v/>
      </c>
      <c r="D294" s="10">
        <f>IF(每日收货出货登记!W294&gt;0,每日收货出货登记!E294,"")</f>
        <v/>
      </c>
      <c r="E294" s="10">
        <f>IF(每日收货出货登记!W294&gt;0,每日收货出货登记!Q294,"")</f>
        <v/>
      </c>
      <c r="F294" s="10">
        <f>IF(每日收货出货登记!W294&gt;0,每日收货出货登记!V294,"")</f>
        <v/>
      </c>
      <c r="G294" s="10">
        <f>IF(每日收货出货登记!W294&gt;0,每日收货出货登记!W294,"")</f>
        <v/>
      </c>
      <c r="H294" s="10">
        <f>IF(每日收货出货登记!W294&gt;0,每日收货出货登记!R294,"")</f>
        <v/>
      </c>
      <c r="I294" s="9">
        <f>IF(每日收货出货登记!W294&gt;0,每日收货出货登记!S294,"")</f>
        <v/>
      </c>
      <c r="J294" s="9">
        <f>IF(每日收货出货登记!W294&gt;0,每日收货出货登记!AB294,"")</f>
        <v/>
      </c>
    </row>
    <row r="295" ht="22" customHeight="1">
      <c r="A295" s="9">
        <f>IF(每日收货出货登记!W295&gt;0,每日收货出货登记!A295,"")</f>
        <v/>
      </c>
      <c r="B295" s="10">
        <f>IF(每日收货出货登记!W295&gt;0,每日收货出货登记!D295,"")</f>
        <v/>
      </c>
      <c r="C295" s="10">
        <f>IF(每日收货出货登记!W295&gt;0,每日收货出货登记!G295,"")</f>
        <v/>
      </c>
      <c r="D295" s="10">
        <f>IF(每日收货出货登记!W295&gt;0,每日收货出货登记!E295,"")</f>
        <v/>
      </c>
      <c r="E295" s="10">
        <f>IF(每日收货出货登记!W295&gt;0,每日收货出货登记!Q295,"")</f>
        <v/>
      </c>
      <c r="F295" s="10">
        <f>IF(每日收货出货登记!W295&gt;0,每日收货出货登记!V295,"")</f>
        <v/>
      </c>
      <c r="G295" s="10">
        <f>IF(每日收货出货登记!W295&gt;0,每日收货出货登记!W295,"")</f>
        <v/>
      </c>
      <c r="H295" s="10">
        <f>IF(每日收货出货登记!W295&gt;0,每日收货出货登记!R295,"")</f>
        <v/>
      </c>
      <c r="I295" s="9">
        <f>IF(每日收货出货登记!W295&gt;0,每日收货出货登记!S295,"")</f>
        <v/>
      </c>
      <c r="J295" s="9">
        <f>IF(每日收货出货登记!W295&gt;0,每日收货出货登记!AB295,"")</f>
        <v/>
      </c>
    </row>
    <row r="296" ht="22" customHeight="1">
      <c r="A296" s="9">
        <f>IF(每日收货出货登记!W296&gt;0,每日收货出货登记!A296,"")</f>
        <v/>
      </c>
      <c r="B296" s="10">
        <f>IF(每日收货出货登记!W296&gt;0,每日收货出货登记!D296,"")</f>
        <v/>
      </c>
      <c r="C296" s="10">
        <f>IF(每日收货出货登记!W296&gt;0,每日收货出货登记!G296,"")</f>
        <v/>
      </c>
      <c r="D296" s="10">
        <f>IF(每日收货出货登记!W296&gt;0,每日收货出货登记!E296,"")</f>
        <v/>
      </c>
      <c r="E296" s="10">
        <f>IF(每日收货出货登记!W296&gt;0,每日收货出货登记!Q296,"")</f>
        <v/>
      </c>
      <c r="F296" s="10">
        <f>IF(每日收货出货登记!W296&gt;0,每日收货出货登记!V296,"")</f>
        <v/>
      </c>
      <c r="G296" s="10">
        <f>IF(每日收货出货登记!W296&gt;0,每日收货出货登记!W296,"")</f>
        <v/>
      </c>
      <c r="H296" s="10">
        <f>IF(每日收货出货登记!W296&gt;0,每日收货出货登记!R296,"")</f>
        <v/>
      </c>
      <c r="I296" s="9">
        <f>IF(每日收货出货登记!W296&gt;0,每日收货出货登记!S296,"")</f>
        <v/>
      </c>
      <c r="J296" s="9">
        <f>IF(每日收货出货登记!W296&gt;0,每日收货出货登记!AB296,"")</f>
        <v/>
      </c>
    </row>
    <row r="297" ht="22" customHeight="1">
      <c r="A297" s="9">
        <f>IF(每日收货出货登记!W297&gt;0,每日收货出货登记!A297,"")</f>
        <v/>
      </c>
      <c r="B297" s="10">
        <f>IF(每日收货出货登记!W297&gt;0,每日收货出货登记!D297,"")</f>
        <v/>
      </c>
      <c r="C297" s="10">
        <f>IF(每日收货出货登记!W297&gt;0,每日收货出货登记!G297,"")</f>
        <v/>
      </c>
      <c r="D297" s="10">
        <f>IF(每日收货出货登记!W297&gt;0,每日收货出货登记!E297,"")</f>
        <v/>
      </c>
      <c r="E297" s="10">
        <f>IF(每日收货出货登记!W297&gt;0,每日收货出货登记!Q297,"")</f>
        <v/>
      </c>
      <c r="F297" s="10">
        <f>IF(每日收货出货登记!W297&gt;0,每日收货出货登记!V297,"")</f>
        <v/>
      </c>
      <c r="G297" s="10">
        <f>IF(每日收货出货登记!W297&gt;0,每日收货出货登记!W297,"")</f>
        <v/>
      </c>
      <c r="H297" s="10">
        <f>IF(每日收货出货登记!W297&gt;0,每日收货出货登记!R297,"")</f>
        <v/>
      </c>
      <c r="I297" s="9">
        <f>IF(每日收货出货登记!W297&gt;0,每日收货出货登记!S297,"")</f>
        <v/>
      </c>
      <c r="J297" s="9">
        <f>IF(每日收货出货登记!W297&gt;0,每日收货出货登记!AB297,"")</f>
        <v/>
      </c>
    </row>
    <row r="298" ht="22" customHeight="1">
      <c r="A298" s="9">
        <f>IF(每日收货出货登记!W298&gt;0,每日收货出货登记!A298,"")</f>
        <v/>
      </c>
      <c r="B298" s="10">
        <f>IF(每日收货出货登记!W298&gt;0,每日收货出货登记!D298,"")</f>
        <v/>
      </c>
      <c r="C298" s="10">
        <f>IF(每日收货出货登记!W298&gt;0,每日收货出货登记!G298,"")</f>
        <v/>
      </c>
      <c r="D298" s="10">
        <f>IF(每日收货出货登记!W298&gt;0,每日收货出货登记!E298,"")</f>
        <v/>
      </c>
      <c r="E298" s="10">
        <f>IF(每日收货出货登记!W298&gt;0,每日收货出货登记!Q298,"")</f>
        <v/>
      </c>
      <c r="F298" s="10">
        <f>IF(每日收货出货登记!W298&gt;0,每日收货出货登记!V298,"")</f>
        <v/>
      </c>
      <c r="G298" s="10">
        <f>IF(每日收货出货登记!W298&gt;0,每日收货出货登记!W298,"")</f>
        <v/>
      </c>
      <c r="H298" s="10">
        <f>IF(每日收货出货登记!W298&gt;0,每日收货出货登记!R298,"")</f>
        <v/>
      </c>
      <c r="I298" s="9">
        <f>IF(每日收货出货登记!W298&gt;0,每日收货出货登记!S298,"")</f>
        <v/>
      </c>
      <c r="J298" s="9">
        <f>IF(每日收货出货登记!W298&gt;0,每日收货出货登记!AB298,"")</f>
        <v/>
      </c>
    </row>
    <row r="299" ht="22" customHeight="1">
      <c r="A299" s="9">
        <f>IF(每日收货出货登记!W299&gt;0,每日收货出货登记!A299,"")</f>
        <v/>
      </c>
      <c r="B299" s="10">
        <f>IF(每日收货出货登记!W299&gt;0,每日收货出货登记!D299,"")</f>
        <v/>
      </c>
      <c r="C299" s="10">
        <f>IF(每日收货出货登记!W299&gt;0,每日收货出货登记!G299,"")</f>
        <v/>
      </c>
      <c r="D299" s="10">
        <f>IF(每日收货出货登记!W299&gt;0,每日收货出货登记!E299,"")</f>
        <v/>
      </c>
      <c r="E299" s="10">
        <f>IF(每日收货出货登记!W299&gt;0,每日收货出货登记!Q299,"")</f>
        <v/>
      </c>
      <c r="F299" s="10">
        <f>IF(每日收货出货登记!W299&gt;0,每日收货出货登记!V299,"")</f>
        <v/>
      </c>
      <c r="G299" s="10">
        <f>IF(每日收货出货登记!W299&gt;0,每日收货出货登记!W299,"")</f>
        <v/>
      </c>
      <c r="H299" s="10">
        <f>IF(每日收货出货登记!W299&gt;0,每日收货出货登记!R299,"")</f>
        <v/>
      </c>
      <c r="I299" s="9">
        <f>IF(每日收货出货登记!W299&gt;0,每日收货出货登记!S299,"")</f>
        <v/>
      </c>
      <c r="J299" s="9">
        <f>IF(每日收货出货登记!W299&gt;0,每日收货出货登记!AB299,"")</f>
        <v/>
      </c>
    </row>
    <row r="300" ht="22" customHeight="1">
      <c r="A300" s="9">
        <f>IF(每日收货出货登记!W300&gt;0,每日收货出货登记!A300,"")</f>
        <v/>
      </c>
      <c r="B300" s="10">
        <f>IF(每日收货出货登记!W300&gt;0,每日收货出货登记!D300,"")</f>
        <v/>
      </c>
      <c r="C300" s="10">
        <f>IF(每日收货出货登记!W300&gt;0,每日收货出货登记!G300,"")</f>
        <v/>
      </c>
      <c r="D300" s="10">
        <f>IF(每日收货出货登记!W300&gt;0,每日收货出货登记!E300,"")</f>
        <v/>
      </c>
      <c r="E300" s="10">
        <f>IF(每日收货出货登记!W300&gt;0,每日收货出货登记!Q300,"")</f>
        <v/>
      </c>
      <c r="F300" s="10">
        <f>IF(每日收货出货登记!W300&gt;0,每日收货出货登记!V300,"")</f>
        <v/>
      </c>
      <c r="G300" s="10">
        <f>IF(每日收货出货登记!W300&gt;0,每日收货出货登记!W300,"")</f>
        <v/>
      </c>
      <c r="H300" s="10">
        <f>IF(每日收货出货登记!W300&gt;0,每日收货出货登记!R300,"")</f>
        <v/>
      </c>
      <c r="I300" s="9">
        <f>IF(每日收货出货登记!W300&gt;0,每日收货出货登记!S300,"")</f>
        <v/>
      </c>
      <c r="J300" s="9">
        <f>IF(每日收货出货登记!W300&gt;0,每日收货出货登记!AB300,"")</f>
        <v/>
      </c>
    </row>
    <row r="301" ht="22" customHeight="1">
      <c r="A301" s="9">
        <f>IF(每日收货出货登记!W301&gt;0,每日收货出货登记!A301,"")</f>
        <v/>
      </c>
      <c r="B301" s="10">
        <f>IF(每日收货出货登记!W301&gt;0,每日收货出货登记!D301,"")</f>
        <v/>
      </c>
      <c r="C301" s="10">
        <f>IF(每日收货出货登记!W301&gt;0,每日收货出货登记!G301,"")</f>
        <v/>
      </c>
      <c r="D301" s="10">
        <f>IF(每日收货出货登记!W301&gt;0,每日收货出货登记!E301,"")</f>
        <v/>
      </c>
      <c r="E301" s="10">
        <f>IF(每日收货出货登记!W301&gt;0,每日收货出货登记!Q301,"")</f>
        <v/>
      </c>
      <c r="F301" s="10">
        <f>IF(每日收货出货登记!W301&gt;0,每日收货出货登记!V301,"")</f>
        <v/>
      </c>
      <c r="G301" s="10">
        <f>IF(每日收货出货登记!W301&gt;0,每日收货出货登记!W301,"")</f>
        <v/>
      </c>
      <c r="H301" s="10">
        <f>IF(每日收货出货登记!W301&gt;0,每日收货出货登记!R301,"")</f>
        <v/>
      </c>
      <c r="I301" s="9">
        <f>IF(每日收货出货登记!W301&gt;0,每日收货出货登记!S301,"")</f>
        <v/>
      </c>
      <c r="J301" s="9">
        <f>IF(每日收货出货登记!W301&gt;0,每日收货出货登记!AB301,"")</f>
        <v/>
      </c>
    </row>
    <row r="302" ht="22" customHeight="1">
      <c r="A302" s="9">
        <f>IF(每日收货出货登记!W302&gt;0,每日收货出货登记!A302,"")</f>
        <v/>
      </c>
      <c r="B302" s="10">
        <f>IF(每日收货出货登记!W302&gt;0,每日收货出货登记!D302,"")</f>
        <v/>
      </c>
      <c r="C302" s="10">
        <f>IF(每日收货出货登记!W302&gt;0,每日收货出货登记!G302,"")</f>
        <v/>
      </c>
      <c r="D302" s="10">
        <f>IF(每日收货出货登记!W302&gt;0,每日收货出货登记!E302,"")</f>
        <v/>
      </c>
      <c r="E302" s="10">
        <f>IF(每日收货出货登记!W302&gt;0,每日收货出货登记!Q302,"")</f>
        <v/>
      </c>
      <c r="F302" s="10">
        <f>IF(每日收货出货登记!W302&gt;0,每日收货出货登记!V302,"")</f>
        <v/>
      </c>
      <c r="G302" s="10">
        <f>IF(每日收货出货登记!W302&gt;0,每日收货出货登记!W302,"")</f>
        <v/>
      </c>
      <c r="H302" s="10">
        <f>IF(每日收货出货登记!W302&gt;0,每日收货出货登记!R302,"")</f>
        <v/>
      </c>
      <c r="I302" s="9">
        <f>IF(每日收货出货登记!W302&gt;0,每日收货出货登记!S302,"")</f>
        <v/>
      </c>
      <c r="J302" s="9">
        <f>IF(每日收货出货登记!W302&gt;0,每日收货出货登记!AB302,"")</f>
        <v/>
      </c>
    </row>
    <row r="303" ht="22" customHeight="1">
      <c r="A303" s="9">
        <f>IF(每日收货出货登记!W303&gt;0,每日收货出货登记!A303,"")</f>
        <v/>
      </c>
      <c r="B303" s="10">
        <f>IF(每日收货出货登记!W303&gt;0,每日收货出货登记!D303,"")</f>
        <v/>
      </c>
      <c r="C303" s="10">
        <f>IF(每日收货出货登记!W303&gt;0,每日收货出货登记!G303,"")</f>
        <v/>
      </c>
      <c r="D303" s="10">
        <f>IF(每日收货出货登记!W303&gt;0,每日收货出货登记!E303,"")</f>
        <v/>
      </c>
      <c r="E303" s="10">
        <f>IF(每日收货出货登记!W303&gt;0,每日收货出货登记!Q303,"")</f>
        <v/>
      </c>
      <c r="F303" s="10">
        <f>IF(每日收货出货登记!W303&gt;0,每日收货出货登记!V303,"")</f>
        <v/>
      </c>
      <c r="G303" s="10">
        <f>IF(每日收货出货登记!W303&gt;0,每日收货出货登记!W303,"")</f>
        <v/>
      </c>
      <c r="H303" s="10">
        <f>IF(每日收货出货登记!W303&gt;0,每日收货出货登记!R303,"")</f>
        <v/>
      </c>
      <c r="I303" s="9">
        <f>IF(每日收货出货登记!W303&gt;0,每日收货出货登记!S303,"")</f>
        <v/>
      </c>
      <c r="J303" s="9">
        <f>IF(每日收货出货登记!W303&gt;0,每日收货出货登记!AB303,"")</f>
        <v/>
      </c>
    </row>
    <row r="304" ht="22" customHeight="1">
      <c r="A304" s="9">
        <f>IF(每日收货出货登记!W304&gt;0,每日收货出货登记!A304,"")</f>
        <v/>
      </c>
      <c r="B304" s="10">
        <f>IF(每日收货出货登记!W304&gt;0,每日收货出货登记!D304,"")</f>
        <v/>
      </c>
      <c r="C304" s="10">
        <f>IF(每日收货出货登记!W304&gt;0,每日收货出货登记!G304,"")</f>
        <v/>
      </c>
      <c r="D304" s="10">
        <f>IF(每日收货出货登记!W304&gt;0,每日收货出货登记!E304,"")</f>
        <v/>
      </c>
      <c r="E304" s="10">
        <f>IF(每日收货出货登记!W304&gt;0,每日收货出货登记!Q304,"")</f>
        <v/>
      </c>
      <c r="F304" s="10">
        <f>IF(每日收货出货登记!W304&gt;0,每日收货出货登记!V304,"")</f>
        <v/>
      </c>
      <c r="G304" s="10">
        <f>IF(每日收货出货登记!W304&gt;0,每日收货出货登记!W304,"")</f>
        <v/>
      </c>
      <c r="H304" s="10">
        <f>IF(每日收货出货登记!W304&gt;0,每日收货出货登记!R304,"")</f>
        <v/>
      </c>
      <c r="I304" s="9">
        <f>IF(每日收货出货登记!W304&gt;0,每日收货出货登记!S304,"")</f>
        <v/>
      </c>
      <c r="J304" s="9">
        <f>IF(每日收货出货登记!W304&gt;0,每日收货出货登记!AB304,"")</f>
        <v/>
      </c>
    </row>
    <row r="305" ht="22" customHeight="1">
      <c r="A305" s="9">
        <f>IF(每日收货出货登记!W305&gt;0,每日收货出货登记!A305,"")</f>
        <v/>
      </c>
      <c r="B305" s="10">
        <f>IF(每日收货出货登记!W305&gt;0,每日收货出货登记!D305,"")</f>
        <v/>
      </c>
      <c r="C305" s="10">
        <f>IF(每日收货出货登记!W305&gt;0,每日收货出货登记!G305,"")</f>
        <v/>
      </c>
      <c r="D305" s="10">
        <f>IF(每日收货出货登记!W305&gt;0,每日收货出货登记!E305,"")</f>
        <v/>
      </c>
      <c r="E305" s="10">
        <f>IF(每日收货出货登记!W305&gt;0,每日收货出货登记!Q305,"")</f>
        <v/>
      </c>
      <c r="F305" s="10">
        <f>IF(每日收货出货登记!W305&gt;0,每日收货出货登记!V305,"")</f>
        <v/>
      </c>
      <c r="G305" s="10">
        <f>IF(每日收货出货登记!W305&gt;0,每日收货出货登记!W305,"")</f>
        <v/>
      </c>
      <c r="H305" s="10">
        <f>IF(每日收货出货登记!W305&gt;0,每日收货出货登记!R305,"")</f>
        <v/>
      </c>
      <c r="I305" s="9">
        <f>IF(每日收货出货登记!W305&gt;0,每日收货出货登记!S305,"")</f>
        <v/>
      </c>
      <c r="J305" s="9">
        <f>IF(每日收货出货登记!W305&gt;0,每日收货出货登记!AB305,"")</f>
        <v/>
      </c>
    </row>
    <row r="306" ht="22" customHeight="1">
      <c r="A306" s="9">
        <f>IF(每日收货出货登记!W306&gt;0,每日收货出货登记!A306,"")</f>
        <v/>
      </c>
      <c r="B306" s="10">
        <f>IF(每日收货出货登记!W306&gt;0,每日收货出货登记!D306,"")</f>
        <v/>
      </c>
      <c r="C306" s="10">
        <f>IF(每日收货出货登记!W306&gt;0,每日收货出货登记!G306,"")</f>
        <v/>
      </c>
      <c r="D306" s="10">
        <f>IF(每日收货出货登记!W306&gt;0,每日收货出货登记!E306,"")</f>
        <v/>
      </c>
      <c r="E306" s="10">
        <f>IF(每日收货出货登记!W306&gt;0,每日收货出货登记!Q306,"")</f>
        <v/>
      </c>
      <c r="F306" s="10">
        <f>IF(每日收货出货登记!W306&gt;0,每日收货出货登记!V306,"")</f>
        <v/>
      </c>
      <c r="G306" s="10">
        <f>IF(每日收货出货登记!W306&gt;0,每日收货出货登记!W306,"")</f>
        <v/>
      </c>
      <c r="H306" s="10">
        <f>IF(每日收货出货登记!W306&gt;0,每日收货出货登记!R306,"")</f>
        <v/>
      </c>
      <c r="I306" s="9">
        <f>IF(每日收货出货登记!W306&gt;0,每日收货出货登记!S306,"")</f>
        <v/>
      </c>
      <c r="J306" s="9">
        <f>IF(每日收货出货登记!W306&gt;0,每日收货出货登记!AB306,"")</f>
        <v/>
      </c>
    </row>
    <row r="307" ht="22" customHeight="1">
      <c r="A307" s="9">
        <f>IF(每日收货出货登记!W307&gt;0,每日收货出货登记!A307,"")</f>
        <v/>
      </c>
      <c r="B307" s="10">
        <f>IF(每日收货出货登记!W307&gt;0,每日收货出货登记!D307,"")</f>
        <v/>
      </c>
      <c r="C307" s="10">
        <f>IF(每日收货出货登记!W307&gt;0,每日收货出货登记!G307,"")</f>
        <v/>
      </c>
      <c r="D307" s="10">
        <f>IF(每日收货出货登记!W307&gt;0,每日收货出货登记!E307,"")</f>
        <v/>
      </c>
      <c r="E307" s="10">
        <f>IF(每日收货出货登记!W307&gt;0,每日收货出货登记!Q307,"")</f>
        <v/>
      </c>
      <c r="F307" s="10">
        <f>IF(每日收货出货登记!W307&gt;0,每日收货出货登记!V307,"")</f>
        <v/>
      </c>
      <c r="G307" s="10">
        <f>IF(每日收货出货登记!W307&gt;0,每日收货出货登记!W307,"")</f>
        <v/>
      </c>
      <c r="H307" s="10">
        <f>IF(每日收货出货登记!W307&gt;0,每日收货出货登记!R307,"")</f>
        <v/>
      </c>
      <c r="I307" s="9">
        <f>IF(每日收货出货登记!W307&gt;0,每日收货出货登记!S307,"")</f>
        <v/>
      </c>
      <c r="J307" s="9">
        <f>IF(每日收货出货登记!W307&gt;0,每日收货出货登记!AB307,"")</f>
        <v/>
      </c>
    </row>
    <row r="308" ht="22" customHeight="1">
      <c r="A308" s="9">
        <f>IF(每日收货出货登记!W308&gt;0,每日收货出货登记!A308,"")</f>
        <v/>
      </c>
      <c r="B308" s="10">
        <f>IF(每日收货出货登记!W308&gt;0,每日收货出货登记!D308,"")</f>
        <v/>
      </c>
      <c r="C308" s="10">
        <f>IF(每日收货出货登记!W308&gt;0,每日收货出货登记!G308,"")</f>
        <v/>
      </c>
      <c r="D308" s="10">
        <f>IF(每日收货出货登记!W308&gt;0,每日收货出货登记!E308,"")</f>
        <v/>
      </c>
      <c r="E308" s="10">
        <f>IF(每日收货出货登记!W308&gt;0,每日收货出货登记!Q308,"")</f>
        <v/>
      </c>
      <c r="F308" s="10">
        <f>IF(每日收货出货登记!W308&gt;0,每日收货出货登记!V308,"")</f>
        <v/>
      </c>
      <c r="G308" s="10">
        <f>IF(每日收货出货登记!W308&gt;0,每日收货出货登记!W308,"")</f>
        <v/>
      </c>
      <c r="H308" s="10">
        <f>IF(每日收货出货登记!W308&gt;0,每日收货出货登记!R308,"")</f>
        <v/>
      </c>
      <c r="I308" s="9">
        <f>IF(每日收货出货登记!W308&gt;0,每日收货出货登记!S308,"")</f>
        <v/>
      </c>
      <c r="J308" s="9">
        <f>IF(每日收货出货登记!W308&gt;0,每日收货出货登记!AB308,"")</f>
        <v/>
      </c>
    </row>
    <row r="309" ht="22" customHeight="1">
      <c r="A309" s="9">
        <f>IF(每日收货出货登记!W309&gt;0,每日收货出货登记!A309,"")</f>
        <v/>
      </c>
      <c r="B309" s="10">
        <f>IF(每日收货出货登记!W309&gt;0,每日收货出货登记!D309,"")</f>
        <v/>
      </c>
      <c r="C309" s="10">
        <f>IF(每日收货出货登记!W309&gt;0,每日收货出货登记!G309,"")</f>
        <v/>
      </c>
      <c r="D309" s="10">
        <f>IF(每日收货出货登记!W309&gt;0,每日收货出货登记!E309,"")</f>
        <v/>
      </c>
      <c r="E309" s="10">
        <f>IF(每日收货出货登记!W309&gt;0,每日收货出货登记!Q309,"")</f>
        <v/>
      </c>
      <c r="F309" s="10">
        <f>IF(每日收货出货登记!W309&gt;0,每日收货出货登记!V309,"")</f>
        <v/>
      </c>
      <c r="G309" s="10">
        <f>IF(每日收货出货登记!W309&gt;0,每日收货出货登记!W309,"")</f>
        <v/>
      </c>
      <c r="H309" s="10">
        <f>IF(每日收货出货登记!W309&gt;0,每日收货出货登记!R309,"")</f>
        <v/>
      </c>
      <c r="I309" s="9">
        <f>IF(每日收货出货登记!W309&gt;0,每日收货出货登记!S309,"")</f>
        <v/>
      </c>
      <c r="J309" s="9">
        <f>IF(每日收货出货登记!W309&gt;0,每日收货出货登记!AB309,"")</f>
        <v/>
      </c>
    </row>
    <row r="310" ht="22" customHeight="1">
      <c r="A310" s="9">
        <f>IF(每日收货出货登记!W310&gt;0,每日收货出货登记!A310,"")</f>
        <v/>
      </c>
      <c r="B310" s="10">
        <f>IF(每日收货出货登记!W310&gt;0,每日收货出货登记!D310,"")</f>
        <v/>
      </c>
      <c r="C310" s="10">
        <f>IF(每日收货出货登记!W310&gt;0,每日收货出货登记!G310,"")</f>
        <v/>
      </c>
      <c r="D310" s="10">
        <f>IF(每日收货出货登记!W310&gt;0,每日收货出货登记!E310,"")</f>
        <v/>
      </c>
      <c r="E310" s="10">
        <f>IF(每日收货出货登记!W310&gt;0,每日收货出货登记!Q310,"")</f>
        <v/>
      </c>
      <c r="F310" s="10">
        <f>IF(每日收货出货登记!W310&gt;0,每日收货出货登记!V310,"")</f>
        <v/>
      </c>
      <c r="G310" s="10">
        <f>IF(每日收货出货登记!W310&gt;0,每日收货出货登记!W310,"")</f>
        <v/>
      </c>
      <c r="H310" s="10">
        <f>IF(每日收货出货登记!W310&gt;0,每日收货出货登记!R310,"")</f>
        <v/>
      </c>
      <c r="I310" s="9">
        <f>IF(每日收货出货登记!W310&gt;0,每日收货出货登记!S310,"")</f>
        <v/>
      </c>
      <c r="J310" s="9">
        <f>IF(每日收货出货登记!W310&gt;0,每日收货出货登记!AB310,"")</f>
        <v/>
      </c>
    </row>
    <row r="311" ht="22" customHeight="1">
      <c r="A311" s="9">
        <f>IF(每日收货出货登记!W311&gt;0,每日收货出货登记!A311,"")</f>
        <v/>
      </c>
      <c r="B311" s="10">
        <f>IF(每日收货出货登记!W311&gt;0,每日收货出货登记!D311,"")</f>
        <v/>
      </c>
      <c r="C311" s="10">
        <f>IF(每日收货出货登记!W311&gt;0,每日收货出货登记!G311,"")</f>
        <v/>
      </c>
      <c r="D311" s="10">
        <f>IF(每日收货出货登记!W311&gt;0,每日收货出货登记!E311,"")</f>
        <v/>
      </c>
      <c r="E311" s="10">
        <f>IF(每日收货出货登记!W311&gt;0,每日收货出货登记!Q311,"")</f>
        <v/>
      </c>
      <c r="F311" s="10">
        <f>IF(每日收货出货登记!W311&gt;0,每日收货出货登记!V311,"")</f>
        <v/>
      </c>
      <c r="G311" s="10">
        <f>IF(每日收货出货登记!W311&gt;0,每日收货出货登记!W311,"")</f>
        <v/>
      </c>
      <c r="H311" s="10">
        <f>IF(每日收货出货登记!W311&gt;0,每日收货出货登记!R311,"")</f>
        <v/>
      </c>
      <c r="I311" s="9">
        <f>IF(每日收货出货登记!W311&gt;0,每日收货出货登记!S311,"")</f>
        <v/>
      </c>
      <c r="J311" s="9">
        <f>IF(每日收货出货登记!W311&gt;0,每日收货出货登记!AB311,"")</f>
        <v/>
      </c>
    </row>
    <row r="312" ht="22" customHeight="1">
      <c r="A312" s="9">
        <f>IF(每日收货出货登记!W312&gt;0,每日收货出货登记!A312,"")</f>
        <v/>
      </c>
      <c r="B312" s="10">
        <f>IF(每日收货出货登记!W312&gt;0,每日收货出货登记!D312,"")</f>
        <v/>
      </c>
      <c r="C312" s="10">
        <f>IF(每日收货出货登记!W312&gt;0,每日收货出货登记!G312,"")</f>
        <v/>
      </c>
      <c r="D312" s="10">
        <f>IF(每日收货出货登记!W312&gt;0,每日收货出货登记!E312,"")</f>
        <v/>
      </c>
      <c r="E312" s="10">
        <f>IF(每日收货出货登记!W312&gt;0,每日收货出货登记!Q312,"")</f>
        <v/>
      </c>
      <c r="F312" s="10">
        <f>IF(每日收货出货登记!W312&gt;0,每日收货出货登记!V312,"")</f>
        <v/>
      </c>
      <c r="G312" s="10">
        <f>IF(每日收货出货登记!W312&gt;0,每日收货出货登记!W312,"")</f>
        <v/>
      </c>
      <c r="H312" s="10">
        <f>IF(每日收货出货登记!W312&gt;0,每日收货出货登记!R312,"")</f>
        <v/>
      </c>
      <c r="I312" s="9">
        <f>IF(每日收货出货登记!W312&gt;0,每日收货出货登记!S312,"")</f>
        <v/>
      </c>
      <c r="J312" s="9">
        <f>IF(每日收货出货登记!W312&gt;0,每日收货出货登记!AB312,"")</f>
        <v/>
      </c>
    </row>
    <row r="313" ht="22" customHeight="1">
      <c r="A313" s="9">
        <f>IF(每日收货出货登记!W313&gt;0,每日收货出货登记!A313,"")</f>
        <v/>
      </c>
      <c r="B313" s="10">
        <f>IF(每日收货出货登记!W313&gt;0,每日收货出货登记!D313,"")</f>
        <v/>
      </c>
      <c r="C313" s="10">
        <f>IF(每日收货出货登记!W313&gt;0,每日收货出货登记!G313,"")</f>
        <v/>
      </c>
      <c r="D313" s="10">
        <f>IF(每日收货出货登记!W313&gt;0,每日收货出货登记!E313,"")</f>
        <v/>
      </c>
      <c r="E313" s="10">
        <f>IF(每日收货出货登记!W313&gt;0,每日收货出货登记!Q313,"")</f>
        <v/>
      </c>
      <c r="F313" s="10">
        <f>IF(每日收货出货登记!W313&gt;0,每日收货出货登记!V313,"")</f>
        <v/>
      </c>
      <c r="G313" s="10">
        <f>IF(每日收货出货登记!W313&gt;0,每日收货出货登记!W313,"")</f>
        <v/>
      </c>
      <c r="H313" s="10">
        <f>IF(每日收货出货登记!W313&gt;0,每日收货出货登记!R313,"")</f>
        <v/>
      </c>
      <c r="I313" s="9">
        <f>IF(每日收货出货登记!W313&gt;0,每日收货出货登记!S313,"")</f>
        <v/>
      </c>
      <c r="J313" s="9">
        <f>IF(每日收货出货登记!W313&gt;0,每日收货出货登记!AB313,"")</f>
        <v/>
      </c>
    </row>
    <row r="314" ht="22" customHeight="1">
      <c r="A314" s="9">
        <f>IF(每日收货出货登记!W314&gt;0,每日收货出货登记!A314,"")</f>
        <v/>
      </c>
      <c r="B314" s="10">
        <f>IF(每日收货出货登记!W314&gt;0,每日收货出货登记!D314,"")</f>
        <v/>
      </c>
      <c r="C314" s="10">
        <f>IF(每日收货出货登记!W314&gt;0,每日收货出货登记!G314,"")</f>
        <v/>
      </c>
      <c r="D314" s="10">
        <f>IF(每日收货出货登记!W314&gt;0,每日收货出货登记!E314,"")</f>
        <v/>
      </c>
      <c r="E314" s="10">
        <f>IF(每日收货出货登记!W314&gt;0,每日收货出货登记!Q314,"")</f>
        <v/>
      </c>
      <c r="F314" s="10">
        <f>IF(每日收货出货登记!W314&gt;0,每日收货出货登记!V314,"")</f>
        <v/>
      </c>
      <c r="G314" s="10">
        <f>IF(每日收货出货登记!W314&gt;0,每日收货出货登记!W314,"")</f>
        <v/>
      </c>
      <c r="H314" s="10">
        <f>IF(每日收货出货登记!W314&gt;0,每日收货出货登记!R314,"")</f>
        <v/>
      </c>
      <c r="I314" s="9">
        <f>IF(每日收货出货登记!W314&gt;0,每日收货出货登记!S314,"")</f>
        <v/>
      </c>
      <c r="J314" s="9">
        <f>IF(每日收货出货登记!W314&gt;0,每日收货出货登记!AB314,"")</f>
        <v/>
      </c>
    </row>
    <row r="315" ht="22" customHeight="1">
      <c r="A315" s="9">
        <f>IF(每日收货出货登记!W315&gt;0,每日收货出货登记!A315,"")</f>
        <v/>
      </c>
      <c r="B315" s="10">
        <f>IF(每日收货出货登记!W315&gt;0,每日收货出货登记!D315,"")</f>
        <v/>
      </c>
      <c r="C315" s="10">
        <f>IF(每日收货出货登记!W315&gt;0,每日收货出货登记!G315,"")</f>
        <v/>
      </c>
      <c r="D315" s="10">
        <f>IF(每日收货出货登记!W315&gt;0,每日收货出货登记!E315,"")</f>
        <v/>
      </c>
      <c r="E315" s="10">
        <f>IF(每日收货出货登记!W315&gt;0,每日收货出货登记!Q315,"")</f>
        <v/>
      </c>
      <c r="F315" s="10">
        <f>IF(每日收货出货登记!W315&gt;0,每日收货出货登记!V315,"")</f>
        <v/>
      </c>
      <c r="G315" s="10">
        <f>IF(每日收货出货登记!W315&gt;0,每日收货出货登记!W315,"")</f>
        <v/>
      </c>
      <c r="H315" s="10">
        <f>IF(每日收货出货登记!W315&gt;0,每日收货出货登记!R315,"")</f>
        <v/>
      </c>
      <c r="I315" s="9">
        <f>IF(每日收货出货登记!W315&gt;0,每日收货出货登记!S315,"")</f>
        <v/>
      </c>
      <c r="J315" s="9">
        <f>IF(每日收货出货登记!W315&gt;0,每日收货出货登记!AB315,"")</f>
        <v/>
      </c>
    </row>
    <row r="316" ht="22" customHeight="1">
      <c r="A316" s="9">
        <f>IF(每日收货出货登记!W316&gt;0,每日收货出货登记!A316,"")</f>
        <v/>
      </c>
      <c r="B316" s="10">
        <f>IF(每日收货出货登记!W316&gt;0,每日收货出货登记!D316,"")</f>
        <v/>
      </c>
      <c r="C316" s="10">
        <f>IF(每日收货出货登记!W316&gt;0,每日收货出货登记!G316,"")</f>
        <v/>
      </c>
      <c r="D316" s="10">
        <f>IF(每日收货出货登记!W316&gt;0,每日收货出货登记!E316,"")</f>
        <v/>
      </c>
      <c r="E316" s="10">
        <f>IF(每日收货出货登记!W316&gt;0,每日收货出货登记!Q316,"")</f>
        <v/>
      </c>
      <c r="F316" s="10">
        <f>IF(每日收货出货登记!W316&gt;0,每日收货出货登记!V316,"")</f>
        <v/>
      </c>
      <c r="G316" s="10">
        <f>IF(每日收货出货登记!W316&gt;0,每日收货出货登记!W316,"")</f>
        <v/>
      </c>
      <c r="H316" s="10">
        <f>IF(每日收货出货登记!W316&gt;0,每日收货出货登记!R316,"")</f>
        <v/>
      </c>
      <c r="I316" s="9">
        <f>IF(每日收货出货登记!W316&gt;0,每日收货出货登记!S316,"")</f>
        <v/>
      </c>
      <c r="J316" s="9">
        <f>IF(每日收货出货登记!W316&gt;0,每日收货出货登记!AB316,"")</f>
        <v/>
      </c>
    </row>
    <row r="317" ht="22" customHeight="1">
      <c r="A317" s="9">
        <f>IF(每日收货出货登记!W317&gt;0,每日收货出货登记!A317,"")</f>
        <v/>
      </c>
      <c r="B317" s="10">
        <f>IF(每日收货出货登记!W317&gt;0,每日收货出货登记!D317,"")</f>
        <v/>
      </c>
      <c r="C317" s="10">
        <f>IF(每日收货出货登记!W317&gt;0,每日收货出货登记!G317,"")</f>
        <v/>
      </c>
      <c r="D317" s="10">
        <f>IF(每日收货出货登记!W317&gt;0,每日收货出货登记!E317,"")</f>
        <v/>
      </c>
      <c r="E317" s="10">
        <f>IF(每日收货出货登记!W317&gt;0,每日收货出货登记!Q317,"")</f>
        <v/>
      </c>
      <c r="F317" s="10">
        <f>IF(每日收货出货登记!W317&gt;0,每日收货出货登记!V317,"")</f>
        <v/>
      </c>
      <c r="G317" s="10">
        <f>IF(每日收货出货登记!W317&gt;0,每日收货出货登记!W317,"")</f>
        <v/>
      </c>
      <c r="H317" s="10">
        <f>IF(每日收货出货登记!W317&gt;0,每日收货出货登记!R317,"")</f>
        <v/>
      </c>
      <c r="I317" s="9">
        <f>IF(每日收货出货登记!W317&gt;0,每日收货出货登记!S317,"")</f>
        <v/>
      </c>
      <c r="J317" s="9">
        <f>IF(每日收货出货登记!W317&gt;0,每日收货出货登记!AB317,"")</f>
        <v/>
      </c>
    </row>
    <row r="318" ht="22" customHeight="1">
      <c r="A318" s="9">
        <f>IF(每日收货出货登记!W318&gt;0,每日收货出货登记!A318,"")</f>
        <v/>
      </c>
      <c r="B318" s="10">
        <f>IF(每日收货出货登记!W318&gt;0,每日收货出货登记!D318,"")</f>
        <v/>
      </c>
      <c r="C318" s="10">
        <f>IF(每日收货出货登记!W318&gt;0,每日收货出货登记!G318,"")</f>
        <v/>
      </c>
      <c r="D318" s="10">
        <f>IF(每日收货出货登记!W318&gt;0,每日收货出货登记!E318,"")</f>
        <v/>
      </c>
      <c r="E318" s="10">
        <f>IF(每日收货出货登记!W318&gt;0,每日收货出货登记!Q318,"")</f>
        <v/>
      </c>
      <c r="F318" s="10">
        <f>IF(每日收货出货登记!W318&gt;0,每日收货出货登记!V318,"")</f>
        <v/>
      </c>
      <c r="G318" s="10">
        <f>IF(每日收货出货登记!W318&gt;0,每日收货出货登记!W318,"")</f>
        <v/>
      </c>
      <c r="H318" s="10">
        <f>IF(每日收货出货登记!W318&gt;0,每日收货出货登记!R318,"")</f>
        <v/>
      </c>
      <c r="I318" s="9">
        <f>IF(每日收货出货登记!W318&gt;0,每日收货出货登记!S318,"")</f>
        <v/>
      </c>
      <c r="J318" s="9">
        <f>IF(每日收货出货登记!W318&gt;0,每日收货出货登记!AB318,"")</f>
        <v/>
      </c>
    </row>
    <row r="319" ht="22" customHeight="1">
      <c r="A319" s="9">
        <f>IF(每日收货出货登记!W319&gt;0,每日收货出货登记!A319,"")</f>
        <v/>
      </c>
      <c r="B319" s="10">
        <f>IF(每日收货出货登记!W319&gt;0,每日收货出货登记!D319,"")</f>
        <v/>
      </c>
      <c r="C319" s="10">
        <f>IF(每日收货出货登记!W319&gt;0,每日收货出货登记!G319,"")</f>
        <v/>
      </c>
      <c r="D319" s="10">
        <f>IF(每日收货出货登记!W319&gt;0,每日收货出货登记!E319,"")</f>
        <v/>
      </c>
      <c r="E319" s="10">
        <f>IF(每日收货出货登记!W319&gt;0,每日收货出货登记!Q319,"")</f>
        <v/>
      </c>
      <c r="F319" s="10">
        <f>IF(每日收货出货登记!W319&gt;0,每日收货出货登记!V319,"")</f>
        <v/>
      </c>
      <c r="G319" s="10">
        <f>IF(每日收货出货登记!W319&gt;0,每日收货出货登记!W319,"")</f>
        <v/>
      </c>
      <c r="H319" s="10">
        <f>IF(每日收货出货登记!W319&gt;0,每日收货出货登记!R319,"")</f>
        <v/>
      </c>
      <c r="I319" s="9">
        <f>IF(每日收货出货登记!W319&gt;0,每日收货出货登记!S319,"")</f>
        <v/>
      </c>
      <c r="J319" s="9">
        <f>IF(每日收货出货登记!W319&gt;0,每日收货出货登记!AB319,"")</f>
        <v/>
      </c>
    </row>
    <row r="320" ht="22" customHeight="1">
      <c r="A320" s="9">
        <f>IF(每日收货出货登记!W320&gt;0,每日收货出货登记!A320,"")</f>
        <v/>
      </c>
      <c r="B320" s="10">
        <f>IF(每日收货出货登记!W320&gt;0,每日收货出货登记!D320,"")</f>
        <v/>
      </c>
      <c r="C320" s="10">
        <f>IF(每日收货出货登记!W320&gt;0,每日收货出货登记!G320,"")</f>
        <v/>
      </c>
      <c r="D320" s="10">
        <f>IF(每日收货出货登记!W320&gt;0,每日收货出货登记!E320,"")</f>
        <v/>
      </c>
      <c r="E320" s="10">
        <f>IF(每日收货出货登记!W320&gt;0,每日收货出货登记!Q320,"")</f>
        <v/>
      </c>
      <c r="F320" s="10">
        <f>IF(每日收货出货登记!W320&gt;0,每日收货出货登记!V320,"")</f>
        <v/>
      </c>
      <c r="G320" s="10">
        <f>IF(每日收货出货登记!W320&gt;0,每日收货出货登记!W320,"")</f>
        <v/>
      </c>
      <c r="H320" s="10">
        <f>IF(每日收货出货登记!W320&gt;0,每日收货出货登记!R320,"")</f>
        <v/>
      </c>
      <c r="I320" s="9">
        <f>IF(每日收货出货登记!W320&gt;0,每日收货出货登记!S320,"")</f>
        <v/>
      </c>
      <c r="J320" s="9">
        <f>IF(每日收货出货登记!W320&gt;0,每日收货出货登记!AB320,"")</f>
        <v/>
      </c>
    </row>
    <row r="321" ht="22" customHeight="1">
      <c r="A321" s="9">
        <f>IF(每日收货出货登记!W321&gt;0,每日收货出货登记!A321,"")</f>
        <v/>
      </c>
      <c r="B321" s="10">
        <f>IF(每日收货出货登记!W321&gt;0,每日收货出货登记!D321,"")</f>
        <v/>
      </c>
      <c r="C321" s="10">
        <f>IF(每日收货出货登记!W321&gt;0,每日收货出货登记!G321,"")</f>
        <v/>
      </c>
      <c r="D321" s="10">
        <f>IF(每日收货出货登记!W321&gt;0,每日收货出货登记!E321,"")</f>
        <v/>
      </c>
      <c r="E321" s="10">
        <f>IF(每日收货出货登记!W321&gt;0,每日收货出货登记!Q321,"")</f>
        <v/>
      </c>
      <c r="F321" s="10">
        <f>IF(每日收货出货登记!W321&gt;0,每日收货出货登记!V321,"")</f>
        <v/>
      </c>
      <c r="G321" s="10">
        <f>IF(每日收货出货登记!W321&gt;0,每日收货出货登记!W321,"")</f>
        <v/>
      </c>
      <c r="H321" s="10">
        <f>IF(每日收货出货登记!W321&gt;0,每日收货出货登记!R321,"")</f>
        <v/>
      </c>
      <c r="I321" s="9">
        <f>IF(每日收货出货登记!W321&gt;0,每日收货出货登记!S321,"")</f>
        <v/>
      </c>
      <c r="J321" s="9">
        <f>IF(每日收货出货登记!W321&gt;0,每日收货出货登记!AB321,"")</f>
        <v/>
      </c>
    </row>
    <row r="322" ht="22" customHeight="1">
      <c r="A322" s="9">
        <f>IF(每日收货出货登记!W322&gt;0,每日收货出货登记!A322,"")</f>
        <v/>
      </c>
      <c r="B322" s="10">
        <f>IF(每日收货出货登记!W322&gt;0,每日收货出货登记!D322,"")</f>
        <v/>
      </c>
      <c r="C322" s="10">
        <f>IF(每日收货出货登记!W322&gt;0,每日收货出货登记!G322,"")</f>
        <v/>
      </c>
      <c r="D322" s="10">
        <f>IF(每日收货出货登记!W322&gt;0,每日收货出货登记!E322,"")</f>
        <v/>
      </c>
      <c r="E322" s="10">
        <f>IF(每日收货出货登记!W322&gt;0,每日收货出货登记!Q322,"")</f>
        <v/>
      </c>
      <c r="F322" s="10">
        <f>IF(每日收货出货登记!W322&gt;0,每日收货出货登记!V322,"")</f>
        <v/>
      </c>
      <c r="G322" s="10">
        <f>IF(每日收货出货登记!W322&gt;0,每日收货出货登记!W322,"")</f>
        <v/>
      </c>
      <c r="H322" s="10">
        <f>IF(每日收货出货登记!W322&gt;0,每日收货出货登记!R322,"")</f>
        <v/>
      </c>
      <c r="I322" s="9">
        <f>IF(每日收货出货登记!W322&gt;0,每日收货出货登记!S322,"")</f>
        <v/>
      </c>
      <c r="J322" s="9">
        <f>IF(每日收货出货登记!W322&gt;0,每日收货出货登记!AB322,"")</f>
        <v/>
      </c>
    </row>
    <row r="323" ht="22" customHeight="1">
      <c r="A323" s="9">
        <f>IF(每日收货出货登记!W323&gt;0,每日收货出货登记!A323,"")</f>
        <v/>
      </c>
      <c r="B323" s="10">
        <f>IF(每日收货出货登记!W323&gt;0,每日收货出货登记!D323,"")</f>
        <v/>
      </c>
      <c r="C323" s="10">
        <f>IF(每日收货出货登记!W323&gt;0,每日收货出货登记!G323,"")</f>
        <v/>
      </c>
      <c r="D323" s="10">
        <f>IF(每日收货出货登记!W323&gt;0,每日收货出货登记!E323,"")</f>
        <v/>
      </c>
      <c r="E323" s="10">
        <f>IF(每日收货出货登记!W323&gt;0,每日收货出货登记!Q323,"")</f>
        <v/>
      </c>
      <c r="F323" s="10">
        <f>IF(每日收货出货登记!W323&gt;0,每日收货出货登记!V323,"")</f>
        <v/>
      </c>
      <c r="G323" s="10">
        <f>IF(每日收货出货登记!W323&gt;0,每日收货出货登记!W323,"")</f>
        <v/>
      </c>
      <c r="H323" s="10">
        <f>IF(每日收货出货登记!W323&gt;0,每日收货出货登记!R323,"")</f>
        <v/>
      </c>
      <c r="I323" s="9">
        <f>IF(每日收货出货登记!W323&gt;0,每日收货出货登记!S323,"")</f>
        <v/>
      </c>
      <c r="J323" s="9">
        <f>IF(每日收货出货登记!W323&gt;0,每日收货出货登记!AB323,"")</f>
        <v/>
      </c>
    </row>
    <row r="324" ht="22" customHeight="1">
      <c r="A324" s="9">
        <f>IF(每日收货出货登记!W324&gt;0,每日收货出货登记!A324,"")</f>
        <v/>
      </c>
      <c r="B324" s="10">
        <f>IF(每日收货出货登记!W324&gt;0,每日收货出货登记!D324,"")</f>
        <v/>
      </c>
      <c r="C324" s="10">
        <f>IF(每日收货出货登记!W324&gt;0,每日收货出货登记!G324,"")</f>
        <v/>
      </c>
      <c r="D324" s="10">
        <f>IF(每日收货出货登记!W324&gt;0,每日收货出货登记!E324,"")</f>
        <v/>
      </c>
      <c r="E324" s="10">
        <f>IF(每日收货出货登记!W324&gt;0,每日收货出货登记!Q324,"")</f>
        <v/>
      </c>
      <c r="F324" s="10">
        <f>IF(每日收货出货登记!W324&gt;0,每日收货出货登记!V324,"")</f>
        <v/>
      </c>
      <c r="G324" s="10">
        <f>IF(每日收货出货登记!W324&gt;0,每日收货出货登记!W324,"")</f>
        <v/>
      </c>
      <c r="H324" s="10">
        <f>IF(每日收货出货登记!W324&gt;0,每日收货出货登记!R324,"")</f>
        <v/>
      </c>
      <c r="I324" s="9">
        <f>IF(每日收货出货登记!W324&gt;0,每日收货出货登记!S324,"")</f>
        <v/>
      </c>
      <c r="J324" s="9">
        <f>IF(每日收货出货登记!W324&gt;0,每日收货出货登记!AB324,"")</f>
        <v/>
      </c>
    </row>
    <row r="325" ht="22" customHeight="1">
      <c r="A325" s="9">
        <f>IF(每日收货出货登记!W325&gt;0,每日收货出货登记!A325,"")</f>
        <v/>
      </c>
      <c r="B325" s="10">
        <f>IF(每日收货出货登记!W325&gt;0,每日收货出货登记!D325,"")</f>
        <v/>
      </c>
      <c r="C325" s="10">
        <f>IF(每日收货出货登记!W325&gt;0,每日收货出货登记!G325,"")</f>
        <v/>
      </c>
      <c r="D325" s="10">
        <f>IF(每日收货出货登记!W325&gt;0,每日收货出货登记!E325,"")</f>
        <v/>
      </c>
      <c r="E325" s="10">
        <f>IF(每日收货出货登记!W325&gt;0,每日收货出货登记!Q325,"")</f>
        <v/>
      </c>
      <c r="F325" s="10">
        <f>IF(每日收货出货登记!W325&gt;0,每日收货出货登记!V325,"")</f>
        <v/>
      </c>
      <c r="G325" s="10">
        <f>IF(每日收货出货登记!W325&gt;0,每日收货出货登记!W325,"")</f>
        <v/>
      </c>
      <c r="H325" s="10">
        <f>IF(每日收货出货登记!W325&gt;0,每日收货出货登记!R325,"")</f>
        <v/>
      </c>
      <c r="I325" s="9">
        <f>IF(每日收货出货登记!W325&gt;0,每日收货出货登记!S325,"")</f>
        <v/>
      </c>
      <c r="J325" s="9">
        <f>IF(每日收货出货登记!W325&gt;0,每日收货出货登记!AB325,"")</f>
        <v/>
      </c>
    </row>
    <row r="326" ht="22" customHeight="1">
      <c r="A326" s="9">
        <f>IF(每日收货出货登记!W326&gt;0,每日收货出货登记!A326,"")</f>
        <v/>
      </c>
      <c r="B326" s="10">
        <f>IF(每日收货出货登记!W326&gt;0,每日收货出货登记!D326,"")</f>
        <v/>
      </c>
      <c r="C326" s="10">
        <f>IF(每日收货出货登记!W326&gt;0,每日收货出货登记!G326,"")</f>
        <v/>
      </c>
      <c r="D326" s="10">
        <f>IF(每日收货出货登记!W326&gt;0,每日收货出货登记!E326,"")</f>
        <v/>
      </c>
      <c r="E326" s="10">
        <f>IF(每日收货出货登记!W326&gt;0,每日收货出货登记!Q326,"")</f>
        <v/>
      </c>
      <c r="F326" s="10">
        <f>IF(每日收货出货登记!W326&gt;0,每日收货出货登记!V326,"")</f>
        <v/>
      </c>
      <c r="G326" s="10">
        <f>IF(每日收货出货登记!W326&gt;0,每日收货出货登记!W326,"")</f>
        <v/>
      </c>
      <c r="H326" s="10">
        <f>IF(每日收货出货登记!W326&gt;0,每日收货出货登记!R326,"")</f>
        <v/>
      </c>
      <c r="I326" s="9">
        <f>IF(每日收货出货登记!W326&gt;0,每日收货出货登记!S326,"")</f>
        <v/>
      </c>
      <c r="J326" s="9">
        <f>IF(每日收货出货登记!W326&gt;0,每日收货出货登记!AB326,"")</f>
        <v/>
      </c>
    </row>
    <row r="327" ht="22" customHeight="1">
      <c r="A327" s="9">
        <f>IF(每日收货出货登记!W327&gt;0,每日收货出货登记!A327,"")</f>
        <v/>
      </c>
      <c r="B327" s="10">
        <f>IF(每日收货出货登记!W327&gt;0,每日收货出货登记!D327,"")</f>
        <v/>
      </c>
      <c r="C327" s="10">
        <f>IF(每日收货出货登记!W327&gt;0,每日收货出货登记!G327,"")</f>
        <v/>
      </c>
      <c r="D327" s="10">
        <f>IF(每日收货出货登记!W327&gt;0,每日收货出货登记!E327,"")</f>
        <v/>
      </c>
      <c r="E327" s="10">
        <f>IF(每日收货出货登记!W327&gt;0,每日收货出货登记!Q327,"")</f>
        <v/>
      </c>
      <c r="F327" s="10">
        <f>IF(每日收货出货登记!W327&gt;0,每日收货出货登记!V327,"")</f>
        <v/>
      </c>
      <c r="G327" s="10">
        <f>IF(每日收货出货登记!W327&gt;0,每日收货出货登记!W327,"")</f>
        <v/>
      </c>
      <c r="H327" s="10">
        <f>IF(每日收货出货登记!W327&gt;0,每日收货出货登记!R327,"")</f>
        <v/>
      </c>
      <c r="I327" s="9">
        <f>IF(每日收货出货登记!W327&gt;0,每日收货出货登记!S327,"")</f>
        <v/>
      </c>
      <c r="J327" s="9">
        <f>IF(每日收货出货登记!W327&gt;0,每日收货出货登记!AB327,"")</f>
        <v/>
      </c>
    </row>
    <row r="328" ht="22" customHeight="1">
      <c r="A328" s="9">
        <f>IF(每日收货出货登记!W328&gt;0,每日收货出货登记!A328,"")</f>
        <v/>
      </c>
      <c r="B328" s="10">
        <f>IF(每日收货出货登记!W328&gt;0,每日收货出货登记!D328,"")</f>
        <v/>
      </c>
      <c r="C328" s="10">
        <f>IF(每日收货出货登记!W328&gt;0,每日收货出货登记!G328,"")</f>
        <v/>
      </c>
      <c r="D328" s="10">
        <f>IF(每日收货出货登记!W328&gt;0,每日收货出货登记!E328,"")</f>
        <v/>
      </c>
      <c r="E328" s="10">
        <f>IF(每日收货出货登记!W328&gt;0,每日收货出货登记!Q328,"")</f>
        <v/>
      </c>
      <c r="F328" s="10">
        <f>IF(每日收货出货登记!W328&gt;0,每日收货出货登记!V328,"")</f>
        <v/>
      </c>
      <c r="G328" s="10">
        <f>IF(每日收货出货登记!W328&gt;0,每日收货出货登记!W328,"")</f>
        <v/>
      </c>
      <c r="H328" s="10">
        <f>IF(每日收货出货登记!W328&gt;0,每日收货出货登记!R328,"")</f>
        <v/>
      </c>
      <c r="I328" s="9">
        <f>IF(每日收货出货登记!W328&gt;0,每日收货出货登记!S328,"")</f>
        <v/>
      </c>
      <c r="J328" s="9">
        <f>IF(每日收货出货登记!W328&gt;0,每日收货出货登记!AB328,"")</f>
        <v/>
      </c>
    </row>
    <row r="329" ht="22" customHeight="1">
      <c r="A329" s="9">
        <f>IF(每日收货出货登记!W329&gt;0,每日收货出货登记!A329,"")</f>
        <v/>
      </c>
      <c r="B329" s="10">
        <f>IF(每日收货出货登记!W329&gt;0,每日收货出货登记!D329,"")</f>
        <v/>
      </c>
      <c r="C329" s="10">
        <f>IF(每日收货出货登记!W329&gt;0,每日收货出货登记!G329,"")</f>
        <v/>
      </c>
      <c r="D329" s="10">
        <f>IF(每日收货出货登记!W329&gt;0,每日收货出货登记!E329,"")</f>
        <v/>
      </c>
      <c r="E329" s="10">
        <f>IF(每日收货出货登记!W329&gt;0,每日收货出货登记!Q329,"")</f>
        <v/>
      </c>
      <c r="F329" s="10">
        <f>IF(每日收货出货登记!W329&gt;0,每日收货出货登记!V329,"")</f>
        <v/>
      </c>
      <c r="G329" s="10">
        <f>IF(每日收货出货登记!W329&gt;0,每日收货出货登记!W329,"")</f>
        <v/>
      </c>
      <c r="H329" s="10">
        <f>IF(每日收货出货登记!W329&gt;0,每日收货出货登记!R329,"")</f>
        <v/>
      </c>
      <c r="I329" s="9">
        <f>IF(每日收货出货登记!W329&gt;0,每日收货出货登记!S329,"")</f>
        <v/>
      </c>
      <c r="J329" s="9">
        <f>IF(每日收货出货登记!W329&gt;0,每日收货出货登记!AB329,"")</f>
        <v/>
      </c>
    </row>
    <row r="330" ht="22" customHeight="1">
      <c r="A330" s="9">
        <f>IF(每日收货出货登记!W330&gt;0,每日收货出货登记!A330,"")</f>
        <v/>
      </c>
      <c r="B330" s="10">
        <f>IF(每日收货出货登记!W330&gt;0,每日收货出货登记!D330,"")</f>
        <v/>
      </c>
      <c r="C330" s="10">
        <f>IF(每日收货出货登记!W330&gt;0,每日收货出货登记!G330,"")</f>
        <v/>
      </c>
      <c r="D330" s="10">
        <f>IF(每日收货出货登记!W330&gt;0,每日收货出货登记!E330,"")</f>
        <v/>
      </c>
      <c r="E330" s="10">
        <f>IF(每日收货出货登记!W330&gt;0,每日收货出货登记!Q330,"")</f>
        <v/>
      </c>
      <c r="F330" s="10">
        <f>IF(每日收货出货登记!W330&gt;0,每日收货出货登记!V330,"")</f>
        <v/>
      </c>
      <c r="G330" s="10">
        <f>IF(每日收货出货登记!W330&gt;0,每日收货出货登记!W330,"")</f>
        <v/>
      </c>
      <c r="H330" s="10">
        <f>IF(每日收货出货登记!W330&gt;0,每日收货出货登记!R330,"")</f>
        <v/>
      </c>
      <c r="I330" s="9">
        <f>IF(每日收货出货登记!W330&gt;0,每日收货出货登记!S330,"")</f>
        <v/>
      </c>
      <c r="J330" s="9">
        <f>IF(每日收货出货登记!W330&gt;0,每日收货出货登记!AB330,"")</f>
        <v/>
      </c>
    </row>
    <row r="331" ht="22" customHeight="1">
      <c r="A331" s="9">
        <f>IF(每日收货出货登记!W331&gt;0,每日收货出货登记!A331,"")</f>
        <v/>
      </c>
      <c r="B331" s="10">
        <f>IF(每日收货出货登记!W331&gt;0,每日收货出货登记!D331,"")</f>
        <v/>
      </c>
      <c r="C331" s="10">
        <f>IF(每日收货出货登记!W331&gt;0,每日收货出货登记!G331,"")</f>
        <v/>
      </c>
      <c r="D331" s="10">
        <f>IF(每日收货出货登记!W331&gt;0,每日收货出货登记!E331,"")</f>
        <v/>
      </c>
      <c r="E331" s="10">
        <f>IF(每日收货出货登记!W331&gt;0,每日收货出货登记!Q331,"")</f>
        <v/>
      </c>
      <c r="F331" s="10">
        <f>IF(每日收货出货登记!W331&gt;0,每日收货出货登记!V331,"")</f>
        <v/>
      </c>
      <c r="G331" s="10">
        <f>IF(每日收货出货登记!W331&gt;0,每日收货出货登记!W331,"")</f>
        <v/>
      </c>
      <c r="H331" s="10">
        <f>IF(每日收货出货登记!W331&gt;0,每日收货出货登记!R331,"")</f>
        <v/>
      </c>
      <c r="I331" s="9">
        <f>IF(每日收货出货登记!W331&gt;0,每日收货出货登记!S331,"")</f>
        <v/>
      </c>
      <c r="J331" s="9">
        <f>IF(每日收货出货登记!W331&gt;0,每日收货出货登记!AB331,"")</f>
        <v/>
      </c>
    </row>
    <row r="332" ht="22" customHeight="1">
      <c r="A332" s="9">
        <f>IF(每日收货出货登记!W332&gt;0,每日收货出货登记!A332,"")</f>
        <v/>
      </c>
      <c r="B332" s="10">
        <f>IF(每日收货出货登记!W332&gt;0,每日收货出货登记!D332,"")</f>
        <v/>
      </c>
      <c r="C332" s="10">
        <f>IF(每日收货出货登记!W332&gt;0,每日收货出货登记!G332,"")</f>
        <v/>
      </c>
      <c r="D332" s="10">
        <f>IF(每日收货出货登记!W332&gt;0,每日收货出货登记!E332,"")</f>
        <v/>
      </c>
      <c r="E332" s="10">
        <f>IF(每日收货出货登记!W332&gt;0,每日收货出货登记!Q332,"")</f>
        <v/>
      </c>
      <c r="F332" s="10">
        <f>IF(每日收货出货登记!W332&gt;0,每日收货出货登记!V332,"")</f>
        <v/>
      </c>
      <c r="G332" s="10">
        <f>IF(每日收货出货登记!W332&gt;0,每日收货出货登记!W332,"")</f>
        <v/>
      </c>
      <c r="H332" s="10">
        <f>IF(每日收货出货登记!W332&gt;0,每日收货出货登记!R332,"")</f>
        <v/>
      </c>
      <c r="I332" s="9">
        <f>IF(每日收货出货登记!W332&gt;0,每日收货出货登记!S332,"")</f>
        <v/>
      </c>
      <c r="J332" s="9">
        <f>IF(每日收货出货登记!W332&gt;0,每日收货出货登记!AB332,"")</f>
        <v/>
      </c>
    </row>
    <row r="333" ht="22" customHeight="1">
      <c r="A333" s="9">
        <f>IF(每日收货出货登记!W333&gt;0,每日收货出货登记!A333,"")</f>
        <v/>
      </c>
      <c r="B333" s="10">
        <f>IF(每日收货出货登记!W333&gt;0,每日收货出货登记!D333,"")</f>
        <v/>
      </c>
      <c r="C333" s="10">
        <f>IF(每日收货出货登记!W333&gt;0,每日收货出货登记!G333,"")</f>
        <v/>
      </c>
      <c r="D333" s="10">
        <f>IF(每日收货出货登记!W333&gt;0,每日收货出货登记!E333,"")</f>
        <v/>
      </c>
      <c r="E333" s="10">
        <f>IF(每日收货出货登记!W333&gt;0,每日收货出货登记!Q333,"")</f>
        <v/>
      </c>
      <c r="F333" s="10">
        <f>IF(每日收货出货登记!W333&gt;0,每日收货出货登记!V333,"")</f>
        <v/>
      </c>
      <c r="G333" s="10">
        <f>IF(每日收货出货登记!W333&gt;0,每日收货出货登记!W333,"")</f>
        <v/>
      </c>
      <c r="H333" s="10">
        <f>IF(每日收货出货登记!W333&gt;0,每日收货出货登记!R333,"")</f>
        <v/>
      </c>
      <c r="I333" s="9">
        <f>IF(每日收货出货登记!W333&gt;0,每日收货出货登记!S333,"")</f>
        <v/>
      </c>
      <c r="J333" s="9">
        <f>IF(每日收货出货登记!W333&gt;0,每日收货出货登记!AB333,"")</f>
        <v/>
      </c>
    </row>
    <row r="334" ht="22" customHeight="1">
      <c r="A334" s="9">
        <f>IF(每日收货出货登记!W334&gt;0,每日收货出货登记!A334,"")</f>
        <v/>
      </c>
      <c r="B334" s="10">
        <f>IF(每日收货出货登记!W334&gt;0,每日收货出货登记!D334,"")</f>
        <v/>
      </c>
      <c r="C334" s="10">
        <f>IF(每日收货出货登记!W334&gt;0,每日收货出货登记!G334,"")</f>
        <v/>
      </c>
      <c r="D334" s="10">
        <f>IF(每日收货出货登记!W334&gt;0,每日收货出货登记!E334,"")</f>
        <v/>
      </c>
      <c r="E334" s="10">
        <f>IF(每日收货出货登记!W334&gt;0,每日收货出货登记!Q334,"")</f>
        <v/>
      </c>
      <c r="F334" s="10">
        <f>IF(每日收货出货登记!W334&gt;0,每日收货出货登记!V334,"")</f>
        <v/>
      </c>
      <c r="G334" s="10">
        <f>IF(每日收货出货登记!W334&gt;0,每日收货出货登记!W334,"")</f>
        <v/>
      </c>
      <c r="H334" s="10">
        <f>IF(每日收货出货登记!W334&gt;0,每日收货出货登记!R334,"")</f>
        <v/>
      </c>
      <c r="I334" s="9">
        <f>IF(每日收货出货登记!W334&gt;0,每日收货出货登记!S334,"")</f>
        <v/>
      </c>
      <c r="J334" s="9">
        <f>IF(每日收货出货登记!W334&gt;0,每日收货出货登记!AB334,"")</f>
        <v/>
      </c>
    </row>
    <row r="335" ht="22" customHeight="1">
      <c r="A335" s="9">
        <f>IF(每日收货出货登记!W335&gt;0,每日收货出货登记!A335,"")</f>
        <v/>
      </c>
      <c r="B335" s="10">
        <f>IF(每日收货出货登记!W335&gt;0,每日收货出货登记!D335,"")</f>
        <v/>
      </c>
      <c r="C335" s="10">
        <f>IF(每日收货出货登记!W335&gt;0,每日收货出货登记!G335,"")</f>
        <v/>
      </c>
      <c r="D335" s="10">
        <f>IF(每日收货出货登记!W335&gt;0,每日收货出货登记!E335,"")</f>
        <v/>
      </c>
      <c r="E335" s="10">
        <f>IF(每日收货出货登记!W335&gt;0,每日收货出货登记!Q335,"")</f>
        <v/>
      </c>
      <c r="F335" s="10">
        <f>IF(每日收货出货登记!W335&gt;0,每日收货出货登记!V335,"")</f>
        <v/>
      </c>
      <c r="G335" s="10">
        <f>IF(每日收货出货登记!W335&gt;0,每日收货出货登记!W335,"")</f>
        <v/>
      </c>
      <c r="H335" s="10">
        <f>IF(每日收货出货登记!W335&gt;0,每日收货出货登记!R335,"")</f>
        <v/>
      </c>
      <c r="I335" s="9">
        <f>IF(每日收货出货登记!W335&gt;0,每日收货出货登记!S335,"")</f>
        <v/>
      </c>
      <c r="J335" s="9">
        <f>IF(每日收货出货登记!W335&gt;0,每日收货出货登记!AB335,"")</f>
        <v/>
      </c>
    </row>
    <row r="336" ht="22" customHeight="1">
      <c r="A336" s="9">
        <f>IF(每日收货出货登记!W336&gt;0,每日收货出货登记!A336,"")</f>
        <v/>
      </c>
      <c r="B336" s="10">
        <f>IF(每日收货出货登记!W336&gt;0,每日收货出货登记!D336,"")</f>
        <v/>
      </c>
      <c r="C336" s="10">
        <f>IF(每日收货出货登记!W336&gt;0,每日收货出货登记!G336,"")</f>
        <v/>
      </c>
      <c r="D336" s="10">
        <f>IF(每日收货出货登记!W336&gt;0,每日收货出货登记!E336,"")</f>
        <v/>
      </c>
      <c r="E336" s="10">
        <f>IF(每日收货出货登记!W336&gt;0,每日收货出货登记!Q336,"")</f>
        <v/>
      </c>
      <c r="F336" s="10">
        <f>IF(每日收货出货登记!W336&gt;0,每日收货出货登记!V336,"")</f>
        <v/>
      </c>
      <c r="G336" s="10">
        <f>IF(每日收货出货登记!W336&gt;0,每日收货出货登记!W336,"")</f>
        <v/>
      </c>
      <c r="H336" s="10">
        <f>IF(每日收货出货登记!W336&gt;0,每日收货出货登记!R336,"")</f>
        <v/>
      </c>
      <c r="I336" s="9">
        <f>IF(每日收货出货登记!W336&gt;0,每日收货出货登记!S336,"")</f>
        <v/>
      </c>
      <c r="J336" s="9">
        <f>IF(每日收货出货登记!W336&gt;0,每日收货出货登记!AB336,"")</f>
        <v/>
      </c>
    </row>
    <row r="337" ht="22" customHeight="1">
      <c r="A337" s="9">
        <f>IF(每日收货出货登记!W337&gt;0,每日收货出货登记!A337,"")</f>
        <v/>
      </c>
      <c r="B337" s="10">
        <f>IF(每日收货出货登记!W337&gt;0,每日收货出货登记!D337,"")</f>
        <v/>
      </c>
      <c r="C337" s="10">
        <f>IF(每日收货出货登记!W337&gt;0,每日收货出货登记!G337,"")</f>
        <v/>
      </c>
      <c r="D337" s="10">
        <f>IF(每日收货出货登记!W337&gt;0,每日收货出货登记!E337,"")</f>
        <v/>
      </c>
      <c r="E337" s="10">
        <f>IF(每日收货出货登记!W337&gt;0,每日收货出货登记!Q337,"")</f>
        <v/>
      </c>
      <c r="F337" s="10">
        <f>IF(每日收货出货登记!W337&gt;0,每日收货出货登记!V337,"")</f>
        <v/>
      </c>
      <c r="G337" s="10">
        <f>IF(每日收货出货登记!W337&gt;0,每日收货出货登记!W337,"")</f>
        <v/>
      </c>
      <c r="H337" s="10">
        <f>IF(每日收货出货登记!W337&gt;0,每日收货出货登记!R337,"")</f>
        <v/>
      </c>
      <c r="I337" s="9">
        <f>IF(每日收货出货登记!W337&gt;0,每日收货出货登记!S337,"")</f>
        <v/>
      </c>
      <c r="J337" s="9">
        <f>IF(每日收货出货登记!W337&gt;0,每日收货出货登记!AB337,"")</f>
        <v/>
      </c>
    </row>
    <row r="338" ht="22" customHeight="1">
      <c r="A338" s="9">
        <f>IF(每日收货出货登记!W338&gt;0,每日收货出货登记!A338,"")</f>
        <v/>
      </c>
      <c r="B338" s="10">
        <f>IF(每日收货出货登记!W338&gt;0,每日收货出货登记!D338,"")</f>
        <v/>
      </c>
      <c r="C338" s="10">
        <f>IF(每日收货出货登记!W338&gt;0,每日收货出货登记!G338,"")</f>
        <v/>
      </c>
      <c r="D338" s="10">
        <f>IF(每日收货出货登记!W338&gt;0,每日收货出货登记!E338,"")</f>
        <v/>
      </c>
      <c r="E338" s="10">
        <f>IF(每日收货出货登记!W338&gt;0,每日收货出货登记!Q338,"")</f>
        <v/>
      </c>
      <c r="F338" s="10">
        <f>IF(每日收货出货登记!W338&gt;0,每日收货出货登记!V338,"")</f>
        <v/>
      </c>
      <c r="G338" s="10">
        <f>IF(每日收货出货登记!W338&gt;0,每日收货出货登记!W338,"")</f>
        <v/>
      </c>
      <c r="H338" s="10">
        <f>IF(每日收货出货登记!W338&gt;0,每日收货出货登记!R338,"")</f>
        <v/>
      </c>
      <c r="I338" s="9">
        <f>IF(每日收货出货登记!W338&gt;0,每日收货出货登记!S338,"")</f>
        <v/>
      </c>
      <c r="J338" s="9">
        <f>IF(每日收货出货登记!W338&gt;0,每日收货出货登记!AB338,"")</f>
        <v/>
      </c>
    </row>
    <row r="339" ht="22" customHeight="1">
      <c r="A339" s="9">
        <f>IF(每日收货出货登记!W339&gt;0,每日收货出货登记!A339,"")</f>
        <v/>
      </c>
      <c r="B339" s="10">
        <f>IF(每日收货出货登记!W339&gt;0,每日收货出货登记!D339,"")</f>
        <v/>
      </c>
      <c r="C339" s="10">
        <f>IF(每日收货出货登记!W339&gt;0,每日收货出货登记!G339,"")</f>
        <v/>
      </c>
      <c r="D339" s="10">
        <f>IF(每日收货出货登记!W339&gt;0,每日收货出货登记!E339,"")</f>
        <v/>
      </c>
      <c r="E339" s="10">
        <f>IF(每日收货出货登记!W339&gt;0,每日收货出货登记!Q339,"")</f>
        <v/>
      </c>
      <c r="F339" s="10">
        <f>IF(每日收货出货登记!W339&gt;0,每日收货出货登记!V339,"")</f>
        <v/>
      </c>
      <c r="G339" s="10">
        <f>IF(每日收货出货登记!W339&gt;0,每日收货出货登记!W339,"")</f>
        <v/>
      </c>
      <c r="H339" s="10">
        <f>IF(每日收货出货登记!W339&gt;0,每日收货出货登记!R339,"")</f>
        <v/>
      </c>
      <c r="I339" s="9">
        <f>IF(每日收货出货登记!W339&gt;0,每日收货出货登记!S339,"")</f>
        <v/>
      </c>
      <c r="J339" s="9">
        <f>IF(每日收货出货登记!W339&gt;0,每日收货出货登记!AB339,"")</f>
        <v/>
      </c>
    </row>
    <row r="340" ht="22" customHeight="1">
      <c r="A340" s="9">
        <f>IF(每日收货出货登记!W340&gt;0,每日收货出货登记!A340,"")</f>
        <v/>
      </c>
      <c r="B340" s="10">
        <f>IF(每日收货出货登记!W340&gt;0,每日收货出货登记!D340,"")</f>
        <v/>
      </c>
      <c r="C340" s="10">
        <f>IF(每日收货出货登记!W340&gt;0,每日收货出货登记!G340,"")</f>
        <v/>
      </c>
      <c r="D340" s="10">
        <f>IF(每日收货出货登记!W340&gt;0,每日收货出货登记!E340,"")</f>
        <v/>
      </c>
      <c r="E340" s="10">
        <f>IF(每日收货出货登记!W340&gt;0,每日收货出货登记!Q340,"")</f>
        <v/>
      </c>
      <c r="F340" s="10">
        <f>IF(每日收货出货登记!W340&gt;0,每日收货出货登记!V340,"")</f>
        <v/>
      </c>
      <c r="G340" s="10">
        <f>IF(每日收货出货登记!W340&gt;0,每日收货出货登记!W340,"")</f>
        <v/>
      </c>
      <c r="H340" s="10">
        <f>IF(每日收货出货登记!W340&gt;0,每日收货出货登记!R340,"")</f>
        <v/>
      </c>
      <c r="I340" s="9">
        <f>IF(每日收货出货登记!W340&gt;0,每日收货出货登记!S340,"")</f>
        <v/>
      </c>
      <c r="J340" s="9">
        <f>IF(每日收货出货登记!W340&gt;0,每日收货出货登记!AB340,"")</f>
        <v/>
      </c>
    </row>
    <row r="341" ht="22" customHeight="1">
      <c r="A341" s="9">
        <f>IF(每日收货出货登记!W341&gt;0,每日收货出货登记!A341,"")</f>
        <v/>
      </c>
      <c r="B341" s="10">
        <f>IF(每日收货出货登记!W341&gt;0,每日收货出货登记!D341,"")</f>
        <v/>
      </c>
      <c r="C341" s="10">
        <f>IF(每日收货出货登记!W341&gt;0,每日收货出货登记!G341,"")</f>
        <v/>
      </c>
      <c r="D341" s="10">
        <f>IF(每日收货出货登记!W341&gt;0,每日收货出货登记!E341,"")</f>
        <v/>
      </c>
      <c r="E341" s="10">
        <f>IF(每日收货出货登记!W341&gt;0,每日收货出货登记!Q341,"")</f>
        <v/>
      </c>
      <c r="F341" s="10">
        <f>IF(每日收货出货登记!W341&gt;0,每日收货出货登记!V341,"")</f>
        <v/>
      </c>
      <c r="G341" s="10">
        <f>IF(每日收货出货登记!W341&gt;0,每日收货出货登记!W341,"")</f>
        <v/>
      </c>
      <c r="H341" s="10">
        <f>IF(每日收货出货登记!W341&gt;0,每日收货出货登记!R341,"")</f>
        <v/>
      </c>
      <c r="I341" s="9">
        <f>IF(每日收货出货登记!W341&gt;0,每日收货出货登记!S341,"")</f>
        <v/>
      </c>
      <c r="J341" s="9">
        <f>IF(每日收货出货登记!W341&gt;0,每日收货出货登记!AB341,"")</f>
        <v/>
      </c>
    </row>
    <row r="342" ht="22" customHeight="1">
      <c r="A342" s="9">
        <f>IF(每日收货出货登记!W342&gt;0,每日收货出货登记!A342,"")</f>
        <v/>
      </c>
      <c r="B342" s="10">
        <f>IF(每日收货出货登记!W342&gt;0,每日收货出货登记!D342,"")</f>
        <v/>
      </c>
      <c r="C342" s="10">
        <f>IF(每日收货出货登记!W342&gt;0,每日收货出货登记!G342,"")</f>
        <v/>
      </c>
      <c r="D342" s="10">
        <f>IF(每日收货出货登记!W342&gt;0,每日收货出货登记!E342,"")</f>
        <v/>
      </c>
      <c r="E342" s="10">
        <f>IF(每日收货出货登记!W342&gt;0,每日收货出货登记!Q342,"")</f>
        <v/>
      </c>
      <c r="F342" s="10">
        <f>IF(每日收货出货登记!W342&gt;0,每日收货出货登记!V342,"")</f>
        <v/>
      </c>
      <c r="G342" s="10">
        <f>IF(每日收货出货登记!W342&gt;0,每日收货出货登记!W342,"")</f>
        <v/>
      </c>
      <c r="H342" s="10">
        <f>IF(每日收货出货登记!W342&gt;0,每日收货出货登记!R342,"")</f>
        <v/>
      </c>
      <c r="I342" s="9">
        <f>IF(每日收货出货登记!W342&gt;0,每日收货出货登记!S342,"")</f>
        <v/>
      </c>
      <c r="J342" s="9">
        <f>IF(每日收货出货登记!W342&gt;0,每日收货出货登记!AB342,"")</f>
        <v/>
      </c>
    </row>
    <row r="343" ht="22" customHeight="1">
      <c r="A343" s="9">
        <f>IF(每日收货出货登记!W343&gt;0,每日收货出货登记!A343,"")</f>
        <v/>
      </c>
      <c r="B343" s="10">
        <f>IF(每日收货出货登记!W343&gt;0,每日收货出货登记!D343,"")</f>
        <v/>
      </c>
      <c r="C343" s="10">
        <f>IF(每日收货出货登记!W343&gt;0,每日收货出货登记!G343,"")</f>
        <v/>
      </c>
      <c r="D343" s="10">
        <f>IF(每日收货出货登记!W343&gt;0,每日收货出货登记!E343,"")</f>
        <v/>
      </c>
      <c r="E343" s="10">
        <f>IF(每日收货出货登记!W343&gt;0,每日收货出货登记!Q343,"")</f>
        <v/>
      </c>
      <c r="F343" s="10">
        <f>IF(每日收货出货登记!W343&gt;0,每日收货出货登记!V343,"")</f>
        <v/>
      </c>
      <c r="G343" s="10">
        <f>IF(每日收货出货登记!W343&gt;0,每日收货出货登记!W343,"")</f>
        <v/>
      </c>
      <c r="H343" s="10">
        <f>IF(每日收货出货登记!W343&gt;0,每日收货出货登记!R343,"")</f>
        <v/>
      </c>
      <c r="I343" s="9">
        <f>IF(每日收货出货登记!W343&gt;0,每日收货出货登记!S343,"")</f>
        <v/>
      </c>
      <c r="J343" s="9">
        <f>IF(每日收货出货登记!W343&gt;0,每日收货出货登记!AB343,"")</f>
        <v/>
      </c>
    </row>
    <row r="344" ht="22" customHeight="1">
      <c r="A344" s="9">
        <f>IF(每日收货出货登记!W344&gt;0,每日收货出货登记!A344,"")</f>
        <v/>
      </c>
      <c r="B344" s="10">
        <f>IF(每日收货出货登记!W344&gt;0,每日收货出货登记!D344,"")</f>
        <v/>
      </c>
      <c r="C344" s="10">
        <f>IF(每日收货出货登记!W344&gt;0,每日收货出货登记!G344,"")</f>
        <v/>
      </c>
      <c r="D344" s="10">
        <f>IF(每日收货出货登记!W344&gt;0,每日收货出货登记!E344,"")</f>
        <v/>
      </c>
      <c r="E344" s="10">
        <f>IF(每日收货出货登记!W344&gt;0,每日收货出货登记!Q344,"")</f>
        <v/>
      </c>
      <c r="F344" s="10">
        <f>IF(每日收货出货登记!W344&gt;0,每日收货出货登记!V344,"")</f>
        <v/>
      </c>
      <c r="G344" s="10">
        <f>IF(每日收货出货登记!W344&gt;0,每日收货出货登记!W344,"")</f>
        <v/>
      </c>
      <c r="H344" s="10">
        <f>IF(每日收货出货登记!W344&gt;0,每日收货出货登记!R344,"")</f>
        <v/>
      </c>
      <c r="I344" s="9">
        <f>IF(每日收货出货登记!W344&gt;0,每日收货出货登记!S344,"")</f>
        <v/>
      </c>
      <c r="J344" s="9">
        <f>IF(每日收货出货登记!W344&gt;0,每日收货出货登记!AB344,"")</f>
        <v/>
      </c>
    </row>
    <row r="345" ht="22" customHeight="1">
      <c r="A345" s="9">
        <f>IF(每日收货出货登记!W345&gt;0,每日收货出货登记!A345,"")</f>
        <v/>
      </c>
      <c r="B345" s="10">
        <f>IF(每日收货出货登记!W345&gt;0,每日收货出货登记!D345,"")</f>
        <v/>
      </c>
      <c r="C345" s="10">
        <f>IF(每日收货出货登记!W345&gt;0,每日收货出货登记!G345,"")</f>
        <v/>
      </c>
      <c r="D345" s="10">
        <f>IF(每日收货出货登记!W345&gt;0,每日收货出货登记!E345,"")</f>
        <v/>
      </c>
      <c r="E345" s="10">
        <f>IF(每日收货出货登记!W345&gt;0,每日收货出货登记!Q345,"")</f>
        <v/>
      </c>
      <c r="F345" s="10">
        <f>IF(每日收货出货登记!W345&gt;0,每日收货出货登记!V345,"")</f>
        <v/>
      </c>
      <c r="G345" s="10">
        <f>IF(每日收货出货登记!W345&gt;0,每日收货出货登记!W345,"")</f>
        <v/>
      </c>
      <c r="H345" s="10">
        <f>IF(每日收货出货登记!W345&gt;0,每日收货出货登记!R345,"")</f>
        <v/>
      </c>
      <c r="I345" s="9">
        <f>IF(每日收货出货登记!W345&gt;0,每日收货出货登记!S345,"")</f>
        <v/>
      </c>
      <c r="J345" s="9">
        <f>IF(每日收货出货登记!W345&gt;0,每日收货出货登记!AB345,"")</f>
        <v/>
      </c>
    </row>
    <row r="346" ht="22" customHeight="1">
      <c r="A346" s="9">
        <f>IF(每日收货出货登记!W346&gt;0,每日收货出货登记!A346,"")</f>
        <v/>
      </c>
      <c r="B346" s="10">
        <f>IF(每日收货出货登记!W346&gt;0,每日收货出货登记!D346,"")</f>
        <v/>
      </c>
      <c r="C346" s="10">
        <f>IF(每日收货出货登记!W346&gt;0,每日收货出货登记!G346,"")</f>
        <v/>
      </c>
      <c r="D346" s="10">
        <f>IF(每日收货出货登记!W346&gt;0,每日收货出货登记!E346,"")</f>
        <v/>
      </c>
      <c r="E346" s="10">
        <f>IF(每日收货出货登记!W346&gt;0,每日收货出货登记!Q346,"")</f>
        <v/>
      </c>
      <c r="F346" s="10">
        <f>IF(每日收货出货登记!W346&gt;0,每日收货出货登记!V346,"")</f>
        <v/>
      </c>
      <c r="G346" s="10">
        <f>IF(每日收货出货登记!W346&gt;0,每日收货出货登记!W346,"")</f>
        <v/>
      </c>
      <c r="H346" s="10">
        <f>IF(每日收货出货登记!W346&gt;0,每日收货出货登记!R346,"")</f>
        <v/>
      </c>
      <c r="I346" s="9">
        <f>IF(每日收货出货登记!W346&gt;0,每日收货出货登记!S346,"")</f>
        <v/>
      </c>
      <c r="J346" s="9">
        <f>IF(每日收货出货登记!W346&gt;0,每日收货出货登记!AB346,"")</f>
        <v/>
      </c>
    </row>
    <row r="347" ht="22" customHeight="1">
      <c r="A347" s="9">
        <f>IF(每日收货出货登记!W347&gt;0,每日收货出货登记!A347,"")</f>
        <v/>
      </c>
      <c r="B347" s="10">
        <f>IF(每日收货出货登记!W347&gt;0,每日收货出货登记!D347,"")</f>
        <v/>
      </c>
      <c r="C347" s="10">
        <f>IF(每日收货出货登记!W347&gt;0,每日收货出货登记!G347,"")</f>
        <v/>
      </c>
      <c r="D347" s="10">
        <f>IF(每日收货出货登记!W347&gt;0,每日收货出货登记!E347,"")</f>
        <v/>
      </c>
      <c r="E347" s="10">
        <f>IF(每日收货出货登记!W347&gt;0,每日收货出货登记!Q347,"")</f>
        <v/>
      </c>
      <c r="F347" s="10">
        <f>IF(每日收货出货登记!W347&gt;0,每日收货出货登记!V347,"")</f>
        <v/>
      </c>
      <c r="G347" s="10">
        <f>IF(每日收货出货登记!W347&gt;0,每日收货出货登记!W347,"")</f>
        <v/>
      </c>
      <c r="H347" s="10">
        <f>IF(每日收货出货登记!W347&gt;0,每日收货出货登记!R347,"")</f>
        <v/>
      </c>
      <c r="I347" s="9">
        <f>IF(每日收货出货登记!W347&gt;0,每日收货出货登记!S347,"")</f>
        <v/>
      </c>
      <c r="J347" s="9">
        <f>IF(每日收货出货登记!W347&gt;0,每日收货出货登记!AB347,"")</f>
        <v/>
      </c>
    </row>
    <row r="348" ht="22" customHeight="1">
      <c r="A348" s="9">
        <f>IF(每日收货出货登记!W348&gt;0,每日收货出货登记!A348,"")</f>
        <v/>
      </c>
      <c r="B348" s="10">
        <f>IF(每日收货出货登记!W348&gt;0,每日收货出货登记!D348,"")</f>
        <v/>
      </c>
      <c r="C348" s="10">
        <f>IF(每日收货出货登记!W348&gt;0,每日收货出货登记!G348,"")</f>
        <v/>
      </c>
      <c r="D348" s="10">
        <f>IF(每日收货出货登记!W348&gt;0,每日收货出货登记!E348,"")</f>
        <v/>
      </c>
      <c r="E348" s="10">
        <f>IF(每日收货出货登记!W348&gt;0,每日收货出货登记!Q348,"")</f>
        <v/>
      </c>
      <c r="F348" s="10">
        <f>IF(每日收货出货登记!W348&gt;0,每日收货出货登记!V348,"")</f>
        <v/>
      </c>
      <c r="G348" s="10">
        <f>IF(每日收货出货登记!W348&gt;0,每日收货出货登记!W348,"")</f>
        <v/>
      </c>
      <c r="H348" s="10">
        <f>IF(每日收货出货登记!W348&gt;0,每日收货出货登记!R348,"")</f>
        <v/>
      </c>
      <c r="I348" s="9">
        <f>IF(每日收货出货登记!W348&gt;0,每日收货出货登记!S348,"")</f>
        <v/>
      </c>
      <c r="J348" s="9">
        <f>IF(每日收货出货登记!W348&gt;0,每日收货出货登记!AB348,"")</f>
        <v/>
      </c>
    </row>
    <row r="349" ht="22" customHeight="1">
      <c r="A349" s="9">
        <f>IF(每日收货出货登记!W349&gt;0,每日收货出货登记!A349,"")</f>
        <v/>
      </c>
      <c r="B349" s="10">
        <f>IF(每日收货出货登记!W349&gt;0,每日收货出货登记!D349,"")</f>
        <v/>
      </c>
      <c r="C349" s="10">
        <f>IF(每日收货出货登记!W349&gt;0,每日收货出货登记!G349,"")</f>
        <v/>
      </c>
      <c r="D349" s="10">
        <f>IF(每日收货出货登记!W349&gt;0,每日收货出货登记!E349,"")</f>
        <v/>
      </c>
      <c r="E349" s="10">
        <f>IF(每日收货出货登记!W349&gt;0,每日收货出货登记!Q349,"")</f>
        <v/>
      </c>
      <c r="F349" s="10">
        <f>IF(每日收货出货登记!W349&gt;0,每日收货出货登记!V349,"")</f>
        <v/>
      </c>
      <c r="G349" s="10">
        <f>IF(每日收货出货登记!W349&gt;0,每日收货出货登记!W349,"")</f>
        <v/>
      </c>
      <c r="H349" s="10">
        <f>IF(每日收货出货登记!W349&gt;0,每日收货出货登记!R349,"")</f>
        <v/>
      </c>
      <c r="I349" s="9">
        <f>IF(每日收货出货登记!W349&gt;0,每日收货出货登记!S349,"")</f>
        <v/>
      </c>
      <c r="J349" s="9">
        <f>IF(每日收货出货登记!W349&gt;0,每日收货出货登记!AB349,"")</f>
        <v/>
      </c>
    </row>
    <row r="350" ht="22" customHeight="1">
      <c r="A350" s="9">
        <f>IF(每日收货出货登记!W350&gt;0,每日收货出货登记!A350,"")</f>
        <v/>
      </c>
      <c r="B350" s="10">
        <f>IF(每日收货出货登记!W350&gt;0,每日收货出货登记!D350,"")</f>
        <v/>
      </c>
      <c r="C350" s="10">
        <f>IF(每日收货出货登记!W350&gt;0,每日收货出货登记!G350,"")</f>
        <v/>
      </c>
      <c r="D350" s="10">
        <f>IF(每日收货出货登记!W350&gt;0,每日收货出货登记!E350,"")</f>
        <v/>
      </c>
      <c r="E350" s="10">
        <f>IF(每日收货出货登记!W350&gt;0,每日收货出货登记!Q350,"")</f>
        <v/>
      </c>
      <c r="F350" s="10">
        <f>IF(每日收货出货登记!W350&gt;0,每日收货出货登记!V350,"")</f>
        <v/>
      </c>
      <c r="G350" s="10">
        <f>IF(每日收货出货登记!W350&gt;0,每日收货出货登记!W350,"")</f>
        <v/>
      </c>
      <c r="H350" s="10">
        <f>IF(每日收货出货登记!W350&gt;0,每日收货出货登记!R350,"")</f>
        <v/>
      </c>
      <c r="I350" s="9">
        <f>IF(每日收货出货登记!W350&gt;0,每日收货出货登记!S350,"")</f>
        <v/>
      </c>
      <c r="J350" s="9">
        <f>IF(每日收货出货登记!W350&gt;0,每日收货出货登记!AB350,"")</f>
        <v/>
      </c>
    </row>
    <row r="351" ht="22" customHeight="1">
      <c r="A351" s="9">
        <f>IF(每日收货出货登记!W351&gt;0,每日收货出货登记!A351,"")</f>
        <v/>
      </c>
      <c r="B351" s="10">
        <f>IF(每日收货出货登记!W351&gt;0,每日收货出货登记!D351,"")</f>
        <v/>
      </c>
      <c r="C351" s="10">
        <f>IF(每日收货出货登记!W351&gt;0,每日收货出货登记!G351,"")</f>
        <v/>
      </c>
      <c r="D351" s="10">
        <f>IF(每日收货出货登记!W351&gt;0,每日收货出货登记!E351,"")</f>
        <v/>
      </c>
      <c r="E351" s="10">
        <f>IF(每日收货出货登记!W351&gt;0,每日收货出货登记!Q351,"")</f>
        <v/>
      </c>
      <c r="F351" s="10">
        <f>IF(每日收货出货登记!W351&gt;0,每日收货出货登记!V351,"")</f>
        <v/>
      </c>
      <c r="G351" s="10">
        <f>IF(每日收货出货登记!W351&gt;0,每日收货出货登记!W351,"")</f>
        <v/>
      </c>
      <c r="H351" s="10">
        <f>IF(每日收货出货登记!W351&gt;0,每日收货出货登记!R351,"")</f>
        <v/>
      </c>
      <c r="I351" s="9">
        <f>IF(每日收货出货登记!W351&gt;0,每日收货出货登记!S351,"")</f>
        <v/>
      </c>
      <c r="J351" s="9">
        <f>IF(每日收货出货登记!W351&gt;0,每日收货出货登记!AB351,"")</f>
        <v/>
      </c>
    </row>
    <row r="352" ht="22" customHeight="1">
      <c r="A352" s="9">
        <f>IF(每日收货出货登记!W352&gt;0,每日收货出货登记!A352,"")</f>
        <v/>
      </c>
      <c r="B352" s="10">
        <f>IF(每日收货出货登记!W352&gt;0,每日收货出货登记!D352,"")</f>
        <v/>
      </c>
      <c r="C352" s="10">
        <f>IF(每日收货出货登记!W352&gt;0,每日收货出货登记!G352,"")</f>
        <v/>
      </c>
      <c r="D352" s="10">
        <f>IF(每日收货出货登记!W352&gt;0,每日收货出货登记!E352,"")</f>
        <v/>
      </c>
      <c r="E352" s="10">
        <f>IF(每日收货出货登记!W352&gt;0,每日收货出货登记!Q352,"")</f>
        <v/>
      </c>
      <c r="F352" s="10">
        <f>IF(每日收货出货登记!W352&gt;0,每日收货出货登记!V352,"")</f>
        <v/>
      </c>
      <c r="G352" s="10">
        <f>IF(每日收货出货登记!W352&gt;0,每日收货出货登记!W352,"")</f>
        <v/>
      </c>
      <c r="H352" s="10">
        <f>IF(每日收货出货登记!W352&gt;0,每日收货出货登记!R352,"")</f>
        <v/>
      </c>
      <c r="I352" s="9">
        <f>IF(每日收货出货登记!W352&gt;0,每日收货出货登记!S352,"")</f>
        <v/>
      </c>
      <c r="J352" s="9">
        <f>IF(每日收货出货登记!W352&gt;0,每日收货出货登记!AB352,"")</f>
        <v/>
      </c>
    </row>
    <row r="353" ht="22" customHeight="1">
      <c r="A353" s="9">
        <f>IF(每日收货出货登记!W353&gt;0,每日收货出货登记!A353,"")</f>
        <v/>
      </c>
      <c r="B353" s="10">
        <f>IF(每日收货出货登记!W353&gt;0,每日收货出货登记!D353,"")</f>
        <v/>
      </c>
      <c r="C353" s="10">
        <f>IF(每日收货出货登记!W353&gt;0,每日收货出货登记!G353,"")</f>
        <v/>
      </c>
      <c r="D353" s="10">
        <f>IF(每日收货出货登记!W353&gt;0,每日收货出货登记!E353,"")</f>
        <v/>
      </c>
      <c r="E353" s="10">
        <f>IF(每日收货出货登记!W353&gt;0,每日收货出货登记!Q353,"")</f>
        <v/>
      </c>
      <c r="F353" s="10">
        <f>IF(每日收货出货登记!W353&gt;0,每日收货出货登记!V353,"")</f>
        <v/>
      </c>
      <c r="G353" s="10">
        <f>IF(每日收货出货登记!W353&gt;0,每日收货出货登记!W353,"")</f>
        <v/>
      </c>
      <c r="H353" s="10">
        <f>IF(每日收货出货登记!W353&gt;0,每日收货出货登记!R353,"")</f>
        <v/>
      </c>
      <c r="I353" s="9">
        <f>IF(每日收货出货登记!W353&gt;0,每日收货出货登记!S353,"")</f>
        <v/>
      </c>
      <c r="J353" s="9">
        <f>IF(每日收货出货登记!W353&gt;0,每日收货出货登记!AB353,"")</f>
        <v/>
      </c>
    </row>
    <row r="354" ht="22" customHeight="1">
      <c r="A354" s="9">
        <f>IF(每日收货出货登记!W354&gt;0,每日收货出货登记!A354,"")</f>
        <v/>
      </c>
      <c r="B354" s="10">
        <f>IF(每日收货出货登记!W354&gt;0,每日收货出货登记!D354,"")</f>
        <v/>
      </c>
      <c r="C354" s="10">
        <f>IF(每日收货出货登记!W354&gt;0,每日收货出货登记!G354,"")</f>
        <v/>
      </c>
      <c r="D354" s="10">
        <f>IF(每日收货出货登记!W354&gt;0,每日收货出货登记!E354,"")</f>
        <v/>
      </c>
      <c r="E354" s="10">
        <f>IF(每日收货出货登记!W354&gt;0,每日收货出货登记!Q354,"")</f>
        <v/>
      </c>
      <c r="F354" s="10">
        <f>IF(每日收货出货登记!W354&gt;0,每日收货出货登记!V354,"")</f>
        <v/>
      </c>
      <c r="G354" s="10">
        <f>IF(每日收货出货登记!W354&gt;0,每日收货出货登记!W354,"")</f>
        <v/>
      </c>
      <c r="H354" s="10">
        <f>IF(每日收货出货登记!W354&gt;0,每日收货出货登记!R354,"")</f>
        <v/>
      </c>
      <c r="I354" s="9">
        <f>IF(每日收货出货登记!W354&gt;0,每日收货出货登记!S354,"")</f>
        <v/>
      </c>
      <c r="J354" s="9">
        <f>IF(每日收货出货登记!W354&gt;0,每日收货出货登记!AB354,"")</f>
        <v/>
      </c>
    </row>
    <row r="355" ht="22" customHeight="1">
      <c r="A355" s="9">
        <f>IF(每日收货出货登记!W355&gt;0,每日收货出货登记!A355,"")</f>
        <v/>
      </c>
      <c r="B355" s="10">
        <f>IF(每日收货出货登记!W355&gt;0,每日收货出货登记!D355,"")</f>
        <v/>
      </c>
      <c r="C355" s="10">
        <f>IF(每日收货出货登记!W355&gt;0,每日收货出货登记!G355,"")</f>
        <v/>
      </c>
      <c r="D355" s="10">
        <f>IF(每日收货出货登记!W355&gt;0,每日收货出货登记!E355,"")</f>
        <v/>
      </c>
      <c r="E355" s="10">
        <f>IF(每日收货出货登记!W355&gt;0,每日收货出货登记!Q355,"")</f>
        <v/>
      </c>
      <c r="F355" s="10">
        <f>IF(每日收货出货登记!W355&gt;0,每日收货出货登记!V355,"")</f>
        <v/>
      </c>
      <c r="G355" s="10">
        <f>IF(每日收货出货登记!W355&gt;0,每日收货出货登记!W355,"")</f>
        <v/>
      </c>
      <c r="H355" s="10">
        <f>IF(每日收货出货登记!W355&gt;0,每日收货出货登记!R355,"")</f>
        <v/>
      </c>
      <c r="I355" s="9">
        <f>IF(每日收货出货登记!W355&gt;0,每日收货出货登记!S355,"")</f>
        <v/>
      </c>
      <c r="J355" s="9">
        <f>IF(每日收货出货登记!W355&gt;0,每日收货出货登记!AB355,"")</f>
        <v/>
      </c>
    </row>
    <row r="356" ht="22" customHeight="1">
      <c r="A356" s="9">
        <f>IF(每日收货出货登记!W356&gt;0,每日收货出货登记!A356,"")</f>
        <v/>
      </c>
      <c r="B356" s="10">
        <f>IF(每日收货出货登记!W356&gt;0,每日收货出货登记!D356,"")</f>
        <v/>
      </c>
      <c r="C356" s="10">
        <f>IF(每日收货出货登记!W356&gt;0,每日收货出货登记!G356,"")</f>
        <v/>
      </c>
      <c r="D356" s="10">
        <f>IF(每日收货出货登记!W356&gt;0,每日收货出货登记!E356,"")</f>
        <v/>
      </c>
      <c r="E356" s="10">
        <f>IF(每日收货出货登记!W356&gt;0,每日收货出货登记!Q356,"")</f>
        <v/>
      </c>
      <c r="F356" s="10">
        <f>IF(每日收货出货登记!W356&gt;0,每日收货出货登记!V356,"")</f>
        <v/>
      </c>
      <c r="G356" s="10">
        <f>IF(每日收货出货登记!W356&gt;0,每日收货出货登记!W356,"")</f>
        <v/>
      </c>
      <c r="H356" s="10">
        <f>IF(每日收货出货登记!W356&gt;0,每日收货出货登记!R356,"")</f>
        <v/>
      </c>
      <c r="I356" s="9">
        <f>IF(每日收货出货登记!W356&gt;0,每日收货出货登记!S356,"")</f>
        <v/>
      </c>
      <c r="J356" s="9">
        <f>IF(每日收货出货登记!W356&gt;0,每日收货出货登记!AB356,"")</f>
        <v/>
      </c>
    </row>
    <row r="357" ht="22" customHeight="1">
      <c r="A357" s="9">
        <f>IF(每日收货出货登记!W357&gt;0,每日收货出货登记!A357,"")</f>
        <v/>
      </c>
      <c r="B357" s="10">
        <f>IF(每日收货出货登记!W357&gt;0,每日收货出货登记!D357,"")</f>
        <v/>
      </c>
      <c r="C357" s="10">
        <f>IF(每日收货出货登记!W357&gt;0,每日收货出货登记!G357,"")</f>
        <v/>
      </c>
      <c r="D357" s="10">
        <f>IF(每日收货出货登记!W357&gt;0,每日收货出货登记!E357,"")</f>
        <v/>
      </c>
      <c r="E357" s="10">
        <f>IF(每日收货出货登记!W357&gt;0,每日收货出货登记!Q357,"")</f>
        <v/>
      </c>
      <c r="F357" s="10">
        <f>IF(每日收货出货登记!W357&gt;0,每日收货出货登记!V357,"")</f>
        <v/>
      </c>
      <c r="G357" s="10">
        <f>IF(每日收货出货登记!W357&gt;0,每日收货出货登记!W357,"")</f>
        <v/>
      </c>
      <c r="H357" s="10">
        <f>IF(每日收货出货登记!W357&gt;0,每日收货出货登记!R357,"")</f>
        <v/>
      </c>
      <c r="I357" s="9">
        <f>IF(每日收货出货登记!W357&gt;0,每日收货出货登记!S357,"")</f>
        <v/>
      </c>
      <c r="J357" s="9">
        <f>IF(每日收货出货登记!W357&gt;0,每日收货出货登记!AB357,"")</f>
        <v/>
      </c>
    </row>
    <row r="358" ht="22" customHeight="1">
      <c r="A358" s="9">
        <f>IF(每日收货出货登记!W358&gt;0,每日收货出货登记!A358,"")</f>
        <v/>
      </c>
      <c r="B358" s="10">
        <f>IF(每日收货出货登记!W358&gt;0,每日收货出货登记!D358,"")</f>
        <v/>
      </c>
      <c r="C358" s="10">
        <f>IF(每日收货出货登记!W358&gt;0,每日收货出货登记!G358,"")</f>
        <v/>
      </c>
      <c r="D358" s="10">
        <f>IF(每日收货出货登记!W358&gt;0,每日收货出货登记!E358,"")</f>
        <v/>
      </c>
      <c r="E358" s="10">
        <f>IF(每日收货出货登记!W358&gt;0,每日收货出货登记!Q358,"")</f>
        <v/>
      </c>
      <c r="F358" s="10">
        <f>IF(每日收货出货登记!W358&gt;0,每日收货出货登记!V358,"")</f>
        <v/>
      </c>
      <c r="G358" s="10">
        <f>IF(每日收货出货登记!W358&gt;0,每日收货出货登记!W358,"")</f>
        <v/>
      </c>
      <c r="H358" s="10">
        <f>IF(每日收货出货登记!W358&gt;0,每日收货出货登记!R358,"")</f>
        <v/>
      </c>
      <c r="I358" s="9">
        <f>IF(每日收货出货登记!W358&gt;0,每日收货出货登记!S358,"")</f>
        <v/>
      </c>
      <c r="J358" s="9">
        <f>IF(每日收货出货登记!W358&gt;0,每日收货出货登记!AB358,"")</f>
        <v/>
      </c>
    </row>
    <row r="359" ht="22" customHeight="1">
      <c r="A359" s="9">
        <f>IF(每日收货出货登记!W359&gt;0,每日收货出货登记!A359,"")</f>
        <v/>
      </c>
      <c r="B359" s="10">
        <f>IF(每日收货出货登记!W359&gt;0,每日收货出货登记!D359,"")</f>
        <v/>
      </c>
      <c r="C359" s="10">
        <f>IF(每日收货出货登记!W359&gt;0,每日收货出货登记!G359,"")</f>
        <v/>
      </c>
      <c r="D359" s="10">
        <f>IF(每日收货出货登记!W359&gt;0,每日收货出货登记!E359,"")</f>
        <v/>
      </c>
      <c r="E359" s="10">
        <f>IF(每日收货出货登记!W359&gt;0,每日收货出货登记!Q359,"")</f>
        <v/>
      </c>
      <c r="F359" s="10">
        <f>IF(每日收货出货登记!W359&gt;0,每日收货出货登记!V359,"")</f>
        <v/>
      </c>
      <c r="G359" s="10">
        <f>IF(每日收货出货登记!W359&gt;0,每日收货出货登记!W359,"")</f>
        <v/>
      </c>
      <c r="H359" s="10">
        <f>IF(每日收货出货登记!W359&gt;0,每日收货出货登记!R359,"")</f>
        <v/>
      </c>
      <c r="I359" s="9">
        <f>IF(每日收货出货登记!W359&gt;0,每日收货出货登记!S359,"")</f>
        <v/>
      </c>
      <c r="J359" s="9">
        <f>IF(每日收货出货登记!W359&gt;0,每日收货出货登记!AB359,"")</f>
        <v/>
      </c>
    </row>
    <row r="360" ht="22" customHeight="1">
      <c r="A360" s="9">
        <f>IF(每日收货出货登记!W360&gt;0,每日收货出货登记!A360,"")</f>
        <v/>
      </c>
      <c r="B360" s="10">
        <f>IF(每日收货出货登记!W360&gt;0,每日收货出货登记!D360,"")</f>
        <v/>
      </c>
      <c r="C360" s="10">
        <f>IF(每日收货出货登记!W360&gt;0,每日收货出货登记!G360,"")</f>
        <v/>
      </c>
      <c r="D360" s="10">
        <f>IF(每日收货出货登记!W360&gt;0,每日收货出货登记!E360,"")</f>
        <v/>
      </c>
      <c r="E360" s="10">
        <f>IF(每日收货出货登记!W360&gt;0,每日收货出货登记!Q360,"")</f>
        <v/>
      </c>
      <c r="F360" s="10">
        <f>IF(每日收货出货登记!W360&gt;0,每日收货出货登记!V360,"")</f>
        <v/>
      </c>
      <c r="G360" s="10">
        <f>IF(每日收货出货登记!W360&gt;0,每日收货出货登记!W360,"")</f>
        <v/>
      </c>
      <c r="H360" s="10">
        <f>IF(每日收货出货登记!W360&gt;0,每日收货出货登记!R360,"")</f>
        <v/>
      </c>
      <c r="I360" s="9">
        <f>IF(每日收货出货登记!W360&gt;0,每日收货出货登记!S360,"")</f>
        <v/>
      </c>
      <c r="J360" s="9">
        <f>IF(每日收货出货登记!W360&gt;0,每日收货出货登记!AB360,"")</f>
        <v/>
      </c>
    </row>
    <row r="361" ht="22" customHeight="1">
      <c r="A361" s="9">
        <f>IF(每日收货出货登记!W361&gt;0,每日收货出货登记!A361,"")</f>
        <v/>
      </c>
      <c r="B361" s="10">
        <f>IF(每日收货出货登记!W361&gt;0,每日收货出货登记!D361,"")</f>
        <v/>
      </c>
      <c r="C361" s="10">
        <f>IF(每日收货出货登记!W361&gt;0,每日收货出货登记!G361,"")</f>
        <v/>
      </c>
      <c r="D361" s="10">
        <f>IF(每日收货出货登记!W361&gt;0,每日收货出货登记!E361,"")</f>
        <v/>
      </c>
      <c r="E361" s="10">
        <f>IF(每日收货出货登记!W361&gt;0,每日收货出货登记!Q361,"")</f>
        <v/>
      </c>
      <c r="F361" s="10">
        <f>IF(每日收货出货登记!W361&gt;0,每日收货出货登记!V361,"")</f>
        <v/>
      </c>
      <c r="G361" s="10">
        <f>IF(每日收货出货登记!W361&gt;0,每日收货出货登记!W361,"")</f>
        <v/>
      </c>
      <c r="H361" s="10">
        <f>IF(每日收货出货登记!W361&gt;0,每日收货出货登记!R361,"")</f>
        <v/>
      </c>
      <c r="I361" s="9">
        <f>IF(每日收货出货登记!W361&gt;0,每日收货出货登记!S361,"")</f>
        <v/>
      </c>
      <c r="J361" s="9">
        <f>IF(每日收货出货登记!W361&gt;0,每日收货出货登记!AB361,"")</f>
        <v/>
      </c>
    </row>
    <row r="362" ht="22" customHeight="1">
      <c r="A362" s="9">
        <f>IF(每日收货出货登记!W362&gt;0,每日收货出货登记!A362,"")</f>
        <v/>
      </c>
      <c r="B362" s="10">
        <f>IF(每日收货出货登记!W362&gt;0,每日收货出货登记!D362,"")</f>
        <v/>
      </c>
      <c r="C362" s="10">
        <f>IF(每日收货出货登记!W362&gt;0,每日收货出货登记!G362,"")</f>
        <v/>
      </c>
      <c r="D362" s="10">
        <f>IF(每日收货出货登记!W362&gt;0,每日收货出货登记!E362,"")</f>
        <v/>
      </c>
      <c r="E362" s="10">
        <f>IF(每日收货出货登记!W362&gt;0,每日收货出货登记!Q362,"")</f>
        <v/>
      </c>
      <c r="F362" s="10">
        <f>IF(每日收货出货登记!W362&gt;0,每日收货出货登记!V362,"")</f>
        <v/>
      </c>
      <c r="G362" s="10">
        <f>IF(每日收货出货登记!W362&gt;0,每日收货出货登记!W362,"")</f>
        <v/>
      </c>
      <c r="H362" s="10">
        <f>IF(每日收货出货登记!W362&gt;0,每日收货出货登记!R362,"")</f>
        <v/>
      </c>
      <c r="I362" s="9">
        <f>IF(每日收货出货登记!W362&gt;0,每日收货出货登记!S362,"")</f>
        <v/>
      </c>
      <c r="J362" s="9">
        <f>IF(每日收货出货登记!W362&gt;0,每日收货出货登记!AB362,"")</f>
        <v/>
      </c>
    </row>
    <row r="363" ht="22" customHeight="1">
      <c r="A363" s="9">
        <f>IF(每日收货出货登记!W363&gt;0,每日收货出货登记!A363,"")</f>
        <v/>
      </c>
      <c r="B363" s="10">
        <f>IF(每日收货出货登记!W363&gt;0,每日收货出货登记!D363,"")</f>
        <v/>
      </c>
      <c r="C363" s="10">
        <f>IF(每日收货出货登记!W363&gt;0,每日收货出货登记!G363,"")</f>
        <v/>
      </c>
      <c r="D363" s="10">
        <f>IF(每日收货出货登记!W363&gt;0,每日收货出货登记!E363,"")</f>
        <v/>
      </c>
      <c r="E363" s="10">
        <f>IF(每日收货出货登记!W363&gt;0,每日收货出货登记!Q363,"")</f>
        <v/>
      </c>
      <c r="F363" s="10">
        <f>IF(每日收货出货登记!W363&gt;0,每日收货出货登记!V363,"")</f>
        <v/>
      </c>
      <c r="G363" s="10">
        <f>IF(每日收货出货登记!W363&gt;0,每日收货出货登记!W363,"")</f>
        <v/>
      </c>
      <c r="H363" s="10">
        <f>IF(每日收货出货登记!W363&gt;0,每日收货出货登记!R363,"")</f>
        <v/>
      </c>
      <c r="I363" s="9">
        <f>IF(每日收货出货登记!W363&gt;0,每日收货出货登记!S363,"")</f>
        <v/>
      </c>
      <c r="J363" s="9">
        <f>IF(每日收货出货登记!W363&gt;0,每日收货出货登记!AB363,"")</f>
        <v/>
      </c>
    </row>
    <row r="364" ht="22" customHeight="1">
      <c r="A364" s="9">
        <f>IF(每日收货出货登记!W364&gt;0,每日收货出货登记!A364,"")</f>
        <v/>
      </c>
      <c r="B364" s="10">
        <f>IF(每日收货出货登记!W364&gt;0,每日收货出货登记!D364,"")</f>
        <v/>
      </c>
      <c r="C364" s="10">
        <f>IF(每日收货出货登记!W364&gt;0,每日收货出货登记!G364,"")</f>
        <v/>
      </c>
      <c r="D364" s="10">
        <f>IF(每日收货出货登记!W364&gt;0,每日收货出货登记!E364,"")</f>
        <v/>
      </c>
      <c r="E364" s="10">
        <f>IF(每日收货出货登记!W364&gt;0,每日收货出货登记!Q364,"")</f>
        <v/>
      </c>
      <c r="F364" s="10">
        <f>IF(每日收货出货登记!W364&gt;0,每日收货出货登记!V364,"")</f>
        <v/>
      </c>
      <c r="G364" s="10">
        <f>IF(每日收货出货登记!W364&gt;0,每日收货出货登记!W364,"")</f>
        <v/>
      </c>
      <c r="H364" s="10">
        <f>IF(每日收货出货登记!W364&gt;0,每日收货出货登记!R364,"")</f>
        <v/>
      </c>
      <c r="I364" s="9">
        <f>IF(每日收货出货登记!W364&gt;0,每日收货出货登记!S364,"")</f>
        <v/>
      </c>
      <c r="J364" s="9">
        <f>IF(每日收货出货登记!W364&gt;0,每日收货出货登记!AB364,"")</f>
        <v/>
      </c>
    </row>
    <row r="365" ht="22" customHeight="1">
      <c r="A365" s="9">
        <f>IF(每日收货出货登记!W365&gt;0,每日收货出货登记!A365,"")</f>
        <v/>
      </c>
      <c r="B365" s="10">
        <f>IF(每日收货出货登记!W365&gt;0,每日收货出货登记!D365,"")</f>
        <v/>
      </c>
      <c r="C365" s="10">
        <f>IF(每日收货出货登记!W365&gt;0,每日收货出货登记!G365,"")</f>
        <v/>
      </c>
      <c r="D365" s="10">
        <f>IF(每日收货出货登记!W365&gt;0,每日收货出货登记!E365,"")</f>
        <v/>
      </c>
      <c r="E365" s="10">
        <f>IF(每日收货出货登记!W365&gt;0,每日收货出货登记!Q365,"")</f>
        <v/>
      </c>
      <c r="F365" s="10">
        <f>IF(每日收货出货登记!W365&gt;0,每日收货出货登记!V365,"")</f>
        <v/>
      </c>
      <c r="G365" s="10">
        <f>IF(每日收货出货登记!W365&gt;0,每日收货出货登记!W365,"")</f>
        <v/>
      </c>
      <c r="H365" s="10">
        <f>IF(每日收货出货登记!W365&gt;0,每日收货出货登记!R365,"")</f>
        <v/>
      </c>
      <c r="I365" s="9">
        <f>IF(每日收货出货登记!W365&gt;0,每日收货出货登记!S365,"")</f>
        <v/>
      </c>
      <c r="J365" s="9">
        <f>IF(每日收货出货登记!W365&gt;0,每日收货出货登记!AB365,"")</f>
        <v/>
      </c>
    </row>
    <row r="366" ht="22" customHeight="1">
      <c r="A366" s="9">
        <f>IF(每日收货出货登记!W366&gt;0,每日收货出货登记!A366,"")</f>
        <v/>
      </c>
      <c r="B366" s="10">
        <f>IF(每日收货出货登记!W366&gt;0,每日收货出货登记!D366,"")</f>
        <v/>
      </c>
      <c r="C366" s="10">
        <f>IF(每日收货出货登记!W366&gt;0,每日收货出货登记!G366,"")</f>
        <v/>
      </c>
      <c r="D366" s="10">
        <f>IF(每日收货出货登记!W366&gt;0,每日收货出货登记!E366,"")</f>
        <v/>
      </c>
      <c r="E366" s="10">
        <f>IF(每日收货出货登记!W366&gt;0,每日收货出货登记!Q366,"")</f>
        <v/>
      </c>
      <c r="F366" s="10">
        <f>IF(每日收货出货登记!W366&gt;0,每日收货出货登记!V366,"")</f>
        <v/>
      </c>
      <c r="G366" s="10">
        <f>IF(每日收货出货登记!W366&gt;0,每日收货出货登记!W366,"")</f>
        <v/>
      </c>
      <c r="H366" s="10">
        <f>IF(每日收货出货登记!W366&gt;0,每日收货出货登记!R366,"")</f>
        <v/>
      </c>
      <c r="I366" s="9">
        <f>IF(每日收货出货登记!W366&gt;0,每日收货出货登记!S366,"")</f>
        <v/>
      </c>
      <c r="J366" s="9">
        <f>IF(每日收货出货登记!W366&gt;0,每日收货出货登记!AB366,"")</f>
        <v/>
      </c>
    </row>
    <row r="367" ht="22" customHeight="1">
      <c r="A367" s="9">
        <f>IF(每日收货出货登记!W367&gt;0,每日收货出货登记!A367,"")</f>
        <v/>
      </c>
      <c r="B367" s="10">
        <f>IF(每日收货出货登记!W367&gt;0,每日收货出货登记!D367,"")</f>
        <v/>
      </c>
      <c r="C367" s="10">
        <f>IF(每日收货出货登记!W367&gt;0,每日收货出货登记!G367,"")</f>
        <v/>
      </c>
      <c r="D367" s="10">
        <f>IF(每日收货出货登记!W367&gt;0,每日收货出货登记!E367,"")</f>
        <v/>
      </c>
      <c r="E367" s="10">
        <f>IF(每日收货出货登记!W367&gt;0,每日收货出货登记!Q367,"")</f>
        <v/>
      </c>
      <c r="F367" s="10">
        <f>IF(每日收货出货登记!W367&gt;0,每日收货出货登记!V367,"")</f>
        <v/>
      </c>
      <c r="G367" s="10">
        <f>IF(每日收货出货登记!W367&gt;0,每日收货出货登记!W367,"")</f>
        <v/>
      </c>
      <c r="H367" s="10">
        <f>IF(每日收货出货登记!W367&gt;0,每日收货出货登记!R367,"")</f>
        <v/>
      </c>
      <c r="I367" s="9">
        <f>IF(每日收货出货登记!W367&gt;0,每日收货出货登记!S367,"")</f>
        <v/>
      </c>
      <c r="J367" s="9">
        <f>IF(每日收货出货登记!W367&gt;0,每日收货出货登记!AB367,"")</f>
        <v/>
      </c>
    </row>
    <row r="368" ht="22" customHeight="1">
      <c r="A368" s="9">
        <f>IF(每日收货出货登记!W368&gt;0,每日收货出货登记!A368,"")</f>
        <v/>
      </c>
      <c r="B368" s="10">
        <f>IF(每日收货出货登记!W368&gt;0,每日收货出货登记!D368,"")</f>
        <v/>
      </c>
      <c r="C368" s="10">
        <f>IF(每日收货出货登记!W368&gt;0,每日收货出货登记!G368,"")</f>
        <v/>
      </c>
      <c r="D368" s="10">
        <f>IF(每日收货出货登记!W368&gt;0,每日收货出货登记!E368,"")</f>
        <v/>
      </c>
      <c r="E368" s="10">
        <f>IF(每日收货出货登记!W368&gt;0,每日收货出货登记!Q368,"")</f>
        <v/>
      </c>
      <c r="F368" s="10">
        <f>IF(每日收货出货登记!W368&gt;0,每日收货出货登记!V368,"")</f>
        <v/>
      </c>
      <c r="G368" s="10">
        <f>IF(每日收货出货登记!W368&gt;0,每日收货出货登记!W368,"")</f>
        <v/>
      </c>
      <c r="H368" s="10">
        <f>IF(每日收货出货登记!W368&gt;0,每日收货出货登记!R368,"")</f>
        <v/>
      </c>
      <c r="I368" s="9">
        <f>IF(每日收货出货登记!W368&gt;0,每日收货出货登记!S368,"")</f>
        <v/>
      </c>
      <c r="J368" s="9">
        <f>IF(每日收货出货登记!W368&gt;0,每日收货出货登记!AB368,"")</f>
        <v/>
      </c>
    </row>
    <row r="369" ht="22" customHeight="1">
      <c r="A369" s="9">
        <f>IF(每日收货出货登记!W369&gt;0,每日收货出货登记!A369,"")</f>
        <v/>
      </c>
      <c r="B369" s="10">
        <f>IF(每日收货出货登记!W369&gt;0,每日收货出货登记!D369,"")</f>
        <v/>
      </c>
      <c r="C369" s="10">
        <f>IF(每日收货出货登记!W369&gt;0,每日收货出货登记!G369,"")</f>
        <v/>
      </c>
      <c r="D369" s="10">
        <f>IF(每日收货出货登记!W369&gt;0,每日收货出货登记!E369,"")</f>
        <v/>
      </c>
      <c r="E369" s="10">
        <f>IF(每日收货出货登记!W369&gt;0,每日收货出货登记!Q369,"")</f>
        <v/>
      </c>
      <c r="F369" s="10">
        <f>IF(每日收货出货登记!W369&gt;0,每日收货出货登记!V369,"")</f>
        <v/>
      </c>
      <c r="G369" s="10">
        <f>IF(每日收货出货登记!W369&gt;0,每日收货出货登记!W369,"")</f>
        <v/>
      </c>
      <c r="H369" s="10">
        <f>IF(每日收货出货登记!W369&gt;0,每日收货出货登记!R369,"")</f>
        <v/>
      </c>
      <c r="I369" s="9">
        <f>IF(每日收货出货登记!W369&gt;0,每日收货出货登记!S369,"")</f>
        <v/>
      </c>
      <c r="J369" s="9">
        <f>IF(每日收货出货登记!W369&gt;0,每日收货出货登记!AB369,"")</f>
        <v/>
      </c>
    </row>
    <row r="370" ht="22" customHeight="1">
      <c r="A370" s="9">
        <f>IF(每日收货出货登记!W370&gt;0,每日收货出货登记!A370,"")</f>
        <v/>
      </c>
      <c r="B370" s="10">
        <f>IF(每日收货出货登记!W370&gt;0,每日收货出货登记!D370,"")</f>
        <v/>
      </c>
      <c r="C370" s="10">
        <f>IF(每日收货出货登记!W370&gt;0,每日收货出货登记!G370,"")</f>
        <v/>
      </c>
      <c r="D370" s="10">
        <f>IF(每日收货出货登记!W370&gt;0,每日收货出货登记!E370,"")</f>
        <v/>
      </c>
      <c r="E370" s="10">
        <f>IF(每日收货出货登记!W370&gt;0,每日收货出货登记!Q370,"")</f>
        <v/>
      </c>
      <c r="F370" s="10">
        <f>IF(每日收货出货登记!W370&gt;0,每日收货出货登记!V370,"")</f>
        <v/>
      </c>
      <c r="G370" s="10">
        <f>IF(每日收货出货登记!W370&gt;0,每日收货出货登记!W370,"")</f>
        <v/>
      </c>
      <c r="H370" s="10">
        <f>IF(每日收货出货登记!W370&gt;0,每日收货出货登记!R370,"")</f>
        <v/>
      </c>
      <c r="I370" s="9">
        <f>IF(每日收货出货登记!W370&gt;0,每日收货出货登记!S370,"")</f>
        <v/>
      </c>
      <c r="J370" s="9">
        <f>IF(每日收货出货登记!W370&gt;0,每日收货出货登记!AB370,"")</f>
        <v/>
      </c>
    </row>
    <row r="371" ht="22" customHeight="1">
      <c r="A371" s="9">
        <f>IF(每日收货出货登记!W371&gt;0,每日收货出货登记!A371,"")</f>
        <v/>
      </c>
      <c r="B371" s="10">
        <f>IF(每日收货出货登记!W371&gt;0,每日收货出货登记!D371,"")</f>
        <v/>
      </c>
      <c r="C371" s="10">
        <f>IF(每日收货出货登记!W371&gt;0,每日收货出货登记!G371,"")</f>
        <v/>
      </c>
      <c r="D371" s="10">
        <f>IF(每日收货出货登记!W371&gt;0,每日收货出货登记!E371,"")</f>
        <v/>
      </c>
      <c r="E371" s="10">
        <f>IF(每日收货出货登记!W371&gt;0,每日收货出货登记!Q371,"")</f>
        <v/>
      </c>
      <c r="F371" s="10">
        <f>IF(每日收货出货登记!W371&gt;0,每日收货出货登记!V371,"")</f>
        <v/>
      </c>
      <c r="G371" s="10">
        <f>IF(每日收货出货登记!W371&gt;0,每日收货出货登记!W371,"")</f>
        <v/>
      </c>
      <c r="H371" s="10">
        <f>IF(每日收货出货登记!W371&gt;0,每日收货出货登记!R371,"")</f>
        <v/>
      </c>
      <c r="I371" s="9">
        <f>IF(每日收货出货登记!W371&gt;0,每日收货出货登记!S371,"")</f>
        <v/>
      </c>
      <c r="J371" s="9">
        <f>IF(每日收货出货登记!W371&gt;0,每日收货出货登记!AB371,"")</f>
        <v/>
      </c>
    </row>
    <row r="372" ht="22" customHeight="1">
      <c r="A372" s="9">
        <f>IF(每日收货出货登记!W372&gt;0,每日收货出货登记!A372,"")</f>
        <v/>
      </c>
      <c r="B372" s="10">
        <f>IF(每日收货出货登记!W372&gt;0,每日收货出货登记!D372,"")</f>
        <v/>
      </c>
      <c r="C372" s="10">
        <f>IF(每日收货出货登记!W372&gt;0,每日收货出货登记!G372,"")</f>
        <v/>
      </c>
      <c r="D372" s="10">
        <f>IF(每日收货出货登记!W372&gt;0,每日收货出货登记!E372,"")</f>
        <v/>
      </c>
      <c r="E372" s="10">
        <f>IF(每日收货出货登记!W372&gt;0,每日收货出货登记!Q372,"")</f>
        <v/>
      </c>
      <c r="F372" s="10">
        <f>IF(每日收货出货登记!W372&gt;0,每日收货出货登记!V372,"")</f>
        <v/>
      </c>
      <c r="G372" s="10">
        <f>IF(每日收货出货登记!W372&gt;0,每日收货出货登记!W372,"")</f>
        <v/>
      </c>
      <c r="H372" s="10">
        <f>IF(每日收货出货登记!W372&gt;0,每日收货出货登记!R372,"")</f>
        <v/>
      </c>
      <c r="I372" s="9">
        <f>IF(每日收货出货登记!W372&gt;0,每日收货出货登记!S372,"")</f>
        <v/>
      </c>
      <c r="J372" s="9">
        <f>IF(每日收货出货登记!W372&gt;0,每日收货出货登记!AB372,"")</f>
        <v/>
      </c>
    </row>
    <row r="373" ht="22" customHeight="1">
      <c r="A373" s="9">
        <f>IF(每日收货出货登记!W373&gt;0,每日收货出货登记!A373,"")</f>
        <v/>
      </c>
      <c r="B373" s="10">
        <f>IF(每日收货出货登记!W373&gt;0,每日收货出货登记!D373,"")</f>
        <v/>
      </c>
      <c r="C373" s="10">
        <f>IF(每日收货出货登记!W373&gt;0,每日收货出货登记!G373,"")</f>
        <v/>
      </c>
      <c r="D373" s="10">
        <f>IF(每日收货出货登记!W373&gt;0,每日收货出货登记!E373,"")</f>
        <v/>
      </c>
      <c r="E373" s="10">
        <f>IF(每日收货出货登记!W373&gt;0,每日收货出货登记!Q373,"")</f>
        <v/>
      </c>
      <c r="F373" s="10">
        <f>IF(每日收货出货登记!W373&gt;0,每日收货出货登记!V373,"")</f>
        <v/>
      </c>
      <c r="G373" s="10">
        <f>IF(每日收货出货登记!W373&gt;0,每日收货出货登记!W373,"")</f>
        <v/>
      </c>
      <c r="H373" s="10">
        <f>IF(每日收货出货登记!W373&gt;0,每日收货出货登记!R373,"")</f>
        <v/>
      </c>
      <c r="I373" s="9">
        <f>IF(每日收货出货登记!W373&gt;0,每日收货出货登记!S373,"")</f>
        <v/>
      </c>
      <c r="J373" s="9">
        <f>IF(每日收货出货登记!W373&gt;0,每日收货出货登记!AB373,"")</f>
        <v/>
      </c>
    </row>
    <row r="374" ht="22" customHeight="1">
      <c r="A374" s="9">
        <f>IF(每日收货出货登记!W374&gt;0,每日收货出货登记!A374,"")</f>
        <v/>
      </c>
      <c r="B374" s="10">
        <f>IF(每日收货出货登记!W374&gt;0,每日收货出货登记!D374,"")</f>
        <v/>
      </c>
      <c r="C374" s="10">
        <f>IF(每日收货出货登记!W374&gt;0,每日收货出货登记!G374,"")</f>
        <v/>
      </c>
      <c r="D374" s="10">
        <f>IF(每日收货出货登记!W374&gt;0,每日收货出货登记!E374,"")</f>
        <v/>
      </c>
      <c r="E374" s="10">
        <f>IF(每日收货出货登记!W374&gt;0,每日收货出货登记!Q374,"")</f>
        <v/>
      </c>
      <c r="F374" s="10">
        <f>IF(每日收货出货登记!W374&gt;0,每日收货出货登记!V374,"")</f>
        <v/>
      </c>
      <c r="G374" s="10">
        <f>IF(每日收货出货登记!W374&gt;0,每日收货出货登记!W374,"")</f>
        <v/>
      </c>
      <c r="H374" s="10">
        <f>IF(每日收货出货登记!W374&gt;0,每日收货出货登记!R374,"")</f>
        <v/>
      </c>
      <c r="I374" s="9">
        <f>IF(每日收货出货登记!W374&gt;0,每日收货出货登记!S374,"")</f>
        <v/>
      </c>
      <c r="J374" s="9">
        <f>IF(每日收货出货登记!W374&gt;0,每日收货出货登记!AB374,"")</f>
        <v/>
      </c>
    </row>
    <row r="375" ht="22" customHeight="1">
      <c r="A375" s="9">
        <f>IF(每日收货出货登记!W375&gt;0,每日收货出货登记!A375,"")</f>
        <v/>
      </c>
      <c r="B375" s="10">
        <f>IF(每日收货出货登记!W375&gt;0,每日收货出货登记!D375,"")</f>
        <v/>
      </c>
      <c r="C375" s="10">
        <f>IF(每日收货出货登记!W375&gt;0,每日收货出货登记!G375,"")</f>
        <v/>
      </c>
      <c r="D375" s="10">
        <f>IF(每日收货出货登记!W375&gt;0,每日收货出货登记!E375,"")</f>
        <v/>
      </c>
      <c r="E375" s="10">
        <f>IF(每日收货出货登记!W375&gt;0,每日收货出货登记!Q375,"")</f>
        <v/>
      </c>
      <c r="F375" s="10">
        <f>IF(每日收货出货登记!W375&gt;0,每日收货出货登记!V375,"")</f>
        <v/>
      </c>
      <c r="G375" s="10">
        <f>IF(每日收货出货登记!W375&gt;0,每日收货出货登记!W375,"")</f>
        <v/>
      </c>
      <c r="H375" s="10">
        <f>IF(每日收货出货登记!W375&gt;0,每日收货出货登记!R375,"")</f>
        <v/>
      </c>
      <c r="I375" s="9">
        <f>IF(每日收货出货登记!W375&gt;0,每日收货出货登记!S375,"")</f>
        <v/>
      </c>
      <c r="J375" s="9">
        <f>IF(每日收货出货登记!W375&gt;0,每日收货出货登记!AB375,"")</f>
        <v/>
      </c>
    </row>
    <row r="376" ht="22" customHeight="1">
      <c r="A376" s="9">
        <f>IF(每日收货出货登记!W376&gt;0,每日收货出货登记!A376,"")</f>
        <v/>
      </c>
      <c r="B376" s="10">
        <f>IF(每日收货出货登记!W376&gt;0,每日收货出货登记!D376,"")</f>
        <v/>
      </c>
      <c r="C376" s="10">
        <f>IF(每日收货出货登记!W376&gt;0,每日收货出货登记!G376,"")</f>
        <v/>
      </c>
      <c r="D376" s="10">
        <f>IF(每日收货出货登记!W376&gt;0,每日收货出货登记!E376,"")</f>
        <v/>
      </c>
      <c r="E376" s="10">
        <f>IF(每日收货出货登记!W376&gt;0,每日收货出货登记!Q376,"")</f>
        <v/>
      </c>
      <c r="F376" s="10">
        <f>IF(每日收货出货登记!W376&gt;0,每日收货出货登记!V376,"")</f>
        <v/>
      </c>
      <c r="G376" s="10">
        <f>IF(每日收货出货登记!W376&gt;0,每日收货出货登记!W376,"")</f>
        <v/>
      </c>
      <c r="H376" s="10">
        <f>IF(每日收货出货登记!W376&gt;0,每日收货出货登记!R376,"")</f>
        <v/>
      </c>
      <c r="I376" s="9">
        <f>IF(每日收货出货登记!W376&gt;0,每日收货出货登记!S376,"")</f>
        <v/>
      </c>
      <c r="J376" s="9">
        <f>IF(每日收货出货登记!W376&gt;0,每日收货出货登记!AB376,"")</f>
        <v/>
      </c>
    </row>
    <row r="377" ht="22" customHeight="1">
      <c r="A377" s="9">
        <f>IF(每日收货出货登记!W377&gt;0,每日收货出货登记!A377,"")</f>
        <v/>
      </c>
      <c r="B377" s="10">
        <f>IF(每日收货出货登记!W377&gt;0,每日收货出货登记!D377,"")</f>
        <v/>
      </c>
      <c r="C377" s="10">
        <f>IF(每日收货出货登记!W377&gt;0,每日收货出货登记!G377,"")</f>
        <v/>
      </c>
      <c r="D377" s="10">
        <f>IF(每日收货出货登记!W377&gt;0,每日收货出货登记!E377,"")</f>
        <v/>
      </c>
      <c r="E377" s="10">
        <f>IF(每日收货出货登记!W377&gt;0,每日收货出货登记!Q377,"")</f>
        <v/>
      </c>
      <c r="F377" s="10">
        <f>IF(每日收货出货登记!W377&gt;0,每日收货出货登记!V377,"")</f>
        <v/>
      </c>
      <c r="G377" s="10">
        <f>IF(每日收货出货登记!W377&gt;0,每日收货出货登记!W377,"")</f>
        <v/>
      </c>
      <c r="H377" s="10">
        <f>IF(每日收货出货登记!W377&gt;0,每日收货出货登记!R377,"")</f>
        <v/>
      </c>
      <c r="I377" s="9">
        <f>IF(每日收货出货登记!W377&gt;0,每日收货出货登记!S377,"")</f>
        <v/>
      </c>
      <c r="J377" s="9">
        <f>IF(每日收货出货登记!W377&gt;0,每日收货出货登记!AB377,"")</f>
        <v/>
      </c>
    </row>
    <row r="378" ht="22" customHeight="1">
      <c r="A378" s="9">
        <f>IF(每日收货出货登记!W378&gt;0,每日收货出货登记!A378,"")</f>
        <v/>
      </c>
      <c r="B378" s="10">
        <f>IF(每日收货出货登记!W378&gt;0,每日收货出货登记!D378,"")</f>
        <v/>
      </c>
      <c r="C378" s="10">
        <f>IF(每日收货出货登记!W378&gt;0,每日收货出货登记!G378,"")</f>
        <v/>
      </c>
      <c r="D378" s="10">
        <f>IF(每日收货出货登记!W378&gt;0,每日收货出货登记!E378,"")</f>
        <v/>
      </c>
      <c r="E378" s="10">
        <f>IF(每日收货出货登记!W378&gt;0,每日收货出货登记!Q378,"")</f>
        <v/>
      </c>
      <c r="F378" s="10">
        <f>IF(每日收货出货登记!W378&gt;0,每日收货出货登记!V378,"")</f>
        <v/>
      </c>
      <c r="G378" s="10">
        <f>IF(每日收货出货登记!W378&gt;0,每日收货出货登记!W378,"")</f>
        <v/>
      </c>
      <c r="H378" s="10">
        <f>IF(每日收货出货登记!W378&gt;0,每日收货出货登记!R378,"")</f>
        <v/>
      </c>
      <c r="I378" s="9">
        <f>IF(每日收货出货登记!W378&gt;0,每日收货出货登记!S378,"")</f>
        <v/>
      </c>
      <c r="J378" s="9">
        <f>IF(每日收货出货登记!W378&gt;0,每日收货出货登记!AB378,"")</f>
        <v/>
      </c>
    </row>
    <row r="379" ht="22" customHeight="1">
      <c r="A379" s="9">
        <f>IF(每日收货出货登记!W379&gt;0,每日收货出货登记!A379,"")</f>
        <v/>
      </c>
      <c r="B379" s="10">
        <f>IF(每日收货出货登记!W379&gt;0,每日收货出货登记!D379,"")</f>
        <v/>
      </c>
      <c r="C379" s="10">
        <f>IF(每日收货出货登记!W379&gt;0,每日收货出货登记!G379,"")</f>
        <v/>
      </c>
      <c r="D379" s="10">
        <f>IF(每日收货出货登记!W379&gt;0,每日收货出货登记!E379,"")</f>
        <v/>
      </c>
      <c r="E379" s="10">
        <f>IF(每日收货出货登记!W379&gt;0,每日收货出货登记!Q379,"")</f>
        <v/>
      </c>
      <c r="F379" s="10">
        <f>IF(每日收货出货登记!W379&gt;0,每日收货出货登记!V379,"")</f>
        <v/>
      </c>
      <c r="G379" s="10">
        <f>IF(每日收货出货登记!W379&gt;0,每日收货出货登记!W379,"")</f>
        <v/>
      </c>
      <c r="H379" s="10">
        <f>IF(每日收货出货登记!W379&gt;0,每日收货出货登记!R379,"")</f>
        <v/>
      </c>
      <c r="I379" s="9">
        <f>IF(每日收货出货登记!W379&gt;0,每日收货出货登记!S379,"")</f>
        <v/>
      </c>
      <c r="J379" s="9">
        <f>IF(每日收货出货登记!W379&gt;0,每日收货出货登记!AB379,"")</f>
        <v/>
      </c>
    </row>
    <row r="380" ht="22" customHeight="1">
      <c r="A380" s="9">
        <f>IF(每日收货出货登记!W380&gt;0,每日收货出货登记!A380,"")</f>
        <v/>
      </c>
      <c r="B380" s="10">
        <f>IF(每日收货出货登记!W380&gt;0,每日收货出货登记!D380,"")</f>
        <v/>
      </c>
      <c r="C380" s="10">
        <f>IF(每日收货出货登记!W380&gt;0,每日收货出货登记!G380,"")</f>
        <v/>
      </c>
      <c r="D380" s="10">
        <f>IF(每日收货出货登记!W380&gt;0,每日收货出货登记!E380,"")</f>
        <v/>
      </c>
      <c r="E380" s="10">
        <f>IF(每日收货出货登记!W380&gt;0,每日收货出货登记!Q380,"")</f>
        <v/>
      </c>
      <c r="F380" s="10">
        <f>IF(每日收货出货登记!W380&gt;0,每日收货出货登记!V380,"")</f>
        <v/>
      </c>
      <c r="G380" s="10">
        <f>IF(每日收货出货登记!W380&gt;0,每日收货出货登记!W380,"")</f>
        <v/>
      </c>
      <c r="H380" s="10">
        <f>IF(每日收货出货登记!W380&gt;0,每日收货出货登记!R380,"")</f>
        <v/>
      </c>
      <c r="I380" s="9">
        <f>IF(每日收货出货登记!W380&gt;0,每日收货出货登记!S380,"")</f>
        <v/>
      </c>
      <c r="J380" s="9">
        <f>IF(每日收货出货登记!W380&gt;0,每日收货出货登记!AB380,"")</f>
        <v/>
      </c>
    </row>
    <row r="381" ht="22" customHeight="1">
      <c r="A381" s="9">
        <f>IF(每日收货出货登记!W381&gt;0,每日收货出货登记!A381,"")</f>
        <v/>
      </c>
      <c r="B381" s="10">
        <f>IF(每日收货出货登记!W381&gt;0,每日收货出货登记!D381,"")</f>
        <v/>
      </c>
      <c r="C381" s="10">
        <f>IF(每日收货出货登记!W381&gt;0,每日收货出货登记!G381,"")</f>
        <v/>
      </c>
      <c r="D381" s="10">
        <f>IF(每日收货出货登记!W381&gt;0,每日收货出货登记!E381,"")</f>
        <v/>
      </c>
      <c r="E381" s="10">
        <f>IF(每日收货出货登记!W381&gt;0,每日收货出货登记!Q381,"")</f>
        <v/>
      </c>
      <c r="F381" s="10">
        <f>IF(每日收货出货登记!W381&gt;0,每日收货出货登记!V381,"")</f>
        <v/>
      </c>
      <c r="G381" s="10">
        <f>IF(每日收货出货登记!W381&gt;0,每日收货出货登记!W381,"")</f>
        <v/>
      </c>
      <c r="H381" s="10">
        <f>IF(每日收货出货登记!W381&gt;0,每日收货出货登记!R381,"")</f>
        <v/>
      </c>
      <c r="I381" s="9">
        <f>IF(每日收货出货登记!W381&gt;0,每日收货出货登记!S381,"")</f>
        <v/>
      </c>
      <c r="J381" s="9">
        <f>IF(每日收货出货登记!W381&gt;0,每日收货出货登记!AB381,"")</f>
        <v/>
      </c>
    </row>
    <row r="382" ht="22" customHeight="1">
      <c r="A382" s="9">
        <f>IF(每日收货出货登记!W382&gt;0,每日收货出货登记!A382,"")</f>
        <v/>
      </c>
      <c r="B382" s="10">
        <f>IF(每日收货出货登记!W382&gt;0,每日收货出货登记!D382,"")</f>
        <v/>
      </c>
      <c r="C382" s="10">
        <f>IF(每日收货出货登记!W382&gt;0,每日收货出货登记!G382,"")</f>
        <v/>
      </c>
      <c r="D382" s="10">
        <f>IF(每日收货出货登记!W382&gt;0,每日收货出货登记!E382,"")</f>
        <v/>
      </c>
      <c r="E382" s="10">
        <f>IF(每日收货出货登记!W382&gt;0,每日收货出货登记!Q382,"")</f>
        <v/>
      </c>
      <c r="F382" s="10">
        <f>IF(每日收货出货登记!W382&gt;0,每日收货出货登记!V382,"")</f>
        <v/>
      </c>
      <c r="G382" s="10">
        <f>IF(每日收货出货登记!W382&gt;0,每日收货出货登记!W382,"")</f>
        <v/>
      </c>
      <c r="H382" s="10">
        <f>IF(每日收货出货登记!W382&gt;0,每日收货出货登记!R382,"")</f>
        <v/>
      </c>
      <c r="I382" s="9">
        <f>IF(每日收货出货登记!W382&gt;0,每日收货出货登记!S382,"")</f>
        <v/>
      </c>
      <c r="J382" s="9">
        <f>IF(每日收货出货登记!W382&gt;0,每日收货出货登记!AB382,"")</f>
        <v/>
      </c>
    </row>
    <row r="383" ht="22" customHeight="1">
      <c r="A383" s="9">
        <f>IF(每日收货出货登记!W383&gt;0,每日收货出货登记!A383,"")</f>
        <v/>
      </c>
      <c r="B383" s="10">
        <f>IF(每日收货出货登记!W383&gt;0,每日收货出货登记!D383,"")</f>
        <v/>
      </c>
      <c r="C383" s="10">
        <f>IF(每日收货出货登记!W383&gt;0,每日收货出货登记!G383,"")</f>
        <v/>
      </c>
      <c r="D383" s="10">
        <f>IF(每日收货出货登记!W383&gt;0,每日收货出货登记!E383,"")</f>
        <v/>
      </c>
      <c r="E383" s="10">
        <f>IF(每日收货出货登记!W383&gt;0,每日收货出货登记!Q383,"")</f>
        <v/>
      </c>
      <c r="F383" s="10">
        <f>IF(每日收货出货登记!W383&gt;0,每日收货出货登记!V383,"")</f>
        <v/>
      </c>
      <c r="G383" s="10">
        <f>IF(每日收货出货登记!W383&gt;0,每日收货出货登记!W383,"")</f>
        <v/>
      </c>
      <c r="H383" s="10">
        <f>IF(每日收货出货登记!W383&gt;0,每日收货出货登记!R383,"")</f>
        <v/>
      </c>
      <c r="I383" s="9">
        <f>IF(每日收货出货登记!W383&gt;0,每日收货出货登记!S383,"")</f>
        <v/>
      </c>
      <c r="J383" s="9">
        <f>IF(每日收货出货登记!W383&gt;0,每日收货出货登记!AB383,"")</f>
        <v/>
      </c>
    </row>
    <row r="384" ht="22" customHeight="1">
      <c r="A384" s="9">
        <f>IF(每日收货出货登记!W384&gt;0,每日收货出货登记!A384,"")</f>
        <v/>
      </c>
      <c r="B384" s="10">
        <f>IF(每日收货出货登记!W384&gt;0,每日收货出货登记!D384,"")</f>
        <v/>
      </c>
      <c r="C384" s="10">
        <f>IF(每日收货出货登记!W384&gt;0,每日收货出货登记!G384,"")</f>
        <v/>
      </c>
      <c r="D384" s="10">
        <f>IF(每日收货出货登记!W384&gt;0,每日收货出货登记!E384,"")</f>
        <v/>
      </c>
      <c r="E384" s="10">
        <f>IF(每日收货出货登记!W384&gt;0,每日收货出货登记!Q384,"")</f>
        <v/>
      </c>
      <c r="F384" s="10">
        <f>IF(每日收货出货登记!W384&gt;0,每日收货出货登记!V384,"")</f>
        <v/>
      </c>
      <c r="G384" s="10">
        <f>IF(每日收货出货登记!W384&gt;0,每日收货出货登记!W384,"")</f>
        <v/>
      </c>
      <c r="H384" s="10">
        <f>IF(每日收货出货登记!W384&gt;0,每日收货出货登记!R384,"")</f>
        <v/>
      </c>
      <c r="I384" s="9">
        <f>IF(每日收货出货登记!W384&gt;0,每日收货出货登记!S384,"")</f>
        <v/>
      </c>
      <c r="J384" s="9">
        <f>IF(每日收货出货登记!W384&gt;0,每日收货出货登记!AB384,"")</f>
        <v/>
      </c>
    </row>
    <row r="385" ht="22" customHeight="1">
      <c r="A385" s="9">
        <f>IF(每日收货出货登记!W385&gt;0,每日收货出货登记!A385,"")</f>
        <v/>
      </c>
      <c r="B385" s="10">
        <f>IF(每日收货出货登记!W385&gt;0,每日收货出货登记!D385,"")</f>
        <v/>
      </c>
      <c r="C385" s="10">
        <f>IF(每日收货出货登记!W385&gt;0,每日收货出货登记!G385,"")</f>
        <v/>
      </c>
      <c r="D385" s="10">
        <f>IF(每日收货出货登记!W385&gt;0,每日收货出货登记!E385,"")</f>
        <v/>
      </c>
      <c r="E385" s="10">
        <f>IF(每日收货出货登记!W385&gt;0,每日收货出货登记!Q385,"")</f>
        <v/>
      </c>
      <c r="F385" s="10">
        <f>IF(每日收货出货登记!W385&gt;0,每日收货出货登记!V385,"")</f>
        <v/>
      </c>
      <c r="G385" s="10">
        <f>IF(每日收货出货登记!W385&gt;0,每日收货出货登记!W385,"")</f>
        <v/>
      </c>
      <c r="H385" s="10">
        <f>IF(每日收货出货登记!W385&gt;0,每日收货出货登记!R385,"")</f>
        <v/>
      </c>
      <c r="I385" s="9">
        <f>IF(每日收货出货登记!W385&gt;0,每日收货出货登记!S385,"")</f>
        <v/>
      </c>
      <c r="J385" s="9">
        <f>IF(每日收货出货登记!W385&gt;0,每日收货出货登记!AB385,"")</f>
        <v/>
      </c>
    </row>
    <row r="386" ht="22" customHeight="1">
      <c r="A386" s="9">
        <f>IF(每日收货出货登记!W386&gt;0,每日收货出货登记!A386,"")</f>
        <v/>
      </c>
      <c r="B386" s="10">
        <f>IF(每日收货出货登记!W386&gt;0,每日收货出货登记!D386,"")</f>
        <v/>
      </c>
      <c r="C386" s="10">
        <f>IF(每日收货出货登记!W386&gt;0,每日收货出货登记!G386,"")</f>
        <v/>
      </c>
      <c r="D386" s="10">
        <f>IF(每日收货出货登记!W386&gt;0,每日收货出货登记!E386,"")</f>
        <v/>
      </c>
      <c r="E386" s="10">
        <f>IF(每日收货出货登记!W386&gt;0,每日收货出货登记!Q386,"")</f>
        <v/>
      </c>
      <c r="F386" s="10">
        <f>IF(每日收货出货登记!W386&gt;0,每日收货出货登记!V386,"")</f>
        <v/>
      </c>
      <c r="G386" s="10">
        <f>IF(每日收货出货登记!W386&gt;0,每日收货出货登记!W386,"")</f>
        <v/>
      </c>
      <c r="H386" s="10">
        <f>IF(每日收货出货登记!W386&gt;0,每日收货出货登记!R386,"")</f>
        <v/>
      </c>
      <c r="I386" s="9">
        <f>IF(每日收货出货登记!W386&gt;0,每日收货出货登记!S386,"")</f>
        <v/>
      </c>
      <c r="J386" s="9">
        <f>IF(每日收货出货登记!W386&gt;0,每日收货出货登记!AB386,"")</f>
        <v/>
      </c>
    </row>
    <row r="387" ht="22" customHeight="1">
      <c r="A387" s="9">
        <f>IF(每日收货出货登记!W387&gt;0,每日收货出货登记!A387,"")</f>
        <v/>
      </c>
      <c r="B387" s="10">
        <f>IF(每日收货出货登记!W387&gt;0,每日收货出货登记!D387,"")</f>
        <v/>
      </c>
      <c r="C387" s="10">
        <f>IF(每日收货出货登记!W387&gt;0,每日收货出货登记!G387,"")</f>
        <v/>
      </c>
      <c r="D387" s="10">
        <f>IF(每日收货出货登记!W387&gt;0,每日收货出货登记!E387,"")</f>
        <v/>
      </c>
      <c r="E387" s="10">
        <f>IF(每日收货出货登记!W387&gt;0,每日收货出货登记!Q387,"")</f>
        <v/>
      </c>
      <c r="F387" s="10">
        <f>IF(每日收货出货登记!W387&gt;0,每日收货出货登记!V387,"")</f>
        <v/>
      </c>
      <c r="G387" s="10">
        <f>IF(每日收货出货登记!W387&gt;0,每日收货出货登记!W387,"")</f>
        <v/>
      </c>
      <c r="H387" s="10">
        <f>IF(每日收货出货登记!W387&gt;0,每日收货出货登记!R387,"")</f>
        <v/>
      </c>
      <c r="I387" s="9">
        <f>IF(每日收货出货登记!W387&gt;0,每日收货出货登记!S387,"")</f>
        <v/>
      </c>
      <c r="J387" s="9">
        <f>IF(每日收货出货登记!W387&gt;0,每日收货出货登记!AB387,"")</f>
        <v/>
      </c>
    </row>
    <row r="388" ht="22" customHeight="1">
      <c r="A388" s="9">
        <f>IF(每日收货出货登记!W388&gt;0,每日收货出货登记!A388,"")</f>
        <v/>
      </c>
      <c r="B388" s="10">
        <f>IF(每日收货出货登记!W388&gt;0,每日收货出货登记!D388,"")</f>
        <v/>
      </c>
      <c r="C388" s="10">
        <f>IF(每日收货出货登记!W388&gt;0,每日收货出货登记!G388,"")</f>
        <v/>
      </c>
      <c r="D388" s="10">
        <f>IF(每日收货出货登记!W388&gt;0,每日收货出货登记!E388,"")</f>
        <v/>
      </c>
      <c r="E388" s="10">
        <f>IF(每日收货出货登记!W388&gt;0,每日收货出货登记!Q388,"")</f>
        <v/>
      </c>
      <c r="F388" s="10">
        <f>IF(每日收货出货登记!W388&gt;0,每日收货出货登记!V388,"")</f>
        <v/>
      </c>
      <c r="G388" s="10">
        <f>IF(每日收货出货登记!W388&gt;0,每日收货出货登记!W388,"")</f>
        <v/>
      </c>
      <c r="H388" s="10">
        <f>IF(每日收货出货登记!W388&gt;0,每日收货出货登记!R388,"")</f>
        <v/>
      </c>
      <c r="I388" s="9">
        <f>IF(每日收货出货登记!W388&gt;0,每日收货出货登记!S388,"")</f>
        <v/>
      </c>
      <c r="J388" s="9">
        <f>IF(每日收货出货登记!W388&gt;0,每日收货出货登记!AB388,"")</f>
        <v/>
      </c>
    </row>
    <row r="389" ht="22" customHeight="1">
      <c r="A389" s="9">
        <f>IF(每日收货出货登记!W389&gt;0,每日收货出货登记!A389,"")</f>
        <v/>
      </c>
      <c r="B389" s="10">
        <f>IF(每日收货出货登记!W389&gt;0,每日收货出货登记!D389,"")</f>
        <v/>
      </c>
      <c r="C389" s="10">
        <f>IF(每日收货出货登记!W389&gt;0,每日收货出货登记!G389,"")</f>
        <v/>
      </c>
      <c r="D389" s="10">
        <f>IF(每日收货出货登记!W389&gt;0,每日收货出货登记!E389,"")</f>
        <v/>
      </c>
      <c r="E389" s="10">
        <f>IF(每日收货出货登记!W389&gt;0,每日收货出货登记!Q389,"")</f>
        <v/>
      </c>
      <c r="F389" s="10">
        <f>IF(每日收货出货登记!W389&gt;0,每日收货出货登记!V389,"")</f>
        <v/>
      </c>
      <c r="G389" s="10">
        <f>IF(每日收货出货登记!W389&gt;0,每日收货出货登记!W389,"")</f>
        <v/>
      </c>
      <c r="H389" s="10">
        <f>IF(每日收货出货登记!W389&gt;0,每日收货出货登记!R389,"")</f>
        <v/>
      </c>
      <c r="I389" s="9">
        <f>IF(每日收货出货登记!W389&gt;0,每日收货出货登记!S389,"")</f>
        <v/>
      </c>
      <c r="J389" s="9">
        <f>IF(每日收货出货登记!W389&gt;0,每日收货出货登记!AB389,"")</f>
        <v/>
      </c>
    </row>
    <row r="390" ht="22" customHeight="1">
      <c r="A390" s="9">
        <f>IF(每日收货出货登记!W390&gt;0,每日收货出货登记!A390,"")</f>
        <v/>
      </c>
      <c r="B390" s="10">
        <f>IF(每日收货出货登记!W390&gt;0,每日收货出货登记!D390,"")</f>
        <v/>
      </c>
      <c r="C390" s="10">
        <f>IF(每日收货出货登记!W390&gt;0,每日收货出货登记!G390,"")</f>
        <v/>
      </c>
      <c r="D390" s="10">
        <f>IF(每日收货出货登记!W390&gt;0,每日收货出货登记!E390,"")</f>
        <v/>
      </c>
      <c r="E390" s="10">
        <f>IF(每日收货出货登记!W390&gt;0,每日收货出货登记!Q390,"")</f>
        <v/>
      </c>
      <c r="F390" s="10">
        <f>IF(每日收货出货登记!W390&gt;0,每日收货出货登记!V390,"")</f>
        <v/>
      </c>
      <c r="G390" s="10">
        <f>IF(每日收货出货登记!W390&gt;0,每日收货出货登记!W390,"")</f>
        <v/>
      </c>
      <c r="H390" s="10">
        <f>IF(每日收货出货登记!W390&gt;0,每日收货出货登记!R390,"")</f>
        <v/>
      </c>
      <c r="I390" s="9">
        <f>IF(每日收货出货登记!W390&gt;0,每日收货出货登记!S390,"")</f>
        <v/>
      </c>
      <c r="J390" s="9">
        <f>IF(每日收货出货登记!W390&gt;0,每日收货出货登记!AB390,"")</f>
        <v/>
      </c>
    </row>
    <row r="391" ht="22" customHeight="1">
      <c r="A391" s="9">
        <f>IF(每日收货出货登记!W391&gt;0,每日收货出货登记!A391,"")</f>
        <v/>
      </c>
      <c r="B391" s="10">
        <f>IF(每日收货出货登记!W391&gt;0,每日收货出货登记!D391,"")</f>
        <v/>
      </c>
      <c r="C391" s="10">
        <f>IF(每日收货出货登记!W391&gt;0,每日收货出货登记!G391,"")</f>
        <v/>
      </c>
      <c r="D391" s="10">
        <f>IF(每日收货出货登记!W391&gt;0,每日收货出货登记!E391,"")</f>
        <v/>
      </c>
      <c r="E391" s="10">
        <f>IF(每日收货出货登记!W391&gt;0,每日收货出货登记!Q391,"")</f>
        <v/>
      </c>
      <c r="F391" s="10">
        <f>IF(每日收货出货登记!W391&gt;0,每日收货出货登记!V391,"")</f>
        <v/>
      </c>
      <c r="G391" s="10">
        <f>IF(每日收货出货登记!W391&gt;0,每日收货出货登记!W391,"")</f>
        <v/>
      </c>
      <c r="H391" s="10">
        <f>IF(每日收货出货登记!W391&gt;0,每日收货出货登记!R391,"")</f>
        <v/>
      </c>
      <c r="I391" s="9">
        <f>IF(每日收货出货登记!W391&gt;0,每日收货出货登记!S391,"")</f>
        <v/>
      </c>
      <c r="J391" s="9">
        <f>IF(每日收货出货登记!W391&gt;0,每日收货出货登记!AB391,"")</f>
        <v/>
      </c>
    </row>
    <row r="392" ht="22" customHeight="1">
      <c r="A392" s="9">
        <f>IF(每日收货出货登记!W392&gt;0,每日收货出货登记!A392,"")</f>
        <v/>
      </c>
      <c r="B392" s="10">
        <f>IF(每日收货出货登记!W392&gt;0,每日收货出货登记!D392,"")</f>
        <v/>
      </c>
      <c r="C392" s="10">
        <f>IF(每日收货出货登记!W392&gt;0,每日收货出货登记!G392,"")</f>
        <v/>
      </c>
      <c r="D392" s="10">
        <f>IF(每日收货出货登记!W392&gt;0,每日收货出货登记!E392,"")</f>
        <v/>
      </c>
      <c r="E392" s="10">
        <f>IF(每日收货出货登记!W392&gt;0,每日收货出货登记!Q392,"")</f>
        <v/>
      </c>
      <c r="F392" s="10">
        <f>IF(每日收货出货登记!W392&gt;0,每日收货出货登记!V392,"")</f>
        <v/>
      </c>
      <c r="G392" s="10">
        <f>IF(每日收货出货登记!W392&gt;0,每日收货出货登记!W392,"")</f>
        <v/>
      </c>
      <c r="H392" s="10">
        <f>IF(每日收货出货登记!W392&gt;0,每日收货出货登记!R392,"")</f>
        <v/>
      </c>
      <c r="I392" s="9">
        <f>IF(每日收货出货登记!W392&gt;0,每日收货出货登记!S392,"")</f>
        <v/>
      </c>
      <c r="J392" s="9">
        <f>IF(每日收货出货登记!W392&gt;0,每日收货出货登记!AB392,"")</f>
        <v/>
      </c>
    </row>
    <row r="393" ht="22" customHeight="1">
      <c r="A393" s="9">
        <f>IF(每日收货出货登记!W393&gt;0,每日收货出货登记!A393,"")</f>
        <v/>
      </c>
      <c r="B393" s="10">
        <f>IF(每日收货出货登记!W393&gt;0,每日收货出货登记!D393,"")</f>
        <v/>
      </c>
      <c r="C393" s="10">
        <f>IF(每日收货出货登记!W393&gt;0,每日收货出货登记!G393,"")</f>
        <v/>
      </c>
      <c r="D393" s="10">
        <f>IF(每日收货出货登记!W393&gt;0,每日收货出货登记!E393,"")</f>
        <v/>
      </c>
      <c r="E393" s="10">
        <f>IF(每日收货出货登记!W393&gt;0,每日收货出货登记!Q393,"")</f>
        <v/>
      </c>
      <c r="F393" s="10">
        <f>IF(每日收货出货登记!W393&gt;0,每日收货出货登记!V393,"")</f>
        <v/>
      </c>
      <c r="G393" s="10">
        <f>IF(每日收货出货登记!W393&gt;0,每日收货出货登记!W393,"")</f>
        <v/>
      </c>
      <c r="H393" s="10">
        <f>IF(每日收货出货登记!W393&gt;0,每日收货出货登记!R393,"")</f>
        <v/>
      </c>
      <c r="I393" s="9">
        <f>IF(每日收货出货登记!W393&gt;0,每日收货出货登记!S393,"")</f>
        <v/>
      </c>
      <c r="J393" s="9">
        <f>IF(每日收货出货登记!W393&gt;0,每日收货出货登记!AB393,"")</f>
        <v/>
      </c>
    </row>
    <row r="394" ht="22" customHeight="1">
      <c r="A394" s="9">
        <f>IF(每日收货出货登记!W394&gt;0,每日收货出货登记!A394,"")</f>
        <v/>
      </c>
      <c r="B394" s="10">
        <f>IF(每日收货出货登记!W394&gt;0,每日收货出货登记!D394,"")</f>
        <v/>
      </c>
      <c r="C394" s="10">
        <f>IF(每日收货出货登记!W394&gt;0,每日收货出货登记!G394,"")</f>
        <v/>
      </c>
      <c r="D394" s="10">
        <f>IF(每日收货出货登记!W394&gt;0,每日收货出货登记!E394,"")</f>
        <v/>
      </c>
      <c r="E394" s="10">
        <f>IF(每日收货出货登记!W394&gt;0,每日收货出货登记!Q394,"")</f>
        <v/>
      </c>
      <c r="F394" s="10">
        <f>IF(每日收货出货登记!W394&gt;0,每日收货出货登记!V394,"")</f>
        <v/>
      </c>
      <c r="G394" s="10">
        <f>IF(每日收货出货登记!W394&gt;0,每日收货出货登记!W394,"")</f>
        <v/>
      </c>
      <c r="H394" s="10">
        <f>IF(每日收货出货登记!W394&gt;0,每日收货出货登记!R394,"")</f>
        <v/>
      </c>
      <c r="I394" s="9">
        <f>IF(每日收货出货登记!W394&gt;0,每日收货出货登记!S394,"")</f>
        <v/>
      </c>
      <c r="J394" s="9">
        <f>IF(每日收货出货登记!W394&gt;0,每日收货出货登记!AB394,"")</f>
        <v/>
      </c>
    </row>
    <row r="395" ht="22" customHeight="1">
      <c r="A395" s="9">
        <f>IF(每日收货出货登记!W395&gt;0,每日收货出货登记!A395,"")</f>
        <v/>
      </c>
      <c r="B395" s="10">
        <f>IF(每日收货出货登记!W395&gt;0,每日收货出货登记!D395,"")</f>
        <v/>
      </c>
      <c r="C395" s="10">
        <f>IF(每日收货出货登记!W395&gt;0,每日收货出货登记!G395,"")</f>
        <v/>
      </c>
      <c r="D395" s="10">
        <f>IF(每日收货出货登记!W395&gt;0,每日收货出货登记!E395,"")</f>
        <v/>
      </c>
      <c r="E395" s="10">
        <f>IF(每日收货出货登记!W395&gt;0,每日收货出货登记!Q395,"")</f>
        <v/>
      </c>
      <c r="F395" s="10">
        <f>IF(每日收货出货登记!W395&gt;0,每日收货出货登记!V395,"")</f>
        <v/>
      </c>
      <c r="G395" s="10">
        <f>IF(每日收货出货登记!W395&gt;0,每日收货出货登记!W395,"")</f>
        <v/>
      </c>
      <c r="H395" s="10">
        <f>IF(每日收货出货登记!W395&gt;0,每日收货出货登记!R395,"")</f>
        <v/>
      </c>
      <c r="I395" s="9">
        <f>IF(每日收货出货登记!W395&gt;0,每日收货出货登记!S395,"")</f>
        <v/>
      </c>
      <c r="J395" s="9">
        <f>IF(每日收货出货登记!W395&gt;0,每日收货出货登记!AB395,"")</f>
        <v/>
      </c>
    </row>
    <row r="396" ht="22" customHeight="1">
      <c r="A396" s="9">
        <f>IF(每日收货出货登记!W396&gt;0,每日收货出货登记!A396,"")</f>
        <v/>
      </c>
      <c r="B396" s="10">
        <f>IF(每日收货出货登记!W396&gt;0,每日收货出货登记!D396,"")</f>
        <v/>
      </c>
      <c r="C396" s="10">
        <f>IF(每日收货出货登记!W396&gt;0,每日收货出货登记!G396,"")</f>
        <v/>
      </c>
      <c r="D396" s="10">
        <f>IF(每日收货出货登记!W396&gt;0,每日收货出货登记!E396,"")</f>
        <v/>
      </c>
      <c r="E396" s="10">
        <f>IF(每日收货出货登记!W396&gt;0,每日收货出货登记!Q396,"")</f>
        <v/>
      </c>
      <c r="F396" s="10">
        <f>IF(每日收货出货登记!W396&gt;0,每日收货出货登记!V396,"")</f>
        <v/>
      </c>
      <c r="G396" s="10">
        <f>IF(每日收货出货登记!W396&gt;0,每日收货出货登记!W396,"")</f>
        <v/>
      </c>
      <c r="H396" s="10">
        <f>IF(每日收货出货登记!W396&gt;0,每日收货出货登记!R396,"")</f>
        <v/>
      </c>
      <c r="I396" s="9">
        <f>IF(每日收货出货登记!W396&gt;0,每日收货出货登记!S396,"")</f>
        <v/>
      </c>
      <c r="J396" s="9">
        <f>IF(每日收货出货登记!W396&gt;0,每日收货出货登记!AB396,"")</f>
        <v/>
      </c>
    </row>
    <row r="397" ht="22" customHeight="1">
      <c r="A397" s="9">
        <f>IF(每日收货出货登记!W397&gt;0,每日收货出货登记!A397,"")</f>
        <v/>
      </c>
      <c r="B397" s="10">
        <f>IF(每日收货出货登记!W397&gt;0,每日收货出货登记!D397,"")</f>
        <v/>
      </c>
      <c r="C397" s="10">
        <f>IF(每日收货出货登记!W397&gt;0,每日收货出货登记!G397,"")</f>
        <v/>
      </c>
      <c r="D397" s="10">
        <f>IF(每日收货出货登记!W397&gt;0,每日收货出货登记!E397,"")</f>
        <v/>
      </c>
      <c r="E397" s="10">
        <f>IF(每日收货出货登记!W397&gt;0,每日收货出货登记!Q397,"")</f>
        <v/>
      </c>
      <c r="F397" s="10">
        <f>IF(每日收货出货登记!W397&gt;0,每日收货出货登记!V397,"")</f>
        <v/>
      </c>
      <c r="G397" s="10">
        <f>IF(每日收货出货登记!W397&gt;0,每日收货出货登记!W397,"")</f>
        <v/>
      </c>
      <c r="H397" s="10">
        <f>IF(每日收货出货登记!W397&gt;0,每日收货出货登记!R397,"")</f>
        <v/>
      </c>
      <c r="I397" s="9">
        <f>IF(每日收货出货登记!W397&gt;0,每日收货出货登记!S397,"")</f>
        <v/>
      </c>
      <c r="J397" s="9">
        <f>IF(每日收货出货登记!W397&gt;0,每日收货出货登记!AB397,"")</f>
        <v/>
      </c>
    </row>
    <row r="398" ht="22" customHeight="1">
      <c r="A398" s="9">
        <f>IF(每日收货出货登记!W398&gt;0,每日收货出货登记!A398,"")</f>
        <v/>
      </c>
      <c r="B398" s="10">
        <f>IF(每日收货出货登记!W398&gt;0,每日收货出货登记!D398,"")</f>
        <v/>
      </c>
      <c r="C398" s="10">
        <f>IF(每日收货出货登记!W398&gt;0,每日收货出货登记!G398,"")</f>
        <v/>
      </c>
      <c r="D398" s="10">
        <f>IF(每日收货出货登记!W398&gt;0,每日收货出货登记!E398,"")</f>
        <v/>
      </c>
      <c r="E398" s="10">
        <f>IF(每日收货出货登记!W398&gt;0,每日收货出货登记!Q398,"")</f>
        <v/>
      </c>
      <c r="F398" s="10">
        <f>IF(每日收货出货登记!W398&gt;0,每日收货出货登记!V398,"")</f>
        <v/>
      </c>
      <c r="G398" s="10">
        <f>IF(每日收货出货登记!W398&gt;0,每日收货出货登记!W398,"")</f>
        <v/>
      </c>
      <c r="H398" s="10">
        <f>IF(每日收货出货登记!W398&gt;0,每日收货出货登记!R398,"")</f>
        <v/>
      </c>
      <c r="I398" s="9">
        <f>IF(每日收货出货登记!W398&gt;0,每日收货出货登记!S398,"")</f>
        <v/>
      </c>
      <c r="J398" s="9">
        <f>IF(每日收货出货登记!W398&gt;0,每日收货出货登记!AB398,"")</f>
        <v/>
      </c>
    </row>
    <row r="399" ht="22" customHeight="1">
      <c r="A399" s="9">
        <f>IF(每日收货出货登记!W399&gt;0,每日收货出货登记!A399,"")</f>
        <v/>
      </c>
      <c r="B399" s="10">
        <f>IF(每日收货出货登记!W399&gt;0,每日收货出货登记!D399,"")</f>
        <v/>
      </c>
      <c r="C399" s="10">
        <f>IF(每日收货出货登记!W399&gt;0,每日收货出货登记!G399,"")</f>
        <v/>
      </c>
      <c r="D399" s="10">
        <f>IF(每日收货出货登记!W399&gt;0,每日收货出货登记!E399,"")</f>
        <v/>
      </c>
      <c r="E399" s="10">
        <f>IF(每日收货出货登记!W399&gt;0,每日收货出货登记!Q399,"")</f>
        <v/>
      </c>
      <c r="F399" s="10">
        <f>IF(每日收货出货登记!W399&gt;0,每日收货出货登记!V399,"")</f>
        <v/>
      </c>
      <c r="G399" s="10">
        <f>IF(每日收货出货登记!W399&gt;0,每日收货出货登记!W399,"")</f>
        <v/>
      </c>
      <c r="H399" s="10">
        <f>IF(每日收货出货登记!W399&gt;0,每日收货出货登记!R399,"")</f>
        <v/>
      </c>
      <c r="I399" s="9">
        <f>IF(每日收货出货登记!W399&gt;0,每日收货出货登记!S399,"")</f>
        <v/>
      </c>
      <c r="J399" s="9">
        <f>IF(每日收货出货登记!W399&gt;0,每日收货出货登记!AB399,"")</f>
        <v/>
      </c>
    </row>
    <row r="400" ht="22" customHeight="1">
      <c r="A400" s="9">
        <f>IF(每日收货出货登记!W400&gt;0,每日收货出货登记!A400,"")</f>
        <v/>
      </c>
      <c r="B400" s="10">
        <f>IF(每日收货出货登记!W400&gt;0,每日收货出货登记!D400,"")</f>
        <v/>
      </c>
      <c r="C400" s="10">
        <f>IF(每日收货出货登记!W400&gt;0,每日收货出货登记!G400,"")</f>
        <v/>
      </c>
      <c r="D400" s="10">
        <f>IF(每日收货出货登记!W400&gt;0,每日收货出货登记!E400,"")</f>
        <v/>
      </c>
      <c r="E400" s="10">
        <f>IF(每日收货出货登记!W400&gt;0,每日收货出货登记!Q400,"")</f>
        <v/>
      </c>
      <c r="F400" s="10">
        <f>IF(每日收货出货登记!W400&gt;0,每日收货出货登记!V400,"")</f>
        <v/>
      </c>
      <c r="G400" s="10">
        <f>IF(每日收货出货登记!W400&gt;0,每日收货出货登记!W400,"")</f>
        <v/>
      </c>
      <c r="H400" s="10">
        <f>IF(每日收货出货登记!W400&gt;0,每日收货出货登记!R400,"")</f>
        <v/>
      </c>
      <c r="I400" s="9">
        <f>IF(每日收货出货登记!W400&gt;0,每日收货出货登记!S400,"")</f>
        <v/>
      </c>
      <c r="J400" s="9">
        <f>IF(每日收货出货登记!W400&gt;0,每日收货出货登记!AB400,"")</f>
        <v/>
      </c>
    </row>
    <row r="401" ht="22" customHeight="1">
      <c r="A401" s="9">
        <f>IF(每日收货出货登记!W401&gt;0,每日收货出货登记!A401,"")</f>
        <v/>
      </c>
      <c r="B401" s="10">
        <f>IF(每日收货出货登记!W401&gt;0,每日收货出货登记!D401,"")</f>
        <v/>
      </c>
      <c r="C401" s="10">
        <f>IF(每日收货出货登记!W401&gt;0,每日收货出货登记!G401,"")</f>
        <v/>
      </c>
      <c r="D401" s="10">
        <f>IF(每日收货出货登记!W401&gt;0,每日收货出货登记!E401,"")</f>
        <v/>
      </c>
      <c r="E401" s="10">
        <f>IF(每日收货出货登记!W401&gt;0,每日收货出货登记!Q401,"")</f>
        <v/>
      </c>
      <c r="F401" s="10">
        <f>IF(每日收货出货登记!W401&gt;0,每日收货出货登记!V401,"")</f>
        <v/>
      </c>
      <c r="G401" s="10">
        <f>IF(每日收货出货登记!W401&gt;0,每日收货出货登记!W401,"")</f>
        <v/>
      </c>
      <c r="H401" s="10">
        <f>IF(每日收货出货登记!W401&gt;0,每日收货出货登记!R401,"")</f>
        <v/>
      </c>
      <c r="I401" s="9">
        <f>IF(每日收货出货登记!W401&gt;0,每日收货出货登记!S401,"")</f>
        <v/>
      </c>
      <c r="J401" s="9">
        <f>IF(每日收货出货登记!W401&gt;0,每日收货出货登记!AB401,"")</f>
        <v/>
      </c>
    </row>
    <row r="402" ht="22" customHeight="1">
      <c r="A402" s="9">
        <f>IF(每日收货出货登记!W402&gt;0,每日收货出货登记!A402,"")</f>
        <v/>
      </c>
      <c r="B402" s="10">
        <f>IF(每日收货出货登记!W402&gt;0,每日收货出货登记!D402,"")</f>
        <v/>
      </c>
      <c r="C402" s="10">
        <f>IF(每日收货出货登记!W402&gt;0,每日收货出货登记!G402,"")</f>
        <v/>
      </c>
      <c r="D402" s="10">
        <f>IF(每日收货出货登记!W402&gt;0,每日收货出货登记!E402,"")</f>
        <v/>
      </c>
      <c r="E402" s="10">
        <f>IF(每日收货出货登记!W402&gt;0,每日收货出货登记!Q402,"")</f>
        <v/>
      </c>
      <c r="F402" s="10">
        <f>IF(每日收货出货登记!W402&gt;0,每日收货出货登记!V402,"")</f>
        <v/>
      </c>
      <c r="G402" s="10">
        <f>IF(每日收货出货登记!W402&gt;0,每日收货出货登记!W402,"")</f>
        <v/>
      </c>
      <c r="H402" s="10">
        <f>IF(每日收货出货登记!W402&gt;0,每日收货出货登记!R402,"")</f>
        <v/>
      </c>
      <c r="I402" s="9">
        <f>IF(每日收货出货登记!W402&gt;0,每日收货出货登记!S402,"")</f>
        <v/>
      </c>
      <c r="J402" s="9">
        <f>IF(每日收货出货登记!W402&gt;0,每日收货出货登记!AB402,"")</f>
        <v/>
      </c>
    </row>
    <row r="403" ht="22" customHeight="1">
      <c r="A403" s="9">
        <f>IF(每日收货出货登记!W403&gt;0,每日收货出货登记!A403,"")</f>
        <v/>
      </c>
      <c r="B403" s="10">
        <f>IF(每日收货出货登记!W403&gt;0,每日收货出货登记!D403,"")</f>
        <v/>
      </c>
      <c r="C403" s="10">
        <f>IF(每日收货出货登记!W403&gt;0,每日收货出货登记!G403,"")</f>
        <v/>
      </c>
      <c r="D403" s="10">
        <f>IF(每日收货出货登记!W403&gt;0,每日收货出货登记!E403,"")</f>
        <v/>
      </c>
      <c r="E403" s="10">
        <f>IF(每日收货出货登记!W403&gt;0,每日收货出货登记!Q403,"")</f>
        <v/>
      </c>
      <c r="F403" s="10">
        <f>IF(每日收货出货登记!W403&gt;0,每日收货出货登记!V403,"")</f>
        <v/>
      </c>
      <c r="G403" s="10">
        <f>IF(每日收货出货登记!W403&gt;0,每日收货出货登记!W403,"")</f>
        <v/>
      </c>
      <c r="H403" s="10">
        <f>IF(每日收货出货登记!W403&gt;0,每日收货出货登记!R403,"")</f>
        <v/>
      </c>
      <c r="I403" s="9">
        <f>IF(每日收货出货登记!W403&gt;0,每日收货出货登记!S403,"")</f>
        <v/>
      </c>
      <c r="J403" s="9">
        <f>IF(每日收货出货登记!W403&gt;0,每日收货出货登记!AB403,"")</f>
        <v/>
      </c>
    </row>
    <row r="404" ht="22" customHeight="1">
      <c r="A404" s="9">
        <f>IF(每日收货出货登记!W404&gt;0,每日收货出货登记!A404,"")</f>
        <v/>
      </c>
      <c r="B404" s="10">
        <f>IF(每日收货出货登记!W404&gt;0,每日收货出货登记!D404,"")</f>
        <v/>
      </c>
      <c r="C404" s="10">
        <f>IF(每日收货出货登记!W404&gt;0,每日收货出货登记!G404,"")</f>
        <v/>
      </c>
      <c r="D404" s="10">
        <f>IF(每日收货出货登记!W404&gt;0,每日收货出货登记!E404,"")</f>
        <v/>
      </c>
      <c r="E404" s="10">
        <f>IF(每日收货出货登记!W404&gt;0,每日收货出货登记!Q404,"")</f>
        <v/>
      </c>
      <c r="F404" s="10">
        <f>IF(每日收货出货登记!W404&gt;0,每日收货出货登记!V404,"")</f>
        <v/>
      </c>
      <c r="G404" s="10">
        <f>IF(每日收货出货登记!W404&gt;0,每日收货出货登记!W404,"")</f>
        <v/>
      </c>
      <c r="H404" s="10">
        <f>IF(每日收货出货登记!W404&gt;0,每日收货出货登记!R404,"")</f>
        <v/>
      </c>
      <c r="I404" s="9">
        <f>IF(每日收货出货登记!W404&gt;0,每日收货出货登记!S404,"")</f>
        <v/>
      </c>
      <c r="J404" s="9">
        <f>IF(每日收货出货登记!W404&gt;0,每日收货出货登记!AB404,"")</f>
        <v/>
      </c>
    </row>
    <row r="405" ht="22" customHeight="1">
      <c r="A405" s="9">
        <f>IF(每日收货出货登记!W405&gt;0,每日收货出货登记!A405,"")</f>
        <v/>
      </c>
      <c r="B405" s="10">
        <f>IF(每日收货出货登记!W405&gt;0,每日收货出货登记!D405,"")</f>
        <v/>
      </c>
      <c r="C405" s="10">
        <f>IF(每日收货出货登记!W405&gt;0,每日收货出货登记!G405,"")</f>
        <v/>
      </c>
      <c r="D405" s="10">
        <f>IF(每日收货出货登记!W405&gt;0,每日收货出货登记!E405,"")</f>
        <v/>
      </c>
      <c r="E405" s="10">
        <f>IF(每日收货出货登记!W405&gt;0,每日收货出货登记!Q405,"")</f>
        <v/>
      </c>
      <c r="F405" s="10">
        <f>IF(每日收货出货登记!W405&gt;0,每日收货出货登记!V405,"")</f>
        <v/>
      </c>
      <c r="G405" s="10">
        <f>IF(每日收货出货登记!W405&gt;0,每日收货出货登记!W405,"")</f>
        <v/>
      </c>
      <c r="H405" s="10">
        <f>IF(每日收货出货登记!W405&gt;0,每日收货出货登记!R405,"")</f>
        <v/>
      </c>
      <c r="I405" s="9">
        <f>IF(每日收货出货登记!W405&gt;0,每日收货出货登记!S405,"")</f>
        <v/>
      </c>
      <c r="J405" s="9">
        <f>IF(每日收货出货登记!W405&gt;0,每日收货出货登记!AB405,"")</f>
        <v/>
      </c>
    </row>
    <row r="406" ht="22" customHeight="1">
      <c r="A406" s="9">
        <f>IF(每日收货出货登记!W406&gt;0,每日收货出货登记!A406,"")</f>
        <v/>
      </c>
      <c r="B406" s="10">
        <f>IF(每日收货出货登记!W406&gt;0,每日收货出货登记!D406,"")</f>
        <v/>
      </c>
      <c r="C406" s="10">
        <f>IF(每日收货出货登记!W406&gt;0,每日收货出货登记!G406,"")</f>
        <v/>
      </c>
      <c r="D406" s="10">
        <f>IF(每日收货出货登记!W406&gt;0,每日收货出货登记!E406,"")</f>
        <v/>
      </c>
      <c r="E406" s="10">
        <f>IF(每日收货出货登记!W406&gt;0,每日收货出货登记!Q406,"")</f>
        <v/>
      </c>
      <c r="F406" s="10">
        <f>IF(每日收货出货登记!W406&gt;0,每日收货出货登记!V406,"")</f>
        <v/>
      </c>
      <c r="G406" s="10">
        <f>IF(每日收货出货登记!W406&gt;0,每日收货出货登记!W406,"")</f>
        <v/>
      </c>
      <c r="H406" s="10">
        <f>IF(每日收货出货登记!W406&gt;0,每日收货出货登记!R406,"")</f>
        <v/>
      </c>
      <c r="I406" s="9">
        <f>IF(每日收货出货登记!W406&gt;0,每日收货出货登记!S406,"")</f>
        <v/>
      </c>
      <c r="J406" s="9">
        <f>IF(每日收货出货登记!W406&gt;0,每日收货出货登记!AB406,"")</f>
        <v/>
      </c>
    </row>
    <row r="407" ht="22" customHeight="1">
      <c r="A407" s="9">
        <f>IF(每日收货出货登记!W407&gt;0,每日收货出货登记!A407,"")</f>
        <v/>
      </c>
      <c r="B407" s="10">
        <f>IF(每日收货出货登记!W407&gt;0,每日收货出货登记!D407,"")</f>
        <v/>
      </c>
      <c r="C407" s="10">
        <f>IF(每日收货出货登记!W407&gt;0,每日收货出货登记!G407,"")</f>
        <v/>
      </c>
      <c r="D407" s="10">
        <f>IF(每日收货出货登记!W407&gt;0,每日收货出货登记!E407,"")</f>
        <v/>
      </c>
      <c r="E407" s="10">
        <f>IF(每日收货出货登记!W407&gt;0,每日收货出货登记!Q407,"")</f>
        <v/>
      </c>
      <c r="F407" s="10">
        <f>IF(每日收货出货登记!W407&gt;0,每日收货出货登记!V407,"")</f>
        <v/>
      </c>
      <c r="G407" s="10">
        <f>IF(每日收货出货登记!W407&gt;0,每日收货出货登记!W407,"")</f>
        <v/>
      </c>
      <c r="H407" s="10">
        <f>IF(每日收货出货登记!W407&gt;0,每日收货出货登记!R407,"")</f>
        <v/>
      </c>
      <c r="I407" s="9">
        <f>IF(每日收货出货登记!W407&gt;0,每日收货出货登记!S407,"")</f>
        <v/>
      </c>
      <c r="J407" s="9">
        <f>IF(每日收货出货登记!W407&gt;0,每日收货出货登记!AB407,"")</f>
        <v/>
      </c>
    </row>
    <row r="408" ht="22" customHeight="1">
      <c r="A408" s="9">
        <f>IF(每日收货出货登记!W408&gt;0,每日收货出货登记!A408,"")</f>
        <v/>
      </c>
      <c r="B408" s="10">
        <f>IF(每日收货出货登记!W408&gt;0,每日收货出货登记!D408,"")</f>
        <v/>
      </c>
      <c r="C408" s="10">
        <f>IF(每日收货出货登记!W408&gt;0,每日收货出货登记!G408,"")</f>
        <v/>
      </c>
      <c r="D408" s="10">
        <f>IF(每日收货出货登记!W408&gt;0,每日收货出货登记!E408,"")</f>
        <v/>
      </c>
      <c r="E408" s="10">
        <f>IF(每日收货出货登记!W408&gt;0,每日收货出货登记!Q408,"")</f>
        <v/>
      </c>
      <c r="F408" s="10">
        <f>IF(每日收货出货登记!W408&gt;0,每日收货出货登记!V408,"")</f>
        <v/>
      </c>
      <c r="G408" s="10">
        <f>IF(每日收货出货登记!W408&gt;0,每日收货出货登记!W408,"")</f>
        <v/>
      </c>
      <c r="H408" s="10">
        <f>IF(每日收货出货登记!W408&gt;0,每日收货出货登记!R408,"")</f>
        <v/>
      </c>
      <c r="I408" s="9">
        <f>IF(每日收货出货登记!W408&gt;0,每日收货出货登记!S408,"")</f>
        <v/>
      </c>
      <c r="J408" s="9">
        <f>IF(每日收货出货登记!W408&gt;0,每日收货出货登记!AB408,"")</f>
        <v/>
      </c>
    </row>
    <row r="409" ht="22" customHeight="1">
      <c r="A409" s="9">
        <f>IF(每日收货出货登记!W409&gt;0,每日收货出货登记!A409,"")</f>
        <v/>
      </c>
      <c r="B409" s="10">
        <f>IF(每日收货出货登记!W409&gt;0,每日收货出货登记!D409,"")</f>
        <v/>
      </c>
      <c r="C409" s="10">
        <f>IF(每日收货出货登记!W409&gt;0,每日收货出货登记!G409,"")</f>
        <v/>
      </c>
      <c r="D409" s="10">
        <f>IF(每日收货出货登记!W409&gt;0,每日收货出货登记!E409,"")</f>
        <v/>
      </c>
      <c r="E409" s="10">
        <f>IF(每日收货出货登记!W409&gt;0,每日收货出货登记!Q409,"")</f>
        <v/>
      </c>
      <c r="F409" s="10">
        <f>IF(每日收货出货登记!W409&gt;0,每日收货出货登记!V409,"")</f>
        <v/>
      </c>
      <c r="G409" s="10">
        <f>IF(每日收货出货登记!W409&gt;0,每日收货出货登记!W409,"")</f>
        <v/>
      </c>
      <c r="H409" s="10">
        <f>IF(每日收货出货登记!W409&gt;0,每日收货出货登记!R409,"")</f>
        <v/>
      </c>
      <c r="I409" s="9">
        <f>IF(每日收货出货登记!W409&gt;0,每日收货出货登记!S409,"")</f>
        <v/>
      </c>
      <c r="J409" s="9">
        <f>IF(每日收货出货登记!W409&gt;0,每日收货出货登记!AB409,"")</f>
        <v/>
      </c>
    </row>
    <row r="410" ht="22" customHeight="1">
      <c r="A410" s="9">
        <f>IF(每日收货出货登记!W410&gt;0,每日收货出货登记!A410,"")</f>
        <v/>
      </c>
      <c r="B410" s="10">
        <f>IF(每日收货出货登记!W410&gt;0,每日收货出货登记!D410,"")</f>
        <v/>
      </c>
      <c r="C410" s="10">
        <f>IF(每日收货出货登记!W410&gt;0,每日收货出货登记!G410,"")</f>
        <v/>
      </c>
      <c r="D410" s="10">
        <f>IF(每日收货出货登记!W410&gt;0,每日收货出货登记!E410,"")</f>
        <v/>
      </c>
      <c r="E410" s="10">
        <f>IF(每日收货出货登记!W410&gt;0,每日收货出货登记!Q410,"")</f>
        <v/>
      </c>
      <c r="F410" s="10">
        <f>IF(每日收货出货登记!W410&gt;0,每日收货出货登记!V410,"")</f>
        <v/>
      </c>
      <c r="G410" s="10">
        <f>IF(每日收货出货登记!W410&gt;0,每日收货出货登记!W410,"")</f>
        <v/>
      </c>
      <c r="H410" s="10">
        <f>IF(每日收货出货登记!W410&gt;0,每日收货出货登记!R410,"")</f>
        <v/>
      </c>
      <c r="I410" s="9">
        <f>IF(每日收货出货登记!W410&gt;0,每日收货出货登记!S410,"")</f>
        <v/>
      </c>
      <c r="J410" s="9">
        <f>IF(每日收货出货登记!W410&gt;0,每日收货出货登记!AB410,"")</f>
        <v/>
      </c>
    </row>
    <row r="411" ht="22" customHeight="1">
      <c r="A411" s="9">
        <f>IF(每日收货出货登记!W411&gt;0,每日收货出货登记!A411,"")</f>
        <v/>
      </c>
      <c r="B411" s="10">
        <f>IF(每日收货出货登记!W411&gt;0,每日收货出货登记!D411,"")</f>
        <v/>
      </c>
      <c r="C411" s="10">
        <f>IF(每日收货出货登记!W411&gt;0,每日收货出货登记!G411,"")</f>
        <v/>
      </c>
      <c r="D411" s="10">
        <f>IF(每日收货出货登记!W411&gt;0,每日收货出货登记!E411,"")</f>
        <v/>
      </c>
      <c r="E411" s="10">
        <f>IF(每日收货出货登记!W411&gt;0,每日收货出货登记!Q411,"")</f>
        <v/>
      </c>
      <c r="F411" s="10">
        <f>IF(每日收货出货登记!W411&gt;0,每日收货出货登记!V411,"")</f>
        <v/>
      </c>
      <c r="G411" s="10">
        <f>IF(每日收货出货登记!W411&gt;0,每日收货出货登记!W411,"")</f>
        <v/>
      </c>
      <c r="H411" s="10">
        <f>IF(每日收货出货登记!W411&gt;0,每日收货出货登记!R411,"")</f>
        <v/>
      </c>
      <c r="I411" s="9">
        <f>IF(每日收货出货登记!W411&gt;0,每日收货出货登记!S411,"")</f>
        <v/>
      </c>
      <c r="J411" s="9">
        <f>IF(每日收货出货登记!W411&gt;0,每日收货出货登记!AB411,"")</f>
        <v/>
      </c>
    </row>
    <row r="412" ht="22" customHeight="1">
      <c r="A412" s="9">
        <f>IF(每日收货出货登记!W412&gt;0,每日收货出货登记!A412,"")</f>
        <v/>
      </c>
      <c r="B412" s="10">
        <f>IF(每日收货出货登记!W412&gt;0,每日收货出货登记!D412,"")</f>
        <v/>
      </c>
      <c r="C412" s="10">
        <f>IF(每日收货出货登记!W412&gt;0,每日收货出货登记!G412,"")</f>
        <v/>
      </c>
      <c r="D412" s="10">
        <f>IF(每日收货出货登记!W412&gt;0,每日收货出货登记!E412,"")</f>
        <v/>
      </c>
      <c r="E412" s="10">
        <f>IF(每日收货出货登记!W412&gt;0,每日收货出货登记!Q412,"")</f>
        <v/>
      </c>
      <c r="F412" s="10">
        <f>IF(每日收货出货登记!W412&gt;0,每日收货出货登记!V412,"")</f>
        <v/>
      </c>
      <c r="G412" s="10">
        <f>IF(每日收货出货登记!W412&gt;0,每日收货出货登记!W412,"")</f>
        <v/>
      </c>
      <c r="H412" s="10">
        <f>IF(每日收货出货登记!W412&gt;0,每日收货出货登记!R412,"")</f>
        <v/>
      </c>
      <c r="I412" s="9">
        <f>IF(每日收货出货登记!W412&gt;0,每日收货出货登记!S412,"")</f>
        <v/>
      </c>
      <c r="J412" s="9">
        <f>IF(每日收货出货登记!W412&gt;0,每日收货出货登记!AB412,"")</f>
        <v/>
      </c>
    </row>
    <row r="413" ht="22" customHeight="1">
      <c r="A413" s="9">
        <f>IF(每日收货出货登记!W413&gt;0,每日收货出货登记!A413,"")</f>
        <v/>
      </c>
      <c r="B413" s="10">
        <f>IF(每日收货出货登记!W413&gt;0,每日收货出货登记!D413,"")</f>
        <v/>
      </c>
      <c r="C413" s="10">
        <f>IF(每日收货出货登记!W413&gt;0,每日收货出货登记!G413,"")</f>
        <v/>
      </c>
      <c r="D413" s="10">
        <f>IF(每日收货出货登记!W413&gt;0,每日收货出货登记!E413,"")</f>
        <v/>
      </c>
      <c r="E413" s="10">
        <f>IF(每日收货出货登记!W413&gt;0,每日收货出货登记!Q413,"")</f>
        <v/>
      </c>
      <c r="F413" s="10">
        <f>IF(每日收货出货登记!W413&gt;0,每日收货出货登记!V413,"")</f>
        <v/>
      </c>
      <c r="G413" s="10">
        <f>IF(每日收货出货登记!W413&gt;0,每日收货出货登记!W413,"")</f>
        <v/>
      </c>
      <c r="H413" s="10">
        <f>IF(每日收货出货登记!W413&gt;0,每日收货出货登记!R413,"")</f>
        <v/>
      </c>
      <c r="I413" s="9">
        <f>IF(每日收货出货登记!W413&gt;0,每日收货出货登记!S413,"")</f>
        <v/>
      </c>
      <c r="J413" s="9">
        <f>IF(每日收货出货登记!W413&gt;0,每日收货出货登记!AB413,"")</f>
        <v/>
      </c>
    </row>
    <row r="414" ht="22" customHeight="1">
      <c r="A414" s="9">
        <f>IF(每日收货出货登记!W414&gt;0,每日收货出货登记!A414,"")</f>
        <v/>
      </c>
      <c r="B414" s="10">
        <f>IF(每日收货出货登记!W414&gt;0,每日收货出货登记!D414,"")</f>
        <v/>
      </c>
      <c r="C414" s="10">
        <f>IF(每日收货出货登记!W414&gt;0,每日收货出货登记!G414,"")</f>
        <v/>
      </c>
      <c r="D414" s="10">
        <f>IF(每日收货出货登记!W414&gt;0,每日收货出货登记!E414,"")</f>
        <v/>
      </c>
      <c r="E414" s="10">
        <f>IF(每日收货出货登记!W414&gt;0,每日收货出货登记!Q414,"")</f>
        <v/>
      </c>
      <c r="F414" s="10">
        <f>IF(每日收货出货登记!W414&gt;0,每日收货出货登记!V414,"")</f>
        <v/>
      </c>
      <c r="G414" s="10">
        <f>IF(每日收货出货登记!W414&gt;0,每日收货出货登记!W414,"")</f>
        <v/>
      </c>
      <c r="H414" s="10">
        <f>IF(每日收货出货登记!W414&gt;0,每日收货出货登记!R414,"")</f>
        <v/>
      </c>
      <c r="I414" s="9">
        <f>IF(每日收货出货登记!W414&gt;0,每日收货出货登记!S414,"")</f>
        <v/>
      </c>
      <c r="J414" s="9">
        <f>IF(每日收货出货登记!W414&gt;0,每日收货出货登记!AB414,"")</f>
        <v/>
      </c>
    </row>
    <row r="415" ht="22" customHeight="1">
      <c r="A415" s="9">
        <f>IF(每日收货出货登记!W415&gt;0,每日收货出货登记!A415,"")</f>
        <v/>
      </c>
      <c r="B415" s="10">
        <f>IF(每日收货出货登记!W415&gt;0,每日收货出货登记!D415,"")</f>
        <v/>
      </c>
      <c r="C415" s="10">
        <f>IF(每日收货出货登记!W415&gt;0,每日收货出货登记!G415,"")</f>
        <v/>
      </c>
      <c r="D415" s="10">
        <f>IF(每日收货出货登记!W415&gt;0,每日收货出货登记!E415,"")</f>
        <v/>
      </c>
      <c r="E415" s="10">
        <f>IF(每日收货出货登记!W415&gt;0,每日收货出货登记!Q415,"")</f>
        <v/>
      </c>
      <c r="F415" s="10">
        <f>IF(每日收货出货登记!W415&gt;0,每日收货出货登记!V415,"")</f>
        <v/>
      </c>
      <c r="G415" s="10">
        <f>IF(每日收货出货登记!W415&gt;0,每日收货出货登记!W415,"")</f>
        <v/>
      </c>
      <c r="H415" s="10">
        <f>IF(每日收货出货登记!W415&gt;0,每日收货出货登记!R415,"")</f>
        <v/>
      </c>
      <c r="I415" s="9">
        <f>IF(每日收货出货登记!W415&gt;0,每日收货出货登记!S415,"")</f>
        <v/>
      </c>
      <c r="J415" s="9">
        <f>IF(每日收货出货登记!W415&gt;0,每日收货出货登记!AB415,"")</f>
        <v/>
      </c>
    </row>
    <row r="416" ht="22" customHeight="1">
      <c r="A416" s="9">
        <f>IF(每日收货出货登记!W416&gt;0,每日收货出货登记!A416,"")</f>
        <v/>
      </c>
      <c r="B416" s="10">
        <f>IF(每日收货出货登记!W416&gt;0,每日收货出货登记!D416,"")</f>
        <v/>
      </c>
      <c r="C416" s="10">
        <f>IF(每日收货出货登记!W416&gt;0,每日收货出货登记!G416,"")</f>
        <v/>
      </c>
      <c r="D416" s="10">
        <f>IF(每日收货出货登记!W416&gt;0,每日收货出货登记!E416,"")</f>
        <v/>
      </c>
      <c r="E416" s="10">
        <f>IF(每日收货出货登记!W416&gt;0,每日收货出货登记!Q416,"")</f>
        <v/>
      </c>
      <c r="F416" s="10">
        <f>IF(每日收货出货登记!W416&gt;0,每日收货出货登记!V416,"")</f>
        <v/>
      </c>
      <c r="G416" s="10">
        <f>IF(每日收货出货登记!W416&gt;0,每日收货出货登记!W416,"")</f>
        <v/>
      </c>
      <c r="H416" s="10">
        <f>IF(每日收货出货登记!W416&gt;0,每日收货出货登记!R416,"")</f>
        <v/>
      </c>
      <c r="I416" s="9">
        <f>IF(每日收货出货登记!W416&gt;0,每日收货出货登记!S416,"")</f>
        <v/>
      </c>
      <c r="J416" s="9">
        <f>IF(每日收货出货登记!W416&gt;0,每日收货出货登记!AB416,"")</f>
        <v/>
      </c>
    </row>
    <row r="417" ht="22" customHeight="1">
      <c r="A417" s="9">
        <f>IF(每日收货出货登记!W417&gt;0,每日收货出货登记!A417,"")</f>
        <v/>
      </c>
      <c r="B417" s="10">
        <f>IF(每日收货出货登记!W417&gt;0,每日收货出货登记!D417,"")</f>
        <v/>
      </c>
      <c r="C417" s="10">
        <f>IF(每日收货出货登记!W417&gt;0,每日收货出货登记!G417,"")</f>
        <v/>
      </c>
      <c r="D417" s="10">
        <f>IF(每日收货出货登记!W417&gt;0,每日收货出货登记!E417,"")</f>
        <v/>
      </c>
      <c r="E417" s="10">
        <f>IF(每日收货出货登记!W417&gt;0,每日收货出货登记!Q417,"")</f>
        <v/>
      </c>
      <c r="F417" s="10">
        <f>IF(每日收货出货登记!W417&gt;0,每日收货出货登记!V417,"")</f>
        <v/>
      </c>
      <c r="G417" s="10">
        <f>IF(每日收货出货登记!W417&gt;0,每日收货出货登记!W417,"")</f>
        <v/>
      </c>
      <c r="H417" s="10">
        <f>IF(每日收货出货登记!W417&gt;0,每日收货出货登记!R417,"")</f>
        <v/>
      </c>
      <c r="I417" s="9">
        <f>IF(每日收货出货登记!W417&gt;0,每日收货出货登记!S417,"")</f>
        <v/>
      </c>
      <c r="J417" s="9">
        <f>IF(每日收货出货登记!W417&gt;0,每日收货出货登记!AB417,"")</f>
        <v/>
      </c>
    </row>
    <row r="418" ht="22" customHeight="1">
      <c r="A418" s="9">
        <f>IF(每日收货出货登记!W418&gt;0,每日收货出货登记!A418,"")</f>
        <v/>
      </c>
      <c r="B418" s="10">
        <f>IF(每日收货出货登记!W418&gt;0,每日收货出货登记!D418,"")</f>
        <v/>
      </c>
      <c r="C418" s="10">
        <f>IF(每日收货出货登记!W418&gt;0,每日收货出货登记!G418,"")</f>
        <v/>
      </c>
      <c r="D418" s="10">
        <f>IF(每日收货出货登记!W418&gt;0,每日收货出货登记!E418,"")</f>
        <v/>
      </c>
      <c r="E418" s="10">
        <f>IF(每日收货出货登记!W418&gt;0,每日收货出货登记!Q418,"")</f>
        <v/>
      </c>
      <c r="F418" s="10">
        <f>IF(每日收货出货登记!W418&gt;0,每日收货出货登记!V418,"")</f>
        <v/>
      </c>
      <c r="G418" s="10">
        <f>IF(每日收货出货登记!W418&gt;0,每日收货出货登记!W418,"")</f>
        <v/>
      </c>
      <c r="H418" s="10">
        <f>IF(每日收货出货登记!W418&gt;0,每日收货出货登记!R418,"")</f>
        <v/>
      </c>
      <c r="I418" s="9">
        <f>IF(每日收货出货登记!W418&gt;0,每日收货出货登记!S418,"")</f>
        <v/>
      </c>
      <c r="J418" s="9">
        <f>IF(每日收货出货登记!W418&gt;0,每日收货出货登记!AB418,"")</f>
        <v/>
      </c>
    </row>
    <row r="419" ht="22" customHeight="1">
      <c r="A419" s="9">
        <f>IF(每日收货出货登记!W419&gt;0,每日收货出货登记!A419,"")</f>
        <v/>
      </c>
      <c r="B419" s="10">
        <f>IF(每日收货出货登记!W419&gt;0,每日收货出货登记!D419,"")</f>
        <v/>
      </c>
      <c r="C419" s="10">
        <f>IF(每日收货出货登记!W419&gt;0,每日收货出货登记!G419,"")</f>
        <v/>
      </c>
      <c r="D419" s="10">
        <f>IF(每日收货出货登记!W419&gt;0,每日收货出货登记!E419,"")</f>
        <v/>
      </c>
      <c r="E419" s="10">
        <f>IF(每日收货出货登记!W419&gt;0,每日收货出货登记!Q419,"")</f>
        <v/>
      </c>
      <c r="F419" s="10">
        <f>IF(每日收货出货登记!W419&gt;0,每日收货出货登记!V419,"")</f>
        <v/>
      </c>
      <c r="G419" s="10">
        <f>IF(每日收货出货登记!W419&gt;0,每日收货出货登记!W419,"")</f>
        <v/>
      </c>
      <c r="H419" s="10">
        <f>IF(每日收货出货登记!W419&gt;0,每日收货出货登记!R419,"")</f>
        <v/>
      </c>
      <c r="I419" s="9">
        <f>IF(每日收货出货登记!W419&gt;0,每日收货出货登记!S419,"")</f>
        <v/>
      </c>
      <c r="J419" s="9">
        <f>IF(每日收货出货登记!W419&gt;0,每日收货出货登记!AB419,"")</f>
        <v/>
      </c>
    </row>
    <row r="420" ht="22" customHeight="1">
      <c r="A420" s="9">
        <f>IF(每日收货出货登记!W420&gt;0,每日收货出货登记!A420,"")</f>
        <v/>
      </c>
      <c r="B420" s="10">
        <f>IF(每日收货出货登记!W420&gt;0,每日收货出货登记!D420,"")</f>
        <v/>
      </c>
      <c r="C420" s="10">
        <f>IF(每日收货出货登记!W420&gt;0,每日收货出货登记!G420,"")</f>
        <v/>
      </c>
      <c r="D420" s="10">
        <f>IF(每日收货出货登记!W420&gt;0,每日收货出货登记!E420,"")</f>
        <v/>
      </c>
      <c r="E420" s="10">
        <f>IF(每日收货出货登记!W420&gt;0,每日收货出货登记!Q420,"")</f>
        <v/>
      </c>
      <c r="F420" s="10">
        <f>IF(每日收货出货登记!W420&gt;0,每日收货出货登记!V420,"")</f>
        <v/>
      </c>
      <c r="G420" s="10">
        <f>IF(每日收货出货登记!W420&gt;0,每日收货出货登记!W420,"")</f>
        <v/>
      </c>
      <c r="H420" s="10">
        <f>IF(每日收货出货登记!W420&gt;0,每日收货出货登记!R420,"")</f>
        <v/>
      </c>
      <c r="I420" s="9">
        <f>IF(每日收货出货登记!W420&gt;0,每日收货出货登记!S420,"")</f>
        <v/>
      </c>
      <c r="J420" s="9">
        <f>IF(每日收货出货登记!W420&gt;0,每日收货出货登记!AB420,"")</f>
        <v/>
      </c>
    </row>
    <row r="421" ht="22" customHeight="1">
      <c r="A421" s="9">
        <f>IF(每日收货出货登记!W421&gt;0,每日收货出货登记!A421,"")</f>
        <v/>
      </c>
      <c r="B421" s="10">
        <f>IF(每日收货出货登记!W421&gt;0,每日收货出货登记!D421,"")</f>
        <v/>
      </c>
      <c r="C421" s="10">
        <f>IF(每日收货出货登记!W421&gt;0,每日收货出货登记!G421,"")</f>
        <v/>
      </c>
      <c r="D421" s="10">
        <f>IF(每日收货出货登记!W421&gt;0,每日收货出货登记!E421,"")</f>
        <v/>
      </c>
      <c r="E421" s="10">
        <f>IF(每日收货出货登记!W421&gt;0,每日收货出货登记!Q421,"")</f>
        <v/>
      </c>
      <c r="F421" s="10">
        <f>IF(每日收货出货登记!W421&gt;0,每日收货出货登记!V421,"")</f>
        <v/>
      </c>
      <c r="G421" s="10">
        <f>IF(每日收货出货登记!W421&gt;0,每日收货出货登记!W421,"")</f>
        <v/>
      </c>
      <c r="H421" s="10">
        <f>IF(每日收货出货登记!W421&gt;0,每日收货出货登记!R421,"")</f>
        <v/>
      </c>
      <c r="I421" s="9">
        <f>IF(每日收货出货登记!W421&gt;0,每日收货出货登记!S421,"")</f>
        <v/>
      </c>
      <c r="J421" s="9">
        <f>IF(每日收货出货登记!W421&gt;0,每日收货出货登记!AB421,"")</f>
        <v/>
      </c>
    </row>
    <row r="422" ht="22" customHeight="1">
      <c r="A422" s="9">
        <f>IF(每日收货出货登记!W422&gt;0,每日收货出货登记!A422,"")</f>
        <v/>
      </c>
      <c r="B422" s="10">
        <f>IF(每日收货出货登记!W422&gt;0,每日收货出货登记!D422,"")</f>
        <v/>
      </c>
      <c r="C422" s="10">
        <f>IF(每日收货出货登记!W422&gt;0,每日收货出货登记!G422,"")</f>
        <v/>
      </c>
      <c r="D422" s="10">
        <f>IF(每日收货出货登记!W422&gt;0,每日收货出货登记!E422,"")</f>
        <v/>
      </c>
      <c r="E422" s="10">
        <f>IF(每日收货出货登记!W422&gt;0,每日收货出货登记!Q422,"")</f>
        <v/>
      </c>
      <c r="F422" s="10">
        <f>IF(每日收货出货登记!W422&gt;0,每日收货出货登记!V422,"")</f>
        <v/>
      </c>
      <c r="G422" s="10">
        <f>IF(每日收货出货登记!W422&gt;0,每日收货出货登记!W422,"")</f>
        <v/>
      </c>
      <c r="H422" s="10">
        <f>IF(每日收货出货登记!W422&gt;0,每日收货出货登记!R422,"")</f>
        <v/>
      </c>
      <c r="I422" s="9">
        <f>IF(每日收货出货登记!W422&gt;0,每日收货出货登记!S422,"")</f>
        <v/>
      </c>
      <c r="J422" s="9">
        <f>IF(每日收货出货登记!W422&gt;0,每日收货出货登记!AB422,"")</f>
        <v/>
      </c>
    </row>
    <row r="423" ht="22" customHeight="1">
      <c r="A423" s="9">
        <f>IF(每日收货出货登记!W423&gt;0,每日收货出货登记!A423,"")</f>
        <v/>
      </c>
      <c r="B423" s="10">
        <f>IF(每日收货出货登记!W423&gt;0,每日收货出货登记!D423,"")</f>
        <v/>
      </c>
      <c r="C423" s="10">
        <f>IF(每日收货出货登记!W423&gt;0,每日收货出货登记!G423,"")</f>
        <v/>
      </c>
      <c r="D423" s="10">
        <f>IF(每日收货出货登记!W423&gt;0,每日收货出货登记!E423,"")</f>
        <v/>
      </c>
      <c r="E423" s="10">
        <f>IF(每日收货出货登记!W423&gt;0,每日收货出货登记!Q423,"")</f>
        <v/>
      </c>
      <c r="F423" s="10">
        <f>IF(每日收货出货登记!W423&gt;0,每日收货出货登记!V423,"")</f>
        <v/>
      </c>
      <c r="G423" s="10">
        <f>IF(每日收货出货登记!W423&gt;0,每日收货出货登记!W423,"")</f>
        <v/>
      </c>
      <c r="H423" s="10">
        <f>IF(每日收货出货登记!W423&gt;0,每日收货出货登记!R423,"")</f>
        <v/>
      </c>
      <c r="I423" s="9">
        <f>IF(每日收货出货登记!W423&gt;0,每日收货出货登记!S423,"")</f>
        <v/>
      </c>
      <c r="J423" s="9">
        <f>IF(每日收货出货登记!W423&gt;0,每日收货出货登记!AB423,"")</f>
        <v/>
      </c>
    </row>
    <row r="424" ht="22" customHeight="1">
      <c r="A424" s="9">
        <f>IF(每日收货出货登记!W424&gt;0,每日收货出货登记!A424,"")</f>
        <v/>
      </c>
      <c r="B424" s="10">
        <f>IF(每日收货出货登记!W424&gt;0,每日收货出货登记!D424,"")</f>
        <v/>
      </c>
      <c r="C424" s="10">
        <f>IF(每日收货出货登记!W424&gt;0,每日收货出货登记!G424,"")</f>
        <v/>
      </c>
      <c r="D424" s="10">
        <f>IF(每日收货出货登记!W424&gt;0,每日收货出货登记!E424,"")</f>
        <v/>
      </c>
      <c r="E424" s="10">
        <f>IF(每日收货出货登记!W424&gt;0,每日收货出货登记!Q424,"")</f>
        <v/>
      </c>
      <c r="F424" s="10">
        <f>IF(每日收货出货登记!W424&gt;0,每日收货出货登记!V424,"")</f>
        <v/>
      </c>
      <c r="G424" s="10">
        <f>IF(每日收货出货登记!W424&gt;0,每日收货出货登记!W424,"")</f>
        <v/>
      </c>
      <c r="H424" s="10">
        <f>IF(每日收货出货登记!W424&gt;0,每日收货出货登记!R424,"")</f>
        <v/>
      </c>
      <c r="I424" s="9">
        <f>IF(每日收货出货登记!W424&gt;0,每日收货出货登记!S424,"")</f>
        <v/>
      </c>
      <c r="J424" s="9">
        <f>IF(每日收货出货登记!W424&gt;0,每日收货出货登记!AB424,"")</f>
        <v/>
      </c>
    </row>
    <row r="425" ht="22" customHeight="1">
      <c r="A425" s="9">
        <f>IF(每日收货出货登记!W425&gt;0,每日收货出货登记!A425,"")</f>
        <v/>
      </c>
      <c r="B425" s="10">
        <f>IF(每日收货出货登记!W425&gt;0,每日收货出货登记!D425,"")</f>
        <v/>
      </c>
      <c r="C425" s="10">
        <f>IF(每日收货出货登记!W425&gt;0,每日收货出货登记!G425,"")</f>
        <v/>
      </c>
      <c r="D425" s="10">
        <f>IF(每日收货出货登记!W425&gt;0,每日收货出货登记!E425,"")</f>
        <v/>
      </c>
      <c r="E425" s="10">
        <f>IF(每日收货出货登记!W425&gt;0,每日收货出货登记!Q425,"")</f>
        <v/>
      </c>
      <c r="F425" s="10">
        <f>IF(每日收货出货登记!W425&gt;0,每日收货出货登记!V425,"")</f>
        <v/>
      </c>
      <c r="G425" s="10">
        <f>IF(每日收货出货登记!W425&gt;0,每日收货出货登记!W425,"")</f>
        <v/>
      </c>
      <c r="H425" s="10">
        <f>IF(每日收货出货登记!W425&gt;0,每日收货出货登记!R425,"")</f>
        <v/>
      </c>
      <c r="I425" s="9">
        <f>IF(每日收货出货登记!W425&gt;0,每日收货出货登记!S425,"")</f>
        <v/>
      </c>
      <c r="J425" s="9">
        <f>IF(每日收货出货登记!W425&gt;0,每日收货出货登记!AB425,"")</f>
        <v/>
      </c>
    </row>
    <row r="426" ht="22" customHeight="1">
      <c r="A426" s="9">
        <f>IF(每日收货出货登记!W426&gt;0,每日收货出货登记!A426,"")</f>
        <v/>
      </c>
      <c r="B426" s="10">
        <f>IF(每日收货出货登记!W426&gt;0,每日收货出货登记!D426,"")</f>
        <v/>
      </c>
      <c r="C426" s="10">
        <f>IF(每日收货出货登记!W426&gt;0,每日收货出货登记!G426,"")</f>
        <v/>
      </c>
      <c r="D426" s="10">
        <f>IF(每日收货出货登记!W426&gt;0,每日收货出货登记!E426,"")</f>
        <v/>
      </c>
      <c r="E426" s="10">
        <f>IF(每日收货出货登记!W426&gt;0,每日收货出货登记!Q426,"")</f>
        <v/>
      </c>
      <c r="F426" s="10">
        <f>IF(每日收货出货登记!W426&gt;0,每日收货出货登记!V426,"")</f>
        <v/>
      </c>
      <c r="G426" s="10">
        <f>IF(每日收货出货登记!W426&gt;0,每日收货出货登记!W426,"")</f>
        <v/>
      </c>
      <c r="H426" s="10">
        <f>IF(每日收货出货登记!W426&gt;0,每日收货出货登记!R426,"")</f>
        <v/>
      </c>
      <c r="I426" s="9">
        <f>IF(每日收货出货登记!W426&gt;0,每日收货出货登记!S426,"")</f>
        <v/>
      </c>
      <c r="J426" s="9">
        <f>IF(每日收货出货登记!W426&gt;0,每日收货出货登记!AB426,"")</f>
        <v/>
      </c>
    </row>
    <row r="427" ht="22" customHeight="1">
      <c r="A427" s="9">
        <f>IF(每日收货出货登记!W427&gt;0,每日收货出货登记!A427,"")</f>
        <v/>
      </c>
      <c r="B427" s="10">
        <f>IF(每日收货出货登记!W427&gt;0,每日收货出货登记!D427,"")</f>
        <v/>
      </c>
      <c r="C427" s="10">
        <f>IF(每日收货出货登记!W427&gt;0,每日收货出货登记!G427,"")</f>
        <v/>
      </c>
      <c r="D427" s="10">
        <f>IF(每日收货出货登记!W427&gt;0,每日收货出货登记!E427,"")</f>
        <v/>
      </c>
      <c r="E427" s="10">
        <f>IF(每日收货出货登记!W427&gt;0,每日收货出货登记!Q427,"")</f>
        <v/>
      </c>
      <c r="F427" s="10">
        <f>IF(每日收货出货登记!W427&gt;0,每日收货出货登记!V427,"")</f>
        <v/>
      </c>
      <c r="G427" s="10">
        <f>IF(每日收货出货登记!W427&gt;0,每日收货出货登记!W427,"")</f>
        <v/>
      </c>
      <c r="H427" s="10">
        <f>IF(每日收货出货登记!W427&gt;0,每日收货出货登记!R427,"")</f>
        <v/>
      </c>
      <c r="I427" s="9">
        <f>IF(每日收货出货登记!W427&gt;0,每日收货出货登记!S427,"")</f>
        <v/>
      </c>
      <c r="J427" s="9">
        <f>IF(每日收货出货登记!W427&gt;0,每日收货出货登记!AB427,"")</f>
        <v/>
      </c>
    </row>
    <row r="428" ht="22" customHeight="1">
      <c r="A428" s="9">
        <f>IF(每日收货出货登记!W428&gt;0,每日收货出货登记!A428,"")</f>
        <v/>
      </c>
      <c r="B428" s="10">
        <f>IF(每日收货出货登记!W428&gt;0,每日收货出货登记!D428,"")</f>
        <v/>
      </c>
      <c r="C428" s="10">
        <f>IF(每日收货出货登记!W428&gt;0,每日收货出货登记!G428,"")</f>
        <v/>
      </c>
      <c r="D428" s="10">
        <f>IF(每日收货出货登记!W428&gt;0,每日收货出货登记!E428,"")</f>
        <v/>
      </c>
      <c r="E428" s="10">
        <f>IF(每日收货出货登记!W428&gt;0,每日收货出货登记!Q428,"")</f>
        <v/>
      </c>
      <c r="F428" s="10">
        <f>IF(每日收货出货登记!W428&gt;0,每日收货出货登记!V428,"")</f>
        <v/>
      </c>
      <c r="G428" s="10">
        <f>IF(每日收货出货登记!W428&gt;0,每日收货出货登记!W428,"")</f>
        <v/>
      </c>
      <c r="H428" s="10">
        <f>IF(每日收货出货登记!W428&gt;0,每日收货出货登记!R428,"")</f>
        <v/>
      </c>
      <c r="I428" s="9">
        <f>IF(每日收货出货登记!W428&gt;0,每日收货出货登记!S428,"")</f>
        <v/>
      </c>
      <c r="J428" s="9">
        <f>IF(每日收货出货登记!W428&gt;0,每日收货出货登记!AB428,"")</f>
        <v/>
      </c>
    </row>
    <row r="429" ht="22" customHeight="1">
      <c r="A429" s="9">
        <f>IF(每日收货出货登记!W429&gt;0,每日收货出货登记!A429,"")</f>
        <v/>
      </c>
      <c r="B429" s="10">
        <f>IF(每日收货出货登记!W429&gt;0,每日收货出货登记!D429,"")</f>
        <v/>
      </c>
      <c r="C429" s="10">
        <f>IF(每日收货出货登记!W429&gt;0,每日收货出货登记!G429,"")</f>
        <v/>
      </c>
      <c r="D429" s="10">
        <f>IF(每日收货出货登记!W429&gt;0,每日收货出货登记!E429,"")</f>
        <v/>
      </c>
      <c r="E429" s="10">
        <f>IF(每日收货出货登记!W429&gt;0,每日收货出货登记!Q429,"")</f>
        <v/>
      </c>
      <c r="F429" s="10">
        <f>IF(每日收货出货登记!W429&gt;0,每日收货出货登记!V429,"")</f>
        <v/>
      </c>
      <c r="G429" s="10">
        <f>IF(每日收货出货登记!W429&gt;0,每日收货出货登记!W429,"")</f>
        <v/>
      </c>
      <c r="H429" s="10">
        <f>IF(每日收货出货登记!W429&gt;0,每日收货出货登记!R429,"")</f>
        <v/>
      </c>
      <c r="I429" s="9">
        <f>IF(每日收货出货登记!W429&gt;0,每日收货出货登记!S429,"")</f>
        <v/>
      </c>
      <c r="J429" s="9">
        <f>IF(每日收货出货登记!W429&gt;0,每日收货出货登记!AB429,"")</f>
        <v/>
      </c>
    </row>
    <row r="430" ht="22" customHeight="1">
      <c r="A430" s="9">
        <f>IF(每日收货出货登记!W430&gt;0,每日收货出货登记!A430,"")</f>
        <v/>
      </c>
      <c r="B430" s="10">
        <f>IF(每日收货出货登记!W430&gt;0,每日收货出货登记!D430,"")</f>
        <v/>
      </c>
      <c r="C430" s="10">
        <f>IF(每日收货出货登记!W430&gt;0,每日收货出货登记!G430,"")</f>
        <v/>
      </c>
      <c r="D430" s="10">
        <f>IF(每日收货出货登记!W430&gt;0,每日收货出货登记!E430,"")</f>
        <v/>
      </c>
      <c r="E430" s="10">
        <f>IF(每日收货出货登记!W430&gt;0,每日收货出货登记!Q430,"")</f>
        <v/>
      </c>
      <c r="F430" s="10">
        <f>IF(每日收货出货登记!W430&gt;0,每日收货出货登记!V430,"")</f>
        <v/>
      </c>
      <c r="G430" s="10">
        <f>IF(每日收货出货登记!W430&gt;0,每日收货出货登记!W430,"")</f>
        <v/>
      </c>
      <c r="H430" s="10">
        <f>IF(每日收货出货登记!W430&gt;0,每日收货出货登记!R430,"")</f>
        <v/>
      </c>
      <c r="I430" s="9">
        <f>IF(每日收货出货登记!W430&gt;0,每日收货出货登记!S430,"")</f>
        <v/>
      </c>
      <c r="J430" s="9">
        <f>IF(每日收货出货登记!W430&gt;0,每日收货出货登记!AB430,"")</f>
        <v/>
      </c>
    </row>
    <row r="431" ht="22" customHeight="1">
      <c r="A431" s="9">
        <f>IF(每日收货出货登记!W431&gt;0,每日收货出货登记!A431,"")</f>
        <v/>
      </c>
      <c r="B431" s="10">
        <f>IF(每日收货出货登记!W431&gt;0,每日收货出货登记!D431,"")</f>
        <v/>
      </c>
      <c r="C431" s="10">
        <f>IF(每日收货出货登记!W431&gt;0,每日收货出货登记!G431,"")</f>
        <v/>
      </c>
      <c r="D431" s="10">
        <f>IF(每日收货出货登记!W431&gt;0,每日收货出货登记!E431,"")</f>
        <v/>
      </c>
      <c r="E431" s="10">
        <f>IF(每日收货出货登记!W431&gt;0,每日收货出货登记!Q431,"")</f>
        <v/>
      </c>
      <c r="F431" s="10">
        <f>IF(每日收货出货登记!W431&gt;0,每日收货出货登记!V431,"")</f>
        <v/>
      </c>
      <c r="G431" s="10">
        <f>IF(每日收货出货登记!W431&gt;0,每日收货出货登记!W431,"")</f>
        <v/>
      </c>
      <c r="H431" s="10">
        <f>IF(每日收货出货登记!W431&gt;0,每日收货出货登记!R431,"")</f>
        <v/>
      </c>
      <c r="I431" s="9">
        <f>IF(每日收货出货登记!W431&gt;0,每日收货出货登记!S431,"")</f>
        <v/>
      </c>
      <c r="J431" s="9">
        <f>IF(每日收货出货登记!W431&gt;0,每日收货出货登记!AB431,"")</f>
        <v/>
      </c>
    </row>
    <row r="432" ht="22" customHeight="1">
      <c r="A432" s="9">
        <f>IF(每日收货出货登记!W432&gt;0,每日收货出货登记!A432,"")</f>
        <v/>
      </c>
      <c r="B432" s="10">
        <f>IF(每日收货出货登记!W432&gt;0,每日收货出货登记!D432,"")</f>
        <v/>
      </c>
      <c r="C432" s="10">
        <f>IF(每日收货出货登记!W432&gt;0,每日收货出货登记!G432,"")</f>
        <v/>
      </c>
      <c r="D432" s="10">
        <f>IF(每日收货出货登记!W432&gt;0,每日收货出货登记!E432,"")</f>
        <v/>
      </c>
      <c r="E432" s="10">
        <f>IF(每日收货出货登记!W432&gt;0,每日收货出货登记!Q432,"")</f>
        <v/>
      </c>
      <c r="F432" s="10">
        <f>IF(每日收货出货登记!W432&gt;0,每日收货出货登记!V432,"")</f>
        <v/>
      </c>
      <c r="G432" s="10">
        <f>IF(每日收货出货登记!W432&gt;0,每日收货出货登记!W432,"")</f>
        <v/>
      </c>
      <c r="H432" s="10">
        <f>IF(每日收货出货登记!W432&gt;0,每日收货出货登记!R432,"")</f>
        <v/>
      </c>
      <c r="I432" s="9">
        <f>IF(每日收货出货登记!W432&gt;0,每日收货出货登记!S432,"")</f>
        <v/>
      </c>
      <c r="J432" s="9">
        <f>IF(每日收货出货登记!W432&gt;0,每日收货出货登记!AB432,"")</f>
        <v/>
      </c>
    </row>
    <row r="433" ht="22" customHeight="1">
      <c r="A433" s="9">
        <f>IF(每日收货出货登记!W433&gt;0,每日收货出货登记!A433,"")</f>
        <v/>
      </c>
      <c r="B433" s="10">
        <f>IF(每日收货出货登记!W433&gt;0,每日收货出货登记!D433,"")</f>
        <v/>
      </c>
      <c r="C433" s="10">
        <f>IF(每日收货出货登记!W433&gt;0,每日收货出货登记!G433,"")</f>
        <v/>
      </c>
      <c r="D433" s="10">
        <f>IF(每日收货出货登记!W433&gt;0,每日收货出货登记!E433,"")</f>
        <v/>
      </c>
      <c r="E433" s="10">
        <f>IF(每日收货出货登记!W433&gt;0,每日收货出货登记!Q433,"")</f>
        <v/>
      </c>
      <c r="F433" s="10">
        <f>IF(每日收货出货登记!W433&gt;0,每日收货出货登记!V433,"")</f>
        <v/>
      </c>
      <c r="G433" s="10">
        <f>IF(每日收货出货登记!W433&gt;0,每日收货出货登记!W433,"")</f>
        <v/>
      </c>
      <c r="H433" s="10">
        <f>IF(每日收货出货登记!W433&gt;0,每日收货出货登记!R433,"")</f>
        <v/>
      </c>
      <c r="I433" s="9">
        <f>IF(每日收货出货登记!W433&gt;0,每日收货出货登记!S433,"")</f>
        <v/>
      </c>
      <c r="J433" s="9">
        <f>IF(每日收货出货登记!W433&gt;0,每日收货出货登记!AB433,"")</f>
        <v/>
      </c>
    </row>
    <row r="434" ht="22" customHeight="1">
      <c r="A434" s="9">
        <f>IF(每日收货出货登记!W434&gt;0,每日收货出货登记!A434,"")</f>
        <v/>
      </c>
      <c r="B434" s="10">
        <f>IF(每日收货出货登记!W434&gt;0,每日收货出货登记!D434,"")</f>
        <v/>
      </c>
      <c r="C434" s="10">
        <f>IF(每日收货出货登记!W434&gt;0,每日收货出货登记!G434,"")</f>
        <v/>
      </c>
      <c r="D434" s="10">
        <f>IF(每日收货出货登记!W434&gt;0,每日收货出货登记!E434,"")</f>
        <v/>
      </c>
      <c r="E434" s="10">
        <f>IF(每日收货出货登记!W434&gt;0,每日收货出货登记!Q434,"")</f>
        <v/>
      </c>
      <c r="F434" s="10">
        <f>IF(每日收货出货登记!W434&gt;0,每日收货出货登记!V434,"")</f>
        <v/>
      </c>
      <c r="G434" s="10">
        <f>IF(每日收货出货登记!W434&gt;0,每日收货出货登记!W434,"")</f>
        <v/>
      </c>
      <c r="H434" s="10">
        <f>IF(每日收货出货登记!W434&gt;0,每日收货出货登记!R434,"")</f>
        <v/>
      </c>
      <c r="I434" s="9">
        <f>IF(每日收货出货登记!W434&gt;0,每日收货出货登记!S434,"")</f>
        <v/>
      </c>
      <c r="J434" s="9">
        <f>IF(每日收货出货登记!W434&gt;0,每日收货出货登记!AB434,"")</f>
        <v/>
      </c>
    </row>
    <row r="435" ht="22" customHeight="1">
      <c r="A435" s="9">
        <f>IF(每日收货出货登记!W435&gt;0,每日收货出货登记!A435,"")</f>
        <v/>
      </c>
      <c r="B435" s="10">
        <f>IF(每日收货出货登记!W435&gt;0,每日收货出货登记!D435,"")</f>
        <v/>
      </c>
      <c r="C435" s="10">
        <f>IF(每日收货出货登记!W435&gt;0,每日收货出货登记!G435,"")</f>
        <v/>
      </c>
      <c r="D435" s="10">
        <f>IF(每日收货出货登记!W435&gt;0,每日收货出货登记!E435,"")</f>
        <v/>
      </c>
      <c r="E435" s="10">
        <f>IF(每日收货出货登记!W435&gt;0,每日收货出货登记!Q435,"")</f>
        <v/>
      </c>
      <c r="F435" s="10">
        <f>IF(每日收货出货登记!W435&gt;0,每日收货出货登记!V435,"")</f>
        <v/>
      </c>
      <c r="G435" s="10">
        <f>IF(每日收货出货登记!W435&gt;0,每日收货出货登记!W435,"")</f>
        <v/>
      </c>
      <c r="H435" s="10">
        <f>IF(每日收货出货登记!W435&gt;0,每日收货出货登记!R435,"")</f>
        <v/>
      </c>
      <c r="I435" s="9">
        <f>IF(每日收货出货登记!W435&gt;0,每日收货出货登记!S435,"")</f>
        <v/>
      </c>
      <c r="J435" s="9">
        <f>IF(每日收货出货登记!W435&gt;0,每日收货出货登记!AB435,"")</f>
        <v/>
      </c>
    </row>
    <row r="436" ht="22" customHeight="1">
      <c r="A436" s="9">
        <f>IF(每日收货出货登记!W436&gt;0,每日收货出货登记!A436,"")</f>
        <v/>
      </c>
      <c r="B436" s="10">
        <f>IF(每日收货出货登记!W436&gt;0,每日收货出货登记!D436,"")</f>
        <v/>
      </c>
      <c r="C436" s="10">
        <f>IF(每日收货出货登记!W436&gt;0,每日收货出货登记!G436,"")</f>
        <v/>
      </c>
      <c r="D436" s="10">
        <f>IF(每日收货出货登记!W436&gt;0,每日收货出货登记!E436,"")</f>
        <v/>
      </c>
      <c r="E436" s="10">
        <f>IF(每日收货出货登记!W436&gt;0,每日收货出货登记!Q436,"")</f>
        <v/>
      </c>
      <c r="F436" s="10">
        <f>IF(每日收货出货登记!W436&gt;0,每日收货出货登记!V436,"")</f>
        <v/>
      </c>
      <c r="G436" s="10">
        <f>IF(每日收货出货登记!W436&gt;0,每日收货出货登记!W436,"")</f>
        <v/>
      </c>
      <c r="H436" s="10">
        <f>IF(每日收货出货登记!W436&gt;0,每日收货出货登记!R436,"")</f>
        <v/>
      </c>
      <c r="I436" s="9">
        <f>IF(每日收货出货登记!W436&gt;0,每日收货出货登记!S436,"")</f>
        <v/>
      </c>
      <c r="J436" s="9">
        <f>IF(每日收货出货登记!W436&gt;0,每日收货出货登记!AB436,"")</f>
        <v/>
      </c>
    </row>
    <row r="437" ht="22" customHeight="1">
      <c r="A437" s="9">
        <f>IF(每日收货出货登记!W437&gt;0,每日收货出货登记!A437,"")</f>
        <v/>
      </c>
      <c r="B437" s="10">
        <f>IF(每日收货出货登记!W437&gt;0,每日收货出货登记!D437,"")</f>
        <v/>
      </c>
      <c r="C437" s="10">
        <f>IF(每日收货出货登记!W437&gt;0,每日收货出货登记!G437,"")</f>
        <v/>
      </c>
      <c r="D437" s="10">
        <f>IF(每日收货出货登记!W437&gt;0,每日收货出货登记!E437,"")</f>
        <v/>
      </c>
      <c r="E437" s="10">
        <f>IF(每日收货出货登记!W437&gt;0,每日收货出货登记!Q437,"")</f>
        <v/>
      </c>
      <c r="F437" s="10">
        <f>IF(每日收货出货登记!W437&gt;0,每日收货出货登记!V437,"")</f>
        <v/>
      </c>
      <c r="G437" s="10">
        <f>IF(每日收货出货登记!W437&gt;0,每日收货出货登记!W437,"")</f>
        <v/>
      </c>
      <c r="H437" s="10">
        <f>IF(每日收货出货登记!W437&gt;0,每日收货出货登记!R437,"")</f>
        <v/>
      </c>
      <c r="I437" s="9">
        <f>IF(每日收货出货登记!W437&gt;0,每日收货出货登记!S437,"")</f>
        <v/>
      </c>
      <c r="J437" s="9">
        <f>IF(每日收货出货登记!W437&gt;0,每日收货出货登记!AB437,"")</f>
        <v/>
      </c>
    </row>
    <row r="438" ht="22" customHeight="1">
      <c r="A438" s="9">
        <f>IF(每日收货出货登记!W438&gt;0,每日收货出货登记!A438,"")</f>
        <v/>
      </c>
      <c r="B438" s="10">
        <f>IF(每日收货出货登记!W438&gt;0,每日收货出货登记!D438,"")</f>
        <v/>
      </c>
      <c r="C438" s="10">
        <f>IF(每日收货出货登记!W438&gt;0,每日收货出货登记!G438,"")</f>
        <v/>
      </c>
      <c r="D438" s="10">
        <f>IF(每日收货出货登记!W438&gt;0,每日收货出货登记!E438,"")</f>
        <v/>
      </c>
      <c r="E438" s="10">
        <f>IF(每日收货出货登记!W438&gt;0,每日收货出货登记!Q438,"")</f>
        <v/>
      </c>
      <c r="F438" s="10">
        <f>IF(每日收货出货登记!W438&gt;0,每日收货出货登记!V438,"")</f>
        <v/>
      </c>
      <c r="G438" s="10">
        <f>IF(每日收货出货登记!W438&gt;0,每日收货出货登记!W438,"")</f>
        <v/>
      </c>
      <c r="H438" s="10">
        <f>IF(每日收货出货登记!W438&gt;0,每日收货出货登记!R438,"")</f>
        <v/>
      </c>
      <c r="I438" s="9">
        <f>IF(每日收货出货登记!W438&gt;0,每日收货出货登记!S438,"")</f>
        <v/>
      </c>
      <c r="J438" s="9">
        <f>IF(每日收货出货登记!W438&gt;0,每日收货出货登记!AB438,"")</f>
        <v/>
      </c>
    </row>
    <row r="439" ht="22" customHeight="1">
      <c r="A439" s="9">
        <f>IF(每日收货出货登记!W439&gt;0,每日收货出货登记!A439,"")</f>
        <v/>
      </c>
      <c r="B439" s="10">
        <f>IF(每日收货出货登记!W439&gt;0,每日收货出货登记!D439,"")</f>
        <v/>
      </c>
      <c r="C439" s="10">
        <f>IF(每日收货出货登记!W439&gt;0,每日收货出货登记!G439,"")</f>
        <v/>
      </c>
      <c r="D439" s="10">
        <f>IF(每日收货出货登记!W439&gt;0,每日收货出货登记!E439,"")</f>
        <v/>
      </c>
      <c r="E439" s="10">
        <f>IF(每日收货出货登记!W439&gt;0,每日收货出货登记!Q439,"")</f>
        <v/>
      </c>
      <c r="F439" s="10">
        <f>IF(每日收货出货登记!W439&gt;0,每日收货出货登记!V439,"")</f>
        <v/>
      </c>
      <c r="G439" s="10">
        <f>IF(每日收货出货登记!W439&gt;0,每日收货出货登记!W439,"")</f>
        <v/>
      </c>
      <c r="H439" s="10">
        <f>IF(每日收货出货登记!W439&gt;0,每日收货出货登记!R439,"")</f>
        <v/>
      </c>
      <c r="I439" s="9">
        <f>IF(每日收货出货登记!W439&gt;0,每日收货出货登记!S439,"")</f>
        <v/>
      </c>
      <c r="J439" s="9">
        <f>IF(每日收货出货登记!W439&gt;0,每日收货出货登记!AB439,"")</f>
        <v/>
      </c>
    </row>
    <row r="440" ht="22" customHeight="1">
      <c r="A440" s="9">
        <f>IF(每日收货出货登记!W440&gt;0,每日收货出货登记!A440,"")</f>
        <v/>
      </c>
      <c r="B440" s="10">
        <f>IF(每日收货出货登记!W440&gt;0,每日收货出货登记!D440,"")</f>
        <v/>
      </c>
      <c r="C440" s="10">
        <f>IF(每日收货出货登记!W440&gt;0,每日收货出货登记!G440,"")</f>
        <v/>
      </c>
      <c r="D440" s="10">
        <f>IF(每日收货出货登记!W440&gt;0,每日收货出货登记!E440,"")</f>
        <v/>
      </c>
      <c r="E440" s="10">
        <f>IF(每日收货出货登记!W440&gt;0,每日收货出货登记!Q440,"")</f>
        <v/>
      </c>
      <c r="F440" s="10">
        <f>IF(每日收货出货登记!W440&gt;0,每日收货出货登记!V440,"")</f>
        <v/>
      </c>
      <c r="G440" s="10">
        <f>IF(每日收货出货登记!W440&gt;0,每日收货出货登记!W440,"")</f>
        <v/>
      </c>
      <c r="H440" s="10">
        <f>IF(每日收货出货登记!W440&gt;0,每日收货出货登记!R440,"")</f>
        <v/>
      </c>
      <c r="I440" s="9">
        <f>IF(每日收货出货登记!W440&gt;0,每日收货出货登记!S440,"")</f>
        <v/>
      </c>
      <c r="J440" s="9">
        <f>IF(每日收货出货登记!W440&gt;0,每日收货出货登记!AB440,"")</f>
        <v/>
      </c>
    </row>
    <row r="441" ht="22" customHeight="1">
      <c r="A441" s="9">
        <f>IF(每日收货出货登记!W441&gt;0,每日收货出货登记!A441,"")</f>
        <v/>
      </c>
      <c r="B441" s="10">
        <f>IF(每日收货出货登记!W441&gt;0,每日收货出货登记!D441,"")</f>
        <v/>
      </c>
      <c r="C441" s="10">
        <f>IF(每日收货出货登记!W441&gt;0,每日收货出货登记!G441,"")</f>
        <v/>
      </c>
      <c r="D441" s="10">
        <f>IF(每日收货出货登记!W441&gt;0,每日收货出货登记!E441,"")</f>
        <v/>
      </c>
      <c r="E441" s="10">
        <f>IF(每日收货出货登记!W441&gt;0,每日收货出货登记!Q441,"")</f>
        <v/>
      </c>
      <c r="F441" s="10">
        <f>IF(每日收货出货登记!W441&gt;0,每日收货出货登记!V441,"")</f>
        <v/>
      </c>
      <c r="G441" s="10">
        <f>IF(每日收货出货登记!W441&gt;0,每日收货出货登记!W441,"")</f>
        <v/>
      </c>
      <c r="H441" s="10">
        <f>IF(每日收货出货登记!W441&gt;0,每日收货出货登记!R441,"")</f>
        <v/>
      </c>
      <c r="I441" s="9">
        <f>IF(每日收货出货登记!W441&gt;0,每日收货出货登记!S441,"")</f>
        <v/>
      </c>
      <c r="J441" s="9">
        <f>IF(每日收货出货登记!W441&gt;0,每日收货出货登记!AB441,"")</f>
        <v/>
      </c>
    </row>
    <row r="442" ht="22" customHeight="1">
      <c r="A442" s="9">
        <f>IF(每日收货出货登记!W442&gt;0,每日收货出货登记!A442,"")</f>
        <v/>
      </c>
      <c r="B442" s="10">
        <f>IF(每日收货出货登记!W442&gt;0,每日收货出货登记!D442,"")</f>
        <v/>
      </c>
      <c r="C442" s="10">
        <f>IF(每日收货出货登记!W442&gt;0,每日收货出货登记!G442,"")</f>
        <v/>
      </c>
      <c r="D442" s="10">
        <f>IF(每日收货出货登记!W442&gt;0,每日收货出货登记!E442,"")</f>
        <v/>
      </c>
      <c r="E442" s="10">
        <f>IF(每日收货出货登记!W442&gt;0,每日收货出货登记!Q442,"")</f>
        <v/>
      </c>
      <c r="F442" s="10">
        <f>IF(每日收货出货登记!W442&gt;0,每日收货出货登记!V442,"")</f>
        <v/>
      </c>
      <c r="G442" s="10">
        <f>IF(每日收货出货登记!W442&gt;0,每日收货出货登记!W442,"")</f>
        <v/>
      </c>
      <c r="H442" s="10">
        <f>IF(每日收货出货登记!W442&gt;0,每日收货出货登记!R442,"")</f>
        <v/>
      </c>
      <c r="I442" s="9">
        <f>IF(每日收货出货登记!W442&gt;0,每日收货出货登记!S442,"")</f>
        <v/>
      </c>
      <c r="J442" s="9">
        <f>IF(每日收货出货登记!W442&gt;0,每日收货出货登记!AB442,"")</f>
        <v/>
      </c>
    </row>
    <row r="443" ht="22" customHeight="1">
      <c r="A443" s="9">
        <f>IF(每日收货出货登记!W443&gt;0,每日收货出货登记!A443,"")</f>
        <v/>
      </c>
      <c r="B443" s="10">
        <f>IF(每日收货出货登记!W443&gt;0,每日收货出货登记!D443,"")</f>
        <v/>
      </c>
      <c r="C443" s="10">
        <f>IF(每日收货出货登记!W443&gt;0,每日收货出货登记!G443,"")</f>
        <v/>
      </c>
      <c r="D443" s="10">
        <f>IF(每日收货出货登记!W443&gt;0,每日收货出货登记!E443,"")</f>
        <v/>
      </c>
      <c r="E443" s="10">
        <f>IF(每日收货出货登记!W443&gt;0,每日收货出货登记!Q443,"")</f>
        <v/>
      </c>
      <c r="F443" s="10">
        <f>IF(每日收货出货登记!W443&gt;0,每日收货出货登记!V443,"")</f>
        <v/>
      </c>
      <c r="G443" s="10">
        <f>IF(每日收货出货登记!W443&gt;0,每日收货出货登记!W443,"")</f>
        <v/>
      </c>
      <c r="H443" s="10">
        <f>IF(每日收货出货登记!W443&gt;0,每日收货出货登记!R443,"")</f>
        <v/>
      </c>
      <c r="I443" s="9">
        <f>IF(每日收货出货登记!W443&gt;0,每日收货出货登记!S443,"")</f>
        <v/>
      </c>
      <c r="J443" s="9">
        <f>IF(每日收货出货登记!W443&gt;0,每日收货出货登记!AB443,"")</f>
        <v/>
      </c>
    </row>
    <row r="444" ht="22" customHeight="1">
      <c r="A444" s="9">
        <f>IF(每日收货出货登记!W444&gt;0,每日收货出货登记!A444,"")</f>
        <v/>
      </c>
      <c r="B444" s="10">
        <f>IF(每日收货出货登记!W444&gt;0,每日收货出货登记!D444,"")</f>
        <v/>
      </c>
      <c r="C444" s="10">
        <f>IF(每日收货出货登记!W444&gt;0,每日收货出货登记!G444,"")</f>
        <v/>
      </c>
      <c r="D444" s="10">
        <f>IF(每日收货出货登记!W444&gt;0,每日收货出货登记!E444,"")</f>
        <v/>
      </c>
      <c r="E444" s="10">
        <f>IF(每日收货出货登记!W444&gt;0,每日收货出货登记!Q444,"")</f>
        <v/>
      </c>
      <c r="F444" s="10">
        <f>IF(每日收货出货登记!W444&gt;0,每日收货出货登记!V444,"")</f>
        <v/>
      </c>
      <c r="G444" s="10">
        <f>IF(每日收货出货登记!W444&gt;0,每日收货出货登记!W444,"")</f>
        <v/>
      </c>
      <c r="H444" s="10">
        <f>IF(每日收货出货登记!W444&gt;0,每日收货出货登记!R444,"")</f>
        <v/>
      </c>
      <c r="I444" s="9">
        <f>IF(每日收货出货登记!W444&gt;0,每日收货出货登记!S444,"")</f>
        <v/>
      </c>
      <c r="J444" s="9">
        <f>IF(每日收货出货登记!W444&gt;0,每日收货出货登记!AB444,"")</f>
        <v/>
      </c>
    </row>
    <row r="445" ht="22" customHeight="1">
      <c r="A445" s="9">
        <f>IF(每日收货出货登记!W445&gt;0,每日收货出货登记!A445,"")</f>
        <v/>
      </c>
      <c r="B445" s="10">
        <f>IF(每日收货出货登记!W445&gt;0,每日收货出货登记!D445,"")</f>
        <v/>
      </c>
      <c r="C445" s="10">
        <f>IF(每日收货出货登记!W445&gt;0,每日收货出货登记!G445,"")</f>
        <v/>
      </c>
      <c r="D445" s="10">
        <f>IF(每日收货出货登记!W445&gt;0,每日收货出货登记!E445,"")</f>
        <v/>
      </c>
      <c r="E445" s="10">
        <f>IF(每日收货出货登记!W445&gt;0,每日收货出货登记!Q445,"")</f>
        <v/>
      </c>
      <c r="F445" s="10">
        <f>IF(每日收货出货登记!W445&gt;0,每日收货出货登记!V445,"")</f>
        <v/>
      </c>
      <c r="G445" s="10">
        <f>IF(每日收货出货登记!W445&gt;0,每日收货出货登记!W445,"")</f>
        <v/>
      </c>
      <c r="H445" s="10">
        <f>IF(每日收货出货登记!W445&gt;0,每日收货出货登记!R445,"")</f>
        <v/>
      </c>
      <c r="I445" s="9">
        <f>IF(每日收货出货登记!W445&gt;0,每日收货出货登记!S445,"")</f>
        <v/>
      </c>
      <c r="J445" s="9">
        <f>IF(每日收货出货登记!W445&gt;0,每日收货出货登记!AB445,"")</f>
        <v/>
      </c>
    </row>
    <row r="446" ht="22" customHeight="1">
      <c r="A446" s="9">
        <f>IF(每日收货出货登记!W446&gt;0,每日收货出货登记!A446,"")</f>
        <v/>
      </c>
      <c r="B446" s="10">
        <f>IF(每日收货出货登记!W446&gt;0,每日收货出货登记!D446,"")</f>
        <v/>
      </c>
      <c r="C446" s="10">
        <f>IF(每日收货出货登记!W446&gt;0,每日收货出货登记!G446,"")</f>
        <v/>
      </c>
      <c r="D446" s="10">
        <f>IF(每日收货出货登记!W446&gt;0,每日收货出货登记!E446,"")</f>
        <v/>
      </c>
      <c r="E446" s="10">
        <f>IF(每日收货出货登记!W446&gt;0,每日收货出货登记!Q446,"")</f>
        <v/>
      </c>
      <c r="F446" s="10">
        <f>IF(每日收货出货登记!W446&gt;0,每日收货出货登记!V446,"")</f>
        <v/>
      </c>
      <c r="G446" s="10">
        <f>IF(每日收货出货登记!W446&gt;0,每日收货出货登记!W446,"")</f>
        <v/>
      </c>
      <c r="H446" s="10">
        <f>IF(每日收货出货登记!W446&gt;0,每日收货出货登记!R446,"")</f>
        <v/>
      </c>
      <c r="I446" s="9">
        <f>IF(每日收货出货登记!W446&gt;0,每日收货出货登记!S446,"")</f>
        <v/>
      </c>
      <c r="J446" s="9">
        <f>IF(每日收货出货登记!W446&gt;0,每日收货出货登记!AB446,"")</f>
        <v/>
      </c>
    </row>
    <row r="447" ht="22" customHeight="1">
      <c r="A447" s="9">
        <f>IF(每日收货出货登记!W447&gt;0,每日收货出货登记!A447,"")</f>
        <v/>
      </c>
      <c r="B447" s="10">
        <f>IF(每日收货出货登记!W447&gt;0,每日收货出货登记!D447,"")</f>
        <v/>
      </c>
      <c r="C447" s="10">
        <f>IF(每日收货出货登记!W447&gt;0,每日收货出货登记!G447,"")</f>
        <v/>
      </c>
      <c r="D447" s="10">
        <f>IF(每日收货出货登记!W447&gt;0,每日收货出货登记!E447,"")</f>
        <v/>
      </c>
      <c r="E447" s="10">
        <f>IF(每日收货出货登记!W447&gt;0,每日收货出货登记!Q447,"")</f>
        <v/>
      </c>
      <c r="F447" s="10">
        <f>IF(每日收货出货登记!W447&gt;0,每日收货出货登记!V447,"")</f>
        <v/>
      </c>
      <c r="G447" s="10">
        <f>IF(每日收货出货登记!W447&gt;0,每日收货出货登记!W447,"")</f>
        <v/>
      </c>
      <c r="H447" s="10">
        <f>IF(每日收货出货登记!W447&gt;0,每日收货出货登记!R447,"")</f>
        <v/>
      </c>
      <c r="I447" s="9">
        <f>IF(每日收货出货登记!W447&gt;0,每日收货出货登记!S447,"")</f>
        <v/>
      </c>
      <c r="J447" s="9">
        <f>IF(每日收货出货登记!W447&gt;0,每日收货出货登记!AB447,"")</f>
        <v/>
      </c>
    </row>
    <row r="448" ht="22" customHeight="1">
      <c r="A448" s="9">
        <f>IF(每日收货出货登记!W448&gt;0,每日收货出货登记!A448,"")</f>
        <v/>
      </c>
      <c r="B448" s="10">
        <f>IF(每日收货出货登记!W448&gt;0,每日收货出货登记!D448,"")</f>
        <v/>
      </c>
      <c r="C448" s="10">
        <f>IF(每日收货出货登记!W448&gt;0,每日收货出货登记!G448,"")</f>
        <v/>
      </c>
      <c r="D448" s="10">
        <f>IF(每日收货出货登记!W448&gt;0,每日收货出货登记!E448,"")</f>
        <v/>
      </c>
      <c r="E448" s="10">
        <f>IF(每日收货出货登记!W448&gt;0,每日收货出货登记!Q448,"")</f>
        <v/>
      </c>
      <c r="F448" s="10">
        <f>IF(每日收货出货登记!W448&gt;0,每日收货出货登记!V448,"")</f>
        <v/>
      </c>
      <c r="G448" s="10">
        <f>IF(每日收货出货登记!W448&gt;0,每日收货出货登记!W448,"")</f>
        <v/>
      </c>
      <c r="H448" s="10">
        <f>IF(每日收货出货登记!W448&gt;0,每日收货出货登记!R448,"")</f>
        <v/>
      </c>
      <c r="I448" s="9">
        <f>IF(每日收货出货登记!W448&gt;0,每日收货出货登记!S448,"")</f>
        <v/>
      </c>
      <c r="J448" s="9">
        <f>IF(每日收货出货登记!W448&gt;0,每日收货出货登记!AB448,"")</f>
        <v/>
      </c>
    </row>
    <row r="449" ht="22" customHeight="1">
      <c r="A449" s="9">
        <f>IF(每日收货出货登记!W449&gt;0,每日收货出货登记!A449,"")</f>
        <v/>
      </c>
      <c r="B449" s="10">
        <f>IF(每日收货出货登记!W449&gt;0,每日收货出货登记!D449,"")</f>
        <v/>
      </c>
      <c r="C449" s="10">
        <f>IF(每日收货出货登记!W449&gt;0,每日收货出货登记!G449,"")</f>
        <v/>
      </c>
      <c r="D449" s="10">
        <f>IF(每日收货出货登记!W449&gt;0,每日收货出货登记!E449,"")</f>
        <v/>
      </c>
      <c r="E449" s="10">
        <f>IF(每日收货出货登记!W449&gt;0,每日收货出货登记!Q449,"")</f>
        <v/>
      </c>
      <c r="F449" s="10">
        <f>IF(每日收货出货登记!W449&gt;0,每日收货出货登记!V449,"")</f>
        <v/>
      </c>
      <c r="G449" s="10">
        <f>IF(每日收货出货登记!W449&gt;0,每日收货出货登记!W449,"")</f>
        <v/>
      </c>
      <c r="H449" s="10">
        <f>IF(每日收货出货登记!W449&gt;0,每日收货出货登记!R449,"")</f>
        <v/>
      </c>
      <c r="I449" s="9">
        <f>IF(每日收货出货登记!W449&gt;0,每日收货出货登记!S449,"")</f>
        <v/>
      </c>
      <c r="J449" s="9">
        <f>IF(每日收货出货登记!W449&gt;0,每日收货出货登记!AB449,"")</f>
        <v/>
      </c>
    </row>
    <row r="450" ht="22" customHeight="1">
      <c r="A450" s="9">
        <f>IF(每日收货出货登记!W450&gt;0,每日收货出货登记!A450,"")</f>
        <v/>
      </c>
      <c r="B450" s="10">
        <f>IF(每日收货出货登记!W450&gt;0,每日收货出货登记!D450,"")</f>
        <v/>
      </c>
      <c r="C450" s="10">
        <f>IF(每日收货出货登记!W450&gt;0,每日收货出货登记!G450,"")</f>
        <v/>
      </c>
      <c r="D450" s="10">
        <f>IF(每日收货出货登记!W450&gt;0,每日收货出货登记!E450,"")</f>
        <v/>
      </c>
      <c r="E450" s="10">
        <f>IF(每日收货出货登记!W450&gt;0,每日收货出货登记!Q450,"")</f>
        <v/>
      </c>
      <c r="F450" s="10">
        <f>IF(每日收货出货登记!W450&gt;0,每日收货出货登记!V450,"")</f>
        <v/>
      </c>
      <c r="G450" s="10">
        <f>IF(每日收货出货登记!W450&gt;0,每日收货出货登记!W450,"")</f>
        <v/>
      </c>
      <c r="H450" s="10">
        <f>IF(每日收货出货登记!W450&gt;0,每日收货出货登记!R450,"")</f>
        <v/>
      </c>
      <c r="I450" s="9">
        <f>IF(每日收货出货登记!W450&gt;0,每日收货出货登记!S450,"")</f>
        <v/>
      </c>
      <c r="J450" s="9">
        <f>IF(每日收货出货登记!W450&gt;0,每日收货出货登记!AB450,"")</f>
        <v/>
      </c>
    </row>
    <row r="451" ht="22" customHeight="1">
      <c r="A451" s="9">
        <f>IF(每日收货出货登记!W451&gt;0,每日收货出货登记!A451,"")</f>
        <v/>
      </c>
      <c r="B451" s="10">
        <f>IF(每日收货出货登记!W451&gt;0,每日收货出货登记!D451,"")</f>
        <v/>
      </c>
      <c r="C451" s="10">
        <f>IF(每日收货出货登记!W451&gt;0,每日收货出货登记!G451,"")</f>
        <v/>
      </c>
      <c r="D451" s="10">
        <f>IF(每日收货出货登记!W451&gt;0,每日收货出货登记!E451,"")</f>
        <v/>
      </c>
      <c r="E451" s="10">
        <f>IF(每日收货出货登记!W451&gt;0,每日收货出货登记!Q451,"")</f>
        <v/>
      </c>
      <c r="F451" s="10">
        <f>IF(每日收货出货登记!W451&gt;0,每日收货出货登记!V451,"")</f>
        <v/>
      </c>
      <c r="G451" s="10">
        <f>IF(每日收货出货登记!W451&gt;0,每日收货出货登记!W451,"")</f>
        <v/>
      </c>
      <c r="H451" s="10">
        <f>IF(每日收货出货登记!W451&gt;0,每日收货出货登记!R451,"")</f>
        <v/>
      </c>
      <c r="I451" s="9">
        <f>IF(每日收货出货登记!W451&gt;0,每日收货出货登记!S451,"")</f>
        <v/>
      </c>
      <c r="J451" s="9">
        <f>IF(每日收货出货登记!W451&gt;0,每日收货出货登记!AB451,"")</f>
        <v/>
      </c>
    </row>
    <row r="452" ht="22" customHeight="1">
      <c r="A452" s="9">
        <f>IF(每日收货出货登记!W452&gt;0,每日收货出货登记!A452,"")</f>
        <v/>
      </c>
      <c r="B452" s="10">
        <f>IF(每日收货出货登记!W452&gt;0,每日收货出货登记!D452,"")</f>
        <v/>
      </c>
      <c r="C452" s="10">
        <f>IF(每日收货出货登记!W452&gt;0,每日收货出货登记!G452,"")</f>
        <v/>
      </c>
      <c r="D452" s="10">
        <f>IF(每日收货出货登记!W452&gt;0,每日收货出货登记!E452,"")</f>
        <v/>
      </c>
      <c r="E452" s="10">
        <f>IF(每日收货出货登记!W452&gt;0,每日收货出货登记!Q452,"")</f>
        <v/>
      </c>
      <c r="F452" s="10">
        <f>IF(每日收货出货登记!W452&gt;0,每日收货出货登记!V452,"")</f>
        <v/>
      </c>
      <c r="G452" s="10">
        <f>IF(每日收货出货登记!W452&gt;0,每日收货出货登记!W452,"")</f>
        <v/>
      </c>
      <c r="H452" s="10">
        <f>IF(每日收货出货登记!W452&gt;0,每日收货出货登记!R452,"")</f>
        <v/>
      </c>
      <c r="I452" s="9">
        <f>IF(每日收货出货登记!W452&gt;0,每日收货出货登记!S452,"")</f>
        <v/>
      </c>
      <c r="J452" s="9">
        <f>IF(每日收货出货登记!W452&gt;0,每日收货出货登记!AB452,"")</f>
        <v/>
      </c>
    </row>
    <row r="453" ht="22" customHeight="1">
      <c r="A453" s="9">
        <f>IF(每日收货出货登记!W453&gt;0,每日收货出货登记!A453,"")</f>
        <v/>
      </c>
      <c r="B453" s="10">
        <f>IF(每日收货出货登记!W453&gt;0,每日收货出货登记!D453,"")</f>
        <v/>
      </c>
      <c r="C453" s="10">
        <f>IF(每日收货出货登记!W453&gt;0,每日收货出货登记!G453,"")</f>
        <v/>
      </c>
      <c r="D453" s="10">
        <f>IF(每日收货出货登记!W453&gt;0,每日收货出货登记!E453,"")</f>
        <v/>
      </c>
      <c r="E453" s="10">
        <f>IF(每日收货出货登记!W453&gt;0,每日收货出货登记!Q453,"")</f>
        <v/>
      </c>
      <c r="F453" s="10">
        <f>IF(每日收货出货登记!W453&gt;0,每日收货出货登记!V453,"")</f>
        <v/>
      </c>
      <c r="G453" s="10">
        <f>IF(每日收货出货登记!W453&gt;0,每日收货出货登记!W453,"")</f>
        <v/>
      </c>
      <c r="H453" s="10">
        <f>IF(每日收货出货登记!W453&gt;0,每日收货出货登记!R453,"")</f>
        <v/>
      </c>
      <c r="I453" s="9">
        <f>IF(每日收货出货登记!W453&gt;0,每日收货出货登记!S453,"")</f>
        <v/>
      </c>
      <c r="J453" s="9">
        <f>IF(每日收货出货登记!W453&gt;0,每日收货出货登记!AB453,"")</f>
        <v/>
      </c>
    </row>
    <row r="454" ht="22" customHeight="1">
      <c r="A454" s="9">
        <f>IF(每日收货出货登记!W454&gt;0,每日收货出货登记!A454,"")</f>
        <v/>
      </c>
      <c r="B454" s="10">
        <f>IF(每日收货出货登记!W454&gt;0,每日收货出货登记!D454,"")</f>
        <v/>
      </c>
      <c r="C454" s="10">
        <f>IF(每日收货出货登记!W454&gt;0,每日收货出货登记!G454,"")</f>
        <v/>
      </c>
      <c r="D454" s="10">
        <f>IF(每日收货出货登记!W454&gt;0,每日收货出货登记!E454,"")</f>
        <v/>
      </c>
      <c r="E454" s="10">
        <f>IF(每日收货出货登记!W454&gt;0,每日收货出货登记!Q454,"")</f>
        <v/>
      </c>
      <c r="F454" s="10">
        <f>IF(每日收货出货登记!W454&gt;0,每日收货出货登记!V454,"")</f>
        <v/>
      </c>
      <c r="G454" s="10">
        <f>IF(每日收货出货登记!W454&gt;0,每日收货出货登记!W454,"")</f>
        <v/>
      </c>
      <c r="H454" s="10">
        <f>IF(每日收货出货登记!W454&gt;0,每日收货出货登记!R454,"")</f>
        <v/>
      </c>
      <c r="I454" s="9">
        <f>IF(每日收货出货登记!W454&gt;0,每日收货出货登记!S454,"")</f>
        <v/>
      </c>
      <c r="J454" s="9">
        <f>IF(每日收货出货登记!W454&gt;0,每日收货出货登记!AB454,"")</f>
        <v/>
      </c>
    </row>
    <row r="455" ht="22" customHeight="1">
      <c r="A455" s="9">
        <f>IF(每日收货出货登记!W455&gt;0,每日收货出货登记!A455,"")</f>
        <v/>
      </c>
      <c r="B455" s="10">
        <f>IF(每日收货出货登记!W455&gt;0,每日收货出货登记!D455,"")</f>
        <v/>
      </c>
      <c r="C455" s="10">
        <f>IF(每日收货出货登记!W455&gt;0,每日收货出货登记!G455,"")</f>
        <v/>
      </c>
      <c r="D455" s="10">
        <f>IF(每日收货出货登记!W455&gt;0,每日收货出货登记!E455,"")</f>
        <v/>
      </c>
      <c r="E455" s="10">
        <f>IF(每日收货出货登记!W455&gt;0,每日收货出货登记!Q455,"")</f>
        <v/>
      </c>
      <c r="F455" s="10">
        <f>IF(每日收货出货登记!W455&gt;0,每日收货出货登记!V455,"")</f>
        <v/>
      </c>
      <c r="G455" s="10">
        <f>IF(每日收货出货登记!W455&gt;0,每日收货出货登记!W455,"")</f>
        <v/>
      </c>
      <c r="H455" s="10">
        <f>IF(每日收货出货登记!W455&gt;0,每日收货出货登记!R455,"")</f>
        <v/>
      </c>
      <c r="I455" s="9">
        <f>IF(每日收货出货登记!W455&gt;0,每日收货出货登记!S455,"")</f>
        <v/>
      </c>
      <c r="J455" s="9">
        <f>IF(每日收货出货登记!W455&gt;0,每日收货出货登记!AB455,"")</f>
        <v/>
      </c>
    </row>
    <row r="456" ht="22" customHeight="1">
      <c r="A456" s="9">
        <f>IF(每日收货出货登记!W456&gt;0,每日收货出货登记!A456,"")</f>
        <v/>
      </c>
      <c r="B456" s="10">
        <f>IF(每日收货出货登记!W456&gt;0,每日收货出货登记!D456,"")</f>
        <v/>
      </c>
      <c r="C456" s="10">
        <f>IF(每日收货出货登记!W456&gt;0,每日收货出货登记!G456,"")</f>
        <v/>
      </c>
      <c r="D456" s="10">
        <f>IF(每日收货出货登记!W456&gt;0,每日收货出货登记!E456,"")</f>
        <v/>
      </c>
      <c r="E456" s="10">
        <f>IF(每日收货出货登记!W456&gt;0,每日收货出货登记!Q456,"")</f>
        <v/>
      </c>
      <c r="F456" s="10">
        <f>IF(每日收货出货登记!W456&gt;0,每日收货出货登记!V456,"")</f>
        <v/>
      </c>
      <c r="G456" s="10">
        <f>IF(每日收货出货登记!W456&gt;0,每日收货出货登记!W456,"")</f>
        <v/>
      </c>
      <c r="H456" s="10">
        <f>IF(每日收货出货登记!W456&gt;0,每日收货出货登记!R456,"")</f>
        <v/>
      </c>
      <c r="I456" s="9">
        <f>IF(每日收货出货登记!W456&gt;0,每日收货出货登记!S456,"")</f>
        <v/>
      </c>
      <c r="J456" s="9">
        <f>IF(每日收货出货登记!W456&gt;0,每日收货出货登记!AB456,"")</f>
        <v/>
      </c>
    </row>
    <row r="457" ht="22" customHeight="1">
      <c r="A457" s="9">
        <f>IF(每日收货出货登记!W457&gt;0,每日收货出货登记!A457,"")</f>
        <v/>
      </c>
      <c r="B457" s="10">
        <f>IF(每日收货出货登记!W457&gt;0,每日收货出货登记!D457,"")</f>
        <v/>
      </c>
      <c r="C457" s="10">
        <f>IF(每日收货出货登记!W457&gt;0,每日收货出货登记!G457,"")</f>
        <v/>
      </c>
      <c r="D457" s="10">
        <f>IF(每日收货出货登记!W457&gt;0,每日收货出货登记!E457,"")</f>
        <v/>
      </c>
      <c r="E457" s="10">
        <f>IF(每日收货出货登记!W457&gt;0,每日收货出货登记!Q457,"")</f>
        <v/>
      </c>
      <c r="F457" s="10">
        <f>IF(每日收货出货登记!W457&gt;0,每日收货出货登记!V457,"")</f>
        <v/>
      </c>
      <c r="G457" s="10">
        <f>IF(每日收货出货登记!W457&gt;0,每日收货出货登记!W457,"")</f>
        <v/>
      </c>
      <c r="H457" s="10">
        <f>IF(每日收货出货登记!W457&gt;0,每日收货出货登记!R457,"")</f>
        <v/>
      </c>
      <c r="I457" s="9">
        <f>IF(每日收货出货登记!W457&gt;0,每日收货出货登记!S457,"")</f>
        <v/>
      </c>
      <c r="J457" s="9">
        <f>IF(每日收货出货登记!W457&gt;0,每日收货出货登记!AB457,"")</f>
        <v/>
      </c>
    </row>
    <row r="458" ht="22" customHeight="1">
      <c r="A458" s="9">
        <f>IF(每日收货出货登记!W458&gt;0,每日收货出货登记!A458,"")</f>
        <v/>
      </c>
      <c r="B458" s="10">
        <f>IF(每日收货出货登记!W458&gt;0,每日收货出货登记!D458,"")</f>
        <v/>
      </c>
      <c r="C458" s="10">
        <f>IF(每日收货出货登记!W458&gt;0,每日收货出货登记!G458,"")</f>
        <v/>
      </c>
      <c r="D458" s="10">
        <f>IF(每日收货出货登记!W458&gt;0,每日收货出货登记!E458,"")</f>
        <v/>
      </c>
      <c r="E458" s="10">
        <f>IF(每日收货出货登记!W458&gt;0,每日收货出货登记!Q458,"")</f>
        <v/>
      </c>
      <c r="F458" s="10">
        <f>IF(每日收货出货登记!W458&gt;0,每日收货出货登记!V458,"")</f>
        <v/>
      </c>
      <c r="G458" s="10">
        <f>IF(每日收货出货登记!W458&gt;0,每日收货出货登记!W458,"")</f>
        <v/>
      </c>
      <c r="H458" s="10">
        <f>IF(每日收货出货登记!W458&gt;0,每日收货出货登记!R458,"")</f>
        <v/>
      </c>
      <c r="I458" s="9">
        <f>IF(每日收货出货登记!W458&gt;0,每日收货出货登记!S458,"")</f>
        <v/>
      </c>
      <c r="J458" s="9">
        <f>IF(每日收货出货登记!W458&gt;0,每日收货出货登记!AB458,"")</f>
        <v/>
      </c>
    </row>
    <row r="459" ht="22" customHeight="1">
      <c r="A459" s="9">
        <f>IF(每日收货出货登记!W459&gt;0,每日收货出货登记!A459,"")</f>
        <v/>
      </c>
      <c r="B459" s="10">
        <f>IF(每日收货出货登记!W459&gt;0,每日收货出货登记!D459,"")</f>
        <v/>
      </c>
      <c r="C459" s="10">
        <f>IF(每日收货出货登记!W459&gt;0,每日收货出货登记!G459,"")</f>
        <v/>
      </c>
      <c r="D459" s="10">
        <f>IF(每日收货出货登记!W459&gt;0,每日收货出货登记!E459,"")</f>
        <v/>
      </c>
      <c r="E459" s="10">
        <f>IF(每日收货出货登记!W459&gt;0,每日收货出货登记!Q459,"")</f>
        <v/>
      </c>
      <c r="F459" s="10">
        <f>IF(每日收货出货登记!W459&gt;0,每日收货出货登记!V459,"")</f>
        <v/>
      </c>
      <c r="G459" s="10">
        <f>IF(每日收货出货登记!W459&gt;0,每日收货出货登记!W459,"")</f>
        <v/>
      </c>
      <c r="H459" s="10">
        <f>IF(每日收货出货登记!W459&gt;0,每日收货出货登记!R459,"")</f>
        <v/>
      </c>
      <c r="I459" s="9">
        <f>IF(每日收货出货登记!W459&gt;0,每日收货出货登记!S459,"")</f>
        <v/>
      </c>
      <c r="J459" s="9">
        <f>IF(每日收货出货登记!W459&gt;0,每日收货出货登记!AB459,"")</f>
        <v/>
      </c>
    </row>
    <row r="460" ht="22" customHeight="1">
      <c r="A460" s="9">
        <f>IF(每日收货出货登记!W460&gt;0,每日收货出货登记!A460,"")</f>
        <v/>
      </c>
      <c r="B460" s="10">
        <f>IF(每日收货出货登记!W460&gt;0,每日收货出货登记!D460,"")</f>
        <v/>
      </c>
      <c r="C460" s="10">
        <f>IF(每日收货出货登记!W460&gt;0,每日收货出货登记!G460,"")</f>
        <v/>
      </c>
      <c r="D460" s="10">
        <f>IF(每日收货出货登记!W460&gt;0,每日收货出货登记!E460,"")</f>
        <v/>
      </c>
      <c r="E460" s="10">
        <f>IF(每日收货出货登记!W460&gt;0,每日收货出货登记!Q460,"")</f>
        <v/>
      </c>
      <c r="F460" s="10">
        <f>IF(每日收货出货登记!W460&gt;0,每日收货出货登记!V460,"")</f>
        <v/>
      </c>
      <c r="G460" s="10">
        <f>IF(每日收货出货登记!W460&gt;0,每日收货出货登记!W460,"")</f>
        <v/>
      </c>
      <c r="H460" s="10">
        <f>IF(每日收货出货登记!W460&gt;0,每日收货出货登记!R460,"")</f>
        <v/>
      </c>
      <c r="I460" s="9">
        <f>IF(每日收货出货登记!W460&gt;0,每日收货出货登记!S460,"")</f>
        <v/>
      </c>
      <c r="J460" s="9">
        <f>IF(每日收货出货登记!W460&gt;0,每日收货出货登记!AB460,"")</f>
        <v/>
      </c>
    </row>
    <row r="461" ht="22" customHeight="1">
      <c r="A461" s="9">
        <f>IF(每日收货出货登记!W461&gt;0,每日收货出货登记!A461,"")</f>
        <v/>
      </c>
      <c r="B461" s="10">
        <f>IF(每日收货出货登记!W461&gt;0,每日收货出货登记!D461,"")</f>
        <v/>
      </c>
      <c r="C461" s="10">
        <f>IF(每日收货出货登记!W461&gt;0,每日收货出货登记!G461,"")</f>
        <v/>
      </c>
      <c r="D461" s="10">
        <f>IF(每日收货出货登记!W461&gt;0,每日收货出货登记!E461,"")</f>
        <v/>
      </c>
      <c r="E461" s="10">
        <f>IF(每日收货出货登记!W461&gt;0,每日收货出货登记!Q461,"")</f>
        <v/>
      </c>
      <c r="F461" s="10">
        <f>IF(每日收货出货登记!W461&gt;0,每日收货出货登记!V461,"")</f>
        <v/>
      </c>
      <c r="G461" s="10">
        <f>IF(每日收货出货登记!W461&gt;0,每日收货出货登记!W461,"")</f>
        <v/>
      </c>
      <c r="H461" s="10">
        <f>IF(每日收货出货登记!W461&gt;0,每日收货出货登记!R461,"")</f>
        <v/>
      </c>
      <c r="I461" s="9">
        <f>IF(每日收货出货登记!W461&gt;0,每日收货出货登记!S461,"")</f>
        <v/>
      </c>
      <c r="J461" s="9">
        <f>IF(每日收货出货登记!W461&gt;0,每日收货出货登记!AB461,"")</f>
        <v/>
      </c>
    </row>
    <row r="462" ht="22" customHeight="1">
      <c r="A462" s="9">
        <f>IF(每日收货出货登记!W462&gt;0,每日收货出货登记!A462,"")</f>
        <v/>
      </c>
      <c r="B462" s="10">
        <f>IF(每日收货出货登记!W462&gt;0,每日收货出货登记!D462,"")</f>
        <v/>
      </c>
      <c r="C462" s="10">
        <f>IF(每日收货出货登记!W462&gt;0,每日收货出货登记!G462,"")</f>
        <v/>
      </c>
      <c r="D462" s="10">
        <f>IF(每日收货出货登记!W462&gt;0,每日收货出货登记!E462,"")</f>
        <v/>
      </c>
      <c r="E462" s="10">
        <f>IF(每日收货出货登记!W462&gt;0,每日收货出货登记!Q462,"")</f>
        <v/>
      </c>
      <c r="F462" s="10">
        <f>IF(每日收货出货登记!W462&gt;0,每日收货出货登记!V462,"")</f>
        <v/>
      </c>
      <c r="G462" s="10">
        <f>IF(每日收货出货登记!W462&gt;0,每日收货出货登记!W462,"")</f>
        <v/>
      </c>
      <c r="H462" s="10">
        <f>IF(每日收货出货登记!W462&gt;0,每日收货出货登记!R462,"")</f>
        <v/>
      </c>
      <c r="I462" s="9">
        <f>IF(每日收货出货登记!W462&gt;0,每日收货出货登记!S462,"")</f>
        <v/>
      </c>
      <c r="J462" s="9">
        <f>IF(每日收货出货登记!W462&gt;0,每日收货出货登记!AB462,"")</f>
        <v/>
      </c>
    </row>
    <row r="463" ht="22" customHeight="1">
      <c r="A463" s="9">
        <f>IF(每日收货出货登记!W463&gt;0,每日收货出货登记!A463,"")</f>
        <v/>
      </c>
      <c r="B463" s="10">
        <f>IF(每日收货出货登记!W463&gt;0,每日收货出货登记!D463,"")</f>
        <v/>
      </c>
      <c r="C463" s="10">
        <f>IF(每日收货出货登记!W463&gt;0,每日收货出货登记!G463,"")</f>
        <v/>
      </c>
      <c r="D463" s="10">
        <f>IF(每日收货出货登记!W463&gt;0,每日收货出货登记!E463,"")</f>
        <v/>
      </c>
      <c r="E463" s="10">
        <f>IF(每日收货出货登记!W463&gt;0,每日收货出货登记!Q463,"")</f>
        <v/>
      </c>
      <c r="F463" s="10">
        <f>IF(每日收货出货登记!W463&gt;0,每日收货出货登记!V463,"")</f>
        <v/>
      </c>
      <c r="G463" s="10">
        <f>IF(每日收货出货登记!W463&gt;0,每日收货出货登记!W463,"")</f>
        <v/>
      </c>
      <c r="H463" s="10">
        <f>IF(每日收货出货登记!W463&gt;0,每日收货出货登记!R463,"")</f>
        <v/>
      </c>
      <c r="I463" s="9">
        <f>IF(每日收货出货登记!W463&gt;0,每日收货出货登记!S463,"")</f>
        <v/>
      </c>
      <c r="J463" s="9">
        <f>IF(每日收货出货登记!W463&gt;0,每日收货出货登记!AB463,"")</f>
        <v/>
      </c>
    </row>
    <row r="464" ht="22" customHeight="1">
      <c r="A464" s="9">
        <f>IF(每日收货出货登记!W464&gt;0,每日收货出货登记!A464,"")</f>
        <v/>
      </c>
      <c r="B464" s="10">
        <f>IF(每日收货出货登记!W464&gt;0,每日收货出货登记!D464,"")</f>
        <v/>
      </c>
      <c r="C464" s="10">
        <f>IF(每日收货出货登记!W464&gt;0,每日收货出货登记!G464,"")</f>
        <v/>
      </c>
      <c r="D464" s="10">
        <f>IF(每日收货出货登记!W464&gt;0,每日收货出货登记!E464,"")</f>
        <v/>
      </c>
      <c r="E464" s="10">
        <f>IF(每日收货出货登记!W464&gt;0,每日收货出货登记!Q464,"")</f>
        <v/>
      </c>
      <c r="F464" s="10">
        <f>IF(每日收货出货登记!W464&gt;0,每日收货出货登记!V464,"")</f>
        <v/>
      </c>
      <c r="G464" s="10">
        <f>IF(每日收货出货登记!W464&gt;0,每日收货出货登记!W464,"")</f>
        <v/>
      </c>
      <c r="H464" s="10">
        <f>IF(每日收货出货登记!W464&gt;0,每日收货出货登记!R464,"")</f>
        <v/>
      </c>
      <c r="I464" s="9">
        <f>IF(每日收货出货登记!W464&gt;0,每日收货出货登记!S464,"")</f>
        <v/>
      </c>
      <c r="J464" s="9">
        <f>IF(每日收货出货登记!W464&gt;0,每日收货出货登记!AB464,"")</f>
        <v/>
      </c>
    </row>
    <row r="465" ht="22" customHeight="1">
      <c r="A465" s="9">
        <f>IF(每日收货出货登记!W465&gt;0,每日收货出货登记!A465,"")</f>
        <v/>
      </c>
      <c r="B465" s="10">
        <f>IF(每日收货出货登记!W465&gt;0,每日收货出货登记!D465,"")</f>
        <v/>
      </c>
      <c r="C465" s="10">
        <f>IF(每日收货出货登记!W465&gt;0,每日收货出货登记!G465,"")</f>
        <v/>
      </c>
      <c r="D465" s="10">
        <f>IF(每日收货出货登记!W465&gt;0,每日收货出货登记!E465,"")</f>
        <v/>
      </c>
      <c r="E465" s="10">
        <f>IF(每日收货出货登记!W465&gt;0,每日收货出货登记!Q465,"")</f>
        <v/>
      </c>
      <c r="F465" s="10">
        <f>IF(每日收货出货登记!W465&gt;0,每日收货出货登记!V465,"")</f>
        <v/>
      </c>
      <c r="G465" s="10">
        <f>IF(每日收货出货登记!W465&gt;0,每日收货出货登记!W465,"")</f>
        <v/>
      </c>
      <c r="H465" s="10">
        <f>IF(每日收货出货登记!W465&gt;0,每日收货出货登记!R465,"")</f>
        <v/>
      </c>
      <c r="I465" s="9">
        <f>IF(每日收货出货登记!W465&gt;0,每日收货出货登记!S465,"")</f>
        <v/>
      </c>
      <c r="J465" s="9">
        <f>IF(每日收货出货登记!W465&gt;0,每日收货出货登记!AB465,"")</f>
        <v/>
      </c>
    </row>
    <row r="466" ht="22" customHeight="1">
      <c r="A466" s="9">
        <f>IF(每日收货出货登记!W466&gt;0,每日收货出货登记!A466,"")</f>
        <v/>
      </c>
      <c r="B466" s="10">
        <f>IF(每日收货出货登记!W466&gt;0,每日收货出货登记!D466,"")</f>
        <v/>
      </c>
      <c r="C466" s="10">
        <f>IF(每日收货出货登记!W466&gt;0,每日收货出货登记!G466,"")</f>
        <v/>
      </c>
      <c r="D466" s="10">
        <f>IF(每日收货出货登记!W466&gt;0,每日收货出货登记!E466,"")</f>
        <v/>
      </c>
      <c r="E466" s="10">
        <f>IF(每日收货出货登记!W466&gt;0,每日收货出货登记!Q466,"")</f>
        <v/>
      </c>
      <c r="F466" s="10">
        <f>IF(每日收货出货登记!W466&gt;0,每日收货出货登记!V466,"")</f>
        <v/>
      </c>
      <c r="G466" s="10">
        <f>IF(每日收货出货登记!W466&gt;0,每日收货出货登记!W466,"")</f>
        <v/>
      </c>
      <c r="H466" s="10">
        <f>IF(每日收货出货登记!W466&gt;0,每日收货出货登记!R466,"")</f>
        <v/>
      </c>
      <c r="I466" s="9">
        <f>IF(每日收货出货登记!W466&gt;0,每日收货出货登记!S466,"")</f>
        <v/>
      </c>
      <c r="J466" s="9">
        <f>IF(每日收货出货登记!W466&gt;0,每日收货出货登记!AB466,"")</f>
        <v/>
      </c>
    </row>
    <row r="467" ht="22" customHeight="1">
      <c r="A467" s="9">
        <f>IF(每日收货出货登记!W467&gt;0,每日收货出货登记!A467,"")</f>
        <v/>
      </c>
      <c r="B467" s="10">
        <f>IF(每日收货出货登记!W467&gt;0,每日收货出货登记!D467,"")</f>
        <v/>
      </c>
      <c r="C467" s="10">
        <f>IF(每日收货出货登记!W467&gt;0,每日收货出货登记!G467,"")</f>
        <v/>
      </c>
      <c r="D467" s="10">
        <f>IF(每日收货出货登记!W467&gt;0,每日收货出货登记!E467,"")</f>
        <v/>
      </c>
      <c r="E467" s="10">
        <f>IF(每日收货出货登记!W467&gt;0,每日收货出货登记!Q467,"")</f>
        <v/>
      </c>
      <c r="F467" s="10">
        <f>IF(每日收货出货登记!W467&gt;0,每日收货出货登记!V467,"")</f>
        <v/>
      </c>
      <c r="G467" s="10">
        <f>IF(每日收货出货登记!W467&gt;0,每日收货出货登记!W467,"")</f>
        <v/>
      </c>
      <c r="H467" s="10">
        <f>IF(每日收货出货登记!W467&gt;0,每日收货出货登记!R467,"")</f>
        <v/>
      </c>
      <c r="I467" s="9">
        <f>IF(每日收货出货登记!W467&gt;0,每日收货出货登记!S467,"")</f>
        <v/>
      </c>
      <c r="J467" s="9">
        <f>IF(每日收货出货登记!W467&gt;0,每日收货出货登记!AB467,"")</f>
        <v/>
      </c>
    </row>
    <row r="468" ht="22" customHeight="1">
      <c r="A468" s="9">
        <f>IF(每日收货出货登记!W468&gt;0,每日收货出货登记!A468,"")</f>
        <v/>
      </c>
      <c r="B468" s="10">
        <f>IF(每日收货出货登记!W468&gt;0,每日收货出货登记!D468,"")</f>
        <v/>
      </c>
      <c r="C468" s="10">
        <f>IF(每日收货出货登记!W468&gt;0,每日收货出货登记!G468,"")</f>
        <v/>
      </c>
      <c r="D468" s="10">
        <f>IF(每日收货出货登记!W468&gt;0,每日收货出货登记!E468,"")</f>
        <v/>
      </c>
      <c r="E468" s="10">
        <f>IF(每日收货出货登记!W468&gt;0,每日收货出货登记!Q468,"")</f>
        <v/>
      </c>
      <c r="F468" s="10">
        <f>IF(每日收货出货登记!W468&gt;0,每日收货出货登记!V468,"")</f>
        <v/>
      </c>
      <c r="G468" s="10">
        <f>IF(每日收货出货登记!W468&gt;0,每日收货出货登记!W468,"")</f>
        <v/>
      </c>
      <c r="H468" s="10">
        <f>IF(每日收货出货登记!W468&gt;0,每日收货出货登记!R468,"")</f>
        <v/>
      </c>
      <c r="I468" s="9">
        <f>IF(每日收货出货登记!W468&gt;0,每日收货出货登记!S468,"")</f>
        <v/>
      </c>
      <c r="J468" s="9">
        <f>IF(每日收货出货登记!W468&gt;0,每日收货出货登记!AB468,"")</f>
        <v/>
      </c>
    </row>
    <row r="469" ht="22" customHeight="1">
      <c r="A469" s="9">
        <f>IF(每日收货出货登记!W469&gt;0,每日收货出货登记!A469,"")</f>
        <v/>
      </c>
      <c r="B469" s="10">
        <f>IF(每日收货出货登记!W469&gt;0,每日收货出货登记!D469,"")</f>
        <v/>
      </c>
      <c r="C469" s="10">
        <f>IF(每日收货出货登记!W469&gt;0,每日收货出货登记!G469,"")</f>
        <v/>
      </c>
      <c r="D469" s="10">
        <f>IF(每日收货出货登记!W469&gt;0,每日收货出货登记!E469,"")</f>
        <v/>
      </c>
      <c r="E469" s="10">
        <f>IF(每日收货出货登记!W469&gt;0,每日收货出货登记!Q469,"")</f>
        <v/>
      </c>
      <c r="F469" s="10">
        <f>IF(每日收货出货登记!W469&gt;0,每日收货出货登记!V469,"")</f>
        <v/>
      </c>
      <c r="G469" s="10">
        <f>IF(每日收货出货登记!W469&gt;0,每日收货出货登记!W469,"")</f>
        <v/>
      </c>
      <c r="H469" s="10">
        <f>IF(每日收货出货登记!W469&gt;0,每日收货出货登记!R469,"")</f>
        <v/>
      </c>
      <c r="I469" s="9">
        <f>IF(每日收货出货登记!W469&gt;0,每日收货出货登记!S469,"")</f>
        <v/>
      </c>
      <c r="J469" s="9">
        <f>IF(每日收货出货登记!W469&gt;0,每日收货出货登记!AB469,"")</f>
        <v/>
      </c>
    </row>
    <row r="470" ht="22" customHeight="1">
      <c r="A470" s="9">
        <f>IF(每日收货出货登记!W470&gt;0,每日收货出货登记!A470,"")</f>
        <v/>
      </c>
      <c r="B470" s="10">
        <f>IF(每日收货出货登记!W470&gt;0,每日收货出货登记!D470,"")</f>
        <v/>
      </c>
      <c r="C470" s="10">
        <f>IF(每日收货出货登记!W470&gt;0,每日收货出货登记!G470,"")</f>
        <v/>
      </c>
      <c r="D470" s="10">
        <f>IF(每日收货出货登记!W470&gt;0,每日收货出货登记!E470,"")</f>
        <v/>
      </c>
      <c r="E470" s="10">
        <f>IF(每日收货出货登记!W470&gt;0,每日收货出货登记!Q470,"")</f>
        <v/>
      </c>
      <c r="F470" s="10">
        <f>IF(每日收货出货登记!W470&gt;0,每日收货出货登记!V470,"")</f>
        <v/>
      </c>
      <c r="G470" s="10">
        <f>IF(每日收货出货登记!W470&gt;0,每日收货出货登记!W470,"")</f>
        <v/>
      </c>
      <c r="H470" s="10">
        <f>IF(每日收货出货登记!W470&gt;0,每日收货出货登记!R470,"")</f>
        <v/>
      </c>
      <c r="I470" s="9">
        <f>IF(每日收货出货登记!W470&gt;0,每日收货出货登记!S470,"")</f>
        <v/>
      </c>
      <c r="J470" s="9">
        <f>IF(每日收货出货登记!W470&gt;0,每日收货出货登记!AB470,"")</f>
        <v/>
      </c>
    </row>
    <row r="471" ht="22" customHeight="1">
      <c r="A471" s="9">
        <f>IF(每日收货出货登记!W471&gt;0,每日收货出货登记!A471,"")</f>
        <v/>
      </c>
      <c r="B471" s="10">
        <f>IF(每日收货出货登记!W471&gt;0,每日收货出货登记!D471,"")</f>
        <v/>
      </c>
      <c r="C471" s="10">
        <f>IF(每日收货出货登记!W471&gt;0,每日收货出货登记!G471,"")</f>
        <v/>
      </c>
      <c r="D471" s="10">
        <f>IF(每日收货出货登记!W471&gt;0,每日收货出货登记!E471,"")</f>
        <v/>
      </c>
      <c r="E471" s="10">
        <f>IF(每日收货出货登记!W471&gt;0,每日收货出货登记!Q471,"")</f>
        <v/>
      </c>
      <c r="F471" s="10">
        <f>IF(每日收货出货登记!W471&gt;0,每日收货出货登记!V471,"")</f>
        <v/>
      </c>
      <c r="G471" s="10">
        <f>IF(每日收货出货登记!W471&gt;0,每日收货出货登记!W471,"")</f>
        <v/>
      </c>
      <c r="H471" s="10">
        <f>IF(每日收货出货登记!W471&gt;0,每日收货出货登记!R471,"")</f>
        <v/>
      </c>
      <c r="I471" s="9">
        <f>IF(每日收货出货登记!W471&gt;0,每日收货出货登记!S471,"")</f>
        <v/>
      </c>
      <c r="J471" s="9">
        <f>IF(每日收货出货登记!W471&gt;0,每日收货出货登记!AB471,"")</f>
        <v/>
      </c>
    </row>
    <row r="472" ht="22" customHeight="1">
      <c r="A472" s="9">
        <f>IF(每日收货出货登记!W472&gt;0,每日收货出货登记!A472,"")</f>
        <v/>
      </c>
      <c r="B472" s="10">
        <f>IF(每日收货出货登记!W472&gt;0,每日收货出货登记!D472,"")</f>
        <v/>
      </c>
      <c r="C472" s="10">
        <f>IF(每日收货出货登记!W472&gt;0,每日收货出货登记!G472,"")</f>
        <v/>
      </c>
      <c r="D472" s="10">
        <f>IF(每日收货出货登记!W472&gt;0,每日收货出货登记!E472,"")</f>
        <v/>
      </c>
      <c r="E472" s="10">
        <f>IF(每日收货出货登记!W472&gt;0,每日收货出货登记!Q472,"")</f>
        <v/>
      </c>
      <c r="F472" s="10">
        <f>IF(每日收货出货登记!W472&gt;0,每日收货出货登记!V472,"")</f>
        <v/>
      </c>
      <c r="G472" s="10">
        <f>IF(每日收货出货登记!W472&gt;0,每日收货出货登记!W472,"")</f>
        <v/>
      </c>
      <c r="H472" s="10">
        <f>IF(每日收货出货登记!W472&gt;0,每日收货出货登记!R472,"")</f>
        <v/>
      </c>
      <c r="I472" s="9">
        <f>IF(每日收货出货登记!W472&gt;0,每日收货出货登记!S472,"")</f>
        <v/>
      </c>
      <c r="J472" s="9">
        <f>IF(每日收货出货登记!W472&gt;0,每日收货出货登记!AB472,"")</f>
        <v/>
      </c>
    </row>
    <row r="473" ht="22" customHeight="1">
      <c r="A473" s="9">
        <f>IF(每日收货出货登记!W473&gt;0,每日收货出货登记!A473,"")</f>
        <v/>
      </c>
      <c r="B473" s="10">
        <f>IF(每日收货出货登记!W473&gt;0,每日收货出货登记!D473,"")</f>
        <v/>
      </c>
      <c r="C473" s="10">
        <f>IF(每日收货出货登记!W473&gt;0,每日收货出货登记!G473,"")</f>
        <v/>
      </c>
      <c r="D473" s="10">
        <f>IF(每日收货出货登记!W473&gt;0,每日收货出货登记!E473,"")</f>
        <v/>
      </c>
      <c r="E473" s="10">
        <f>IF(每日收货出货登记!W473&gt;0,每日收货出货登记!Q473,"")</f>
        <v/>
      </c>
      <c r="F473" s="10">
        <f>IF(每日收货出货登记!W473&gt;0,每日收货出货登记!V473,"")</f>
        <v/>
      </c>
      <c r="G473" s="10">
        <f>IF(每日收货出货登记!W473&gt;0,每日收货出货登记!W473,"")</f>
        <v/>
      </c>
      <c r="H473" s="10">
        <f>IF(每日收货出货登记!W473&gt;0,每日收货出货登记!R473,"")</f>
        <v/>
      </c>
      <c r="I473" s="9">
        <f>IF(每日收货出货登记!W473&gt;0,每日收货出货登记!S473,"")</f>
        <v/>
      </c>
      <c r="J473" s="9">
        <f>IF(每日收货出货登记!W473&gt;0,每日收货出货登记!AB473,"")</f>
        <v/>
      </c>
    </row>
    <row r="474" ht="22" customHeight="1">
      <c r="A474" s="9">
        <f>IF(每日收货出货登记!W474&gt;0,每日收货出货登记!A474,"")</f>
        <v/>
      </c>
      <c r="B474" s="10">
        <f>IF(每日收货出货登记!W474&gt;0,每日收货出货登记!D474,"")</f>
        <v/>
      </c>
      <c r="C474" s="10">
        <f>IF(每日收货出货登记!W474&gt;0,每日收货出货登记!G474,"")</f>
        <v/>
      </c>
      <c r="D474" s="10">
        <f>IF(每日收货出货登记!W474&gt;0,每日收货出货登记!E474,"")</f>
        <v/>
      </c>
      <c r="E474" s="10">
        <f>IF(每日收货出货登记!W474&gt;0,每日收货出货登记!Q474,"")</f>
        <v/>
      </c>
      <c r="F474" s="10">
        <f>IF(每日收货出货登记!W474&gt;0,每日收货出货登记!V474,"")</f>
        <v/>
      </c>
      <c r="G474" s="10">
        <f>IF(每日收货出货登记!W474&gt;0,每日收货出货登记!W474,"")</f>
        <v/>
      </c>
      <c r="H474" s="10">
        <f>IF(每日收货出货登记!W474&gt;0,每日收货出货登记!R474,"")</f>
        <v/>
      </c>
      <c r="I474" s="9">
        <f>IF(每日收货出货登记!W474&gt;0,每日收货出货登记!S474,"")</f>
        <v/>
      </c>
      <c r="J474" s="9">
        <f>IF(每日收货出货登记!W474&gt;0,每日收货出货登记!AB474,"")</f>
        <v/>
      </c>
    </row>
    <row r="475" ht="22" customHeight="1">
      <c r="A475" s="9">
        <f>IF(每日收货出货登记!W475&gt;0,每日收货出货登记!A475,"")</f>
        <v/>
      </c>
      <c r="B475" s="10">
        <f>IF(每日收货出货登记!W475&gt;0,每日收货出货登记!D475,"")</f>
        <v/>
      </c>
      <c r="C475" s="10">
        <f>IF(每日收货出货登记!W475&gt;0,每日收货出货登记!G475,"")</f>
        <v/>
      </c>
      <c r="D475" s="10">
        <f>IF(每日收货出货登记!W475&gt;0,每日收货出货登记!E475,"")</f>
        <v/>
      </c>
      <c r="E475" s="10">
        <f>IF(每日收货出货登记!W475&gt;0,每日收货出货登记!Q475,"")</f>
        <v/>
      </c>
      <c r="F475" s="10">
        <f>IF(每日收货出货登记!W475&gt;0,每日收货出货登记!V475,"")</f>
        <v/>
      </c>
      <c r="G475" s="10">
        <f>IF(每日收货出货登记!W475&gt;0,每日收货出货登记!W475,"")</f>
        <v/>
      </c>
      <c r="H475" s="10">
        <f>IF(每日收货出货登记!W475&gt;0,每日收货出货登记!R475,"")</f>
        <v/>
      </c>
      <c r="I475" s="9">
        <f>IF(每日收货出货登记!W475&gt;0,每日收货出货登记!S475,"")</f>
        <v/>
      </c>
      <c r="J475" s="9">
        <f>IF(每日收货出货登记!W475&gt;0,每日收货出货登记!AB475,"")</f>
        <v/>
      </c>
    </row>
    <row r="476" ht="22" customHeight="1">
      <c r="A476" s="9">
        <f>IF(每日收货出货登记!W476&gt;0,每日收货出货登记!A476,"")</f>
        <v/>
      </c>
      <c r="B476" s="10">
        <f>IF(每日收货出货登记!W476&gt;0,每日收货出货登记!D476,"")</f>
        <v/>
      </c>
      <c r="C476" s="10">
        <f>IF(每日收货出货登记!W476&gt;0,每日收货出货登记!G476,"")</f>
        <v/>
      </c>
      <c r="D476" s="10">
        <f>IF(每日收货出货登记!W476&gt;0,每日收货出货登记!E476,"")</f>
        <v/>
      </c>
      <c r="E476" s="10">
        <f>IF(每日收货出货登记!W476&gt;0,每日收货出货登记!Q476,"")</f>
        <v/>
      </c>
      <c r="F476" s="10">
        <f>IF(每日收货出货登记!W476&gt;0,每日收货出货登记!V476,"")</f>
        <v/>
      </c>
      <c r="G476" s="10">
        <f>IF(每日收货出货登记!W476&gt;0,每日收货出货登记!W476,"")</f>
        <v/>
      </c>
      <c r="H476" s="10">
        <f>IF(每日收货出货登记!W476&gt;0,每日收货出货登记!R476,"")</f>
        <v/>
      </c>
      <c r="I476" s="9">
        <f>IF(每日收货出货登记!W476&gt;0,每日收货出货登记!S476,"")</f>
        <v/>
      </c>
      <c r="J476" s="9">
        <f>IF(每日收货出货登记!W476&gt;0,每日收货出货登记!AB476,"")</f>
        <v/>
      </c>
    </row>
    <row r="477" ht="22" customHeight="1">
      <c r="A477" s="9">
        <f>IF(每日收货出货登记!W477&gt;0,每日收货出货登记!A477,"")</f>
        <v/>
      </c>
      <c r="B477" s="10">
        <f>IF(每日收货出货登记!W477&gt;0,每日收货出货登记!D477,"")</f>
        <v/>
      </c>
      <c r="C477" s="10">
        <f>IF(每日收货出货登记!W477&gt;0,每日收货出货登记!G477,"")</f>
        <v/>
      </c>
      <c r="D477" s="10">
        <f>IF(每日收货出货登记!W477&gt;0,每日收货出货登记!E477,"")</f>
        <v/>
      </c>
      <c r="E477" s="10">
        <f>IF(每日收货出货登记!W477&gt;0,每日收货出货登记!Q477,"")</f>
        <v/>
      </c>
      <c r="F477" s="10">
        <f>IF(每日收货出货登记!W477&gt;0,每日收货出货登记!V477,"")</f>
        <v/>
      </c>
      <c r="G477" s="10">
        <f>IF(每日收货出货登记!W477&gt;0,每日收货出货登记!W477,"")</f>
        <v/>
      </c>
      <c r="H477" s="10">
        <f>IF(每日收货出货登记!W477&gt;0,每日收货出货登记!R477,"")</f>
        <v/>
      </c>
      <c r="I477" s="9">
        <f>IF(每日收货出货登记!W477&gt;0,每日收货出货登记!S477,"")</f>
        <v/>
      </c>
      <c r="J477" s="9">
        <f>IF(每日收货出货登记!W477&gt;0,每日收货出货登记!AB477,"")</f>
        <v/>
      </c>
    </row>
    <row r="478" ht="22" customHeight="1">
      <c r="A478" s="9">
        <f>IF(每日收货出货登记!W478&gt;0,每日收货出货登记!A478,"")</f>
        <v/>
      </c>
      <c r="B478" s="10">
        <f>IF(每日收货出货登记!W478&gt;0,每日收货出货登记!D478,"")</f>
        <v/>
      </c>
      <c r="C478" s="10">
        <f>IF(每日收货出货登记!W478&gt;0,每日收货出货登记!G478,"")</f>
        <v/>
      </c>
      <c r="D478" s="10">
        <f>IF(每日收货出货登记!W478&gt;0,每日收货出货登记!E478,"")</f>
        <v/>
      </c>
      <c r="E478" s="10">
        <f>IF(每日收货出货登记!W478&gt;0,每日收货出货登记!Q478,"")</f>
        <v/>
      </c>
      <c r="F478" s="10">
        <f>IF(每日收货出货登记!W478&gt;0,每日收货出货登记!V478,"")</f>
        <v/>
      </c>
      <c r="G478" s="10">
        <f>IF(每日收货出货登记!W478&gt;0,每日收货出货登记!W478,"")</f>
        <v/>
      </c>
      <c r="H478" s="10">
        <f>IF(每日收货出货登记!W478&gt;0,每日收货出货登记!R478,"")</f>
        <v/>
      </c>
      <c r="I478" s="9">
        <f>IF(每日收货出货登记!W478&gt;0,每日收货出货登记!S478,"")</f>
        <v/>
      </c>
      <c r="J478" s="9">
        <f>IF(每日收货出货登记!W478&gt;0,每日收货出货登记!AB478,"")</f>
        <v/>
      </c>
    </row>
    <row r="479" ht="22" customHeight="1">
      <c r="A479" s="9">
        <f>IF(每日收货出货登记!W479&gt;0,每日收货出货登记!A479,"")</f>
        <v/>
      </c>
      <c r="B479" s="10">
        <f>IF(每日收货出货登记!W479&gt;0,每日收货出货登记!D479,"")</f>
        <v/>
      </c>
      <c r="C479" s="10">
        <f>IF(每日收货出货登记!W479&gt;0,每日收货出货登记!G479,"")</f>
        <v/>
      </c>
      <c r="D479" s="10">
        <f>IF(每日收货出货登记!W479&gt;0,每日收货出货登记!E479,"")</f>
        <v/>
      </c>
      <c r="E479" s="10">
        <f>IF(每日收货出货登记!W479&gt;0,每日收货出货登记!Q479,"")</f>
        <v/>
      </c>
      <c r="F479" s="10">
        <f>IF(每日收货出货登记!W479&gt;0,每日收货出货登记!V479,"")</f>
        <v/>
      </c>
      <c r="G479" s="10">
        <f>IF(每日收货出货登记!W479&gt;0,每日收货出货登记!W479,"")</f>
        <v/>
      </c>
      <c r="H479" s="10">
        <f>IF(每日收货出货登记!W479&gt;0,每日收货出货登记!R479,"")</f>
        <v/>
      </c>
      <c r="I479" s="9">
        <f>IF(每日收货出货登记!W479&gt;0,每日收货出货登记!S479,"")</f>
        <v/>
      </c>
      <c r="J479" s="9">
        <f>IF(每日收货出货登记!W479&gt;0,每日收货出货登记!AB479,"")</f>
        <v/>
      </c>
    </row>
    <row r="480" ht="22" customHeight="1">
      <c r="A480" s="9">
        <f>IF(每日收货出货登记!W480&gt;0,每日收货出货登记!A480,"")</f>
        <v/>
      </c>
      <c r="B480" s="10">
        <f>IF(每日收货出货登记!W480&gt;0,每日收货出货登记!D480,"")</f>
        <v/>
      </c>
      <c r="C480" s="10">
        <f>IF(每日收货出货登记!W480&gt;0,每日收货出货登记!G480,"")</f>
        <v/>
      </c>
      <c r="D480" s="10">
        <f>IF(每日收货出货登记!W480&gt;0,每日收货出货登记!E480,"")</f>
        <v/>
      </c>
      <c r="E480" s="10">
        <f>IF(每日收货出货登记!W480&gt;0,每日收货出货登记!Q480,"")</f>
        <v/>
      </c>
      <c r="F480" s="10">
        <f>IF(每日收货出货登记!W480&gt;0,每日收货出货登记!V480,"")</f>
        <v/>
      </c>
      <c r="G480" s="10">
        <f>IF(每日收货出货登记!W480&gt;0,每日收货出货登记!W480,"")</f>
        <v/>
      </c>
      <c r="H480" s="10">
        <f>IF(每日收货出货登记!W480&gt;0,每日收货出货登记!R480,"")</f>
        <v/>
      </c>
      <c r="I480" s="9">
        <f>IF(每日收货出货登记!W480&gt;0,每日收货出货登记!S480,"")</f>
        <v/>
      </c>
      <c r="J480" s="9">
        <f>IF(每日收货出货登记!W480&gt;0,每日收货出货登记!AB480,"")</f>
        <v/>
      </c>
    </row>
    <row r="481" ht="22" customHeight="1">
      <c r="A481" s="9">
        <f>IF(每日收货出货登记!W481&gt;0,每日收货出货登记!A481,"")</f>
        <v/>
      </c>
      <c r="B481" s="10">
        <f>IF(每日收货出货登记!W481&gt;0,每日收货出货登记!D481,"")</f>
        <v/>
      </c>
      <c r="C481" s="10">
        <f>IF(每日收货出货登记!W481&gt;0,每日收货出货登记!G481,"")</f>
        <v/>
      </c>
      <c r="D481" s="10">
        <f>IF(每日收货出货登记!W481&gt;0,每日收货出货登记!E481,"")</f>
        <v/>
      </c>
      <c r="E481" s="10">
        <f>IF(每日收货出货登记!W481&gt;0,每日收货出货登记!Q481,"")</f>
        <v/>
      </c>
      <c r="F481" s="10">
        <f>IF(每日收货出货登记!W481&gt;0,每日收货出货登记!V481,"")</f>
        <v/>
      </c>
      <c r="G481" s="10">
        <f>IF(每日收货出货登记!W481&gt;0,每日收货出货登记!W481,"")</f>
        <v/>
      </c>
      <c r="H481" s="10">
        <f>IF(每日收货出货登记!W481&gt;0,每日收货出货登记!R481,"")</f>
        <v/>
      </c>
      <c r="I481" s="9">
        <f>IF(每日收货出货登记!W481&gt;0,每日收货出货登记!S481,"")</f>
        <v/>
      </c>
      <c r="J481" s="9">
        <f>IF(每日收货出货登记!W481&gt;0,每日收货出货登记!AB481,"")</f>
        <v/>
      </c>
    </row>
    <row r="482" ht="22" customHeight="1">
      <c r="A482" s="9">
        <f>IF(每日收货出货登记!W482&gt;0,每日收货出货登记!A482,"")</f>
        <v/>
      </c>
      <c r="B482" s="10">
        <f>IF(每日收货出货登记!W482&gt;0,每日收货出货登记!D482,"")</f>
        <v/>
      </c>
      <c r="C482" s="10">
        <f>IF(每日收货出货登记!W482&gt;0,每日收货出货登记!G482,"")</f>
        <v/>
      </c>
      <c r="D482" s="10">
        <f>IF(每日收货出货登记!W482&gt;0,每日收货出货登记!E482,"")</f>
        <v/>
      </c>
      <c r="E482" s="10">
        <f>IF(每日收货出货登记!W482&gt;0,每日收货出货登记!Q482,"")</f>
        <v/>
      </c>
      <c r="F482" s="10">
        <f>IF(每日收货出货登记!W482&gt;0,每日收货出货登记!V482,"")</f>
        <v/>
      </c>
      <c r="G482" s="10">
        <f>IF(每日收货出货登记!W482&gt;0,每日收货出货登记!W482,"")</f>
        <v/>
      </c>
      <c r="H482" s="10">
        <f>IF(每日收货出货登记!W482&gt;0,每日收货出货登记!R482,"")</f>
        <v/>
      </c>
      <c r="I482" s="9">
        <f>IF(每日收货出货登记!W482&gt;0,每日收货出货登记!S482,"")</f>
        <v/>
      </c>
      <c r="J482" s="9">
        <f>IF(每日收货出货登记!W482&gt;0,每日收货出货登记!AB482,"")</f>
        <v/>
      </c>
    </row>
    <row r="483" ht="22" customHeight="1">
      <c r="A483" s="9">
        <f>IF(每日收货出货登记!W483&gt;0,每日收货出货登记!A483,"")</f>
        <v/>
      </c>
      <c r="B483" s="10">
        <f>IF(每日收货出货登记!W483&gt;0,每日收货出货登记!D483,"")</f>
        <v/>
      </c>
      <c r="C483" s="10">
        <f>IF(每日收货出货登记!W483&gt;0,每日收货出货登记!G483,"")</f>
        <v/>
      </c>
      <c r="D483" s="10">
        <f>IF(每日收货出货登记!W483&gt;0,每日收货出货登记!E483,"")</f>
        <v/>
      </c>
      <c r="E483" s="10">
        <f>IF(每日收货出货登记!W483&gt;0,每日收货出货登记!Q483,"")</f>
        <v/>
      </c>
      <c r="F483" s="10">
        <f>IF(每日收货出货登记!W483&gt;0,每日收货出货登记!V483,"")</f>
        <v/>
      </c>
      <c r="G483" s="10">
        <f>IF(每日收货出货登记!W483&gt;0,每日收货出货登记!W483,"")</f>
        <v/>
      </c>
      <c r="H483" s="10">
        <f>IF(每日收货出货登记!W483&gt;0,每日收货出货登记!R483,"")</f>
        <v/>
      </c>
      <c r="I483" s="9">
        <f>IF(每日收货出货登记!W483&gt;0,每日收货出货登记!S483,"")</f>
        <v/>
      </c>
      <c r="J483" s="9">
        <f>IF(每日收货出货登记!W483&gt;0,每日收货出货登记!AB483,"")</f>
        <v/>
      </c>
    </row>
    <row r="484" ht="22" customHeight="1">
      <c r="A484" s="9">
        <f>IF(每日收货出货登记!W484&gt;0,每日收货出货登记!A484,"")</f>
        <v/>
      </c>
      <c r="B484" s="10">
        <f>IF(每日收货出货登记!W484&gt;0,每日收货出货登记!D484,"")</f>
        <v/>
      </c>
      <c r="C484" s="10">
        <f>IF(每日收货出货登记!W484&gt;0,每日收货出货登记!G484,"")</f>
        <v/>
      </c>
      <c r="D484" s="10">
        <f>IF(每日收货出货登记!W484&gt;0,每日收货出货登记!E484,"")</f>
        <v/>
      </c>
      <c r="E484" s="10">
        <f>IF(每日收货出货登记!W484&gt;0,每日收货出货登记!Q484,"")</f>
        <v/>
      </c>
      <c r="F484" s="10">
        <f>IF(每日收货出货登记!W484&gt;0,每日收货出货登记!V484,"")</f>
        <v/>
      </c>
      <c r="G484" s="10">
        <f>IF(每日收货出货登记!W484&gt;0,每日收货出货登记!W484,"")</f>
        <v/>
      </c>
      <c r="H484" s="10">
        <f>IF(每日收货出货登记!W484&gt;0,每日收货出货登记!R484,"")</f>
        <v/>
      </c>
      <c r="I484" s="9">
        <f>IF(每日收货出货登记!W484&gt;0,每日收货出货登记!S484,"")</f>
        <v/>
      </c>
      <c r="J484" s="9">
        <f>IF(每日收货出货登记!W484&gt;0,每日收货出货登记!AB484,"")</f>
        <v/>
      </c>
    </row>
    <row r="485" ht="22" customHeight="1">
      <c r="A485" s="9">
        <f>IF(每日收货出货登记!W485&gt;0,每日收货出货登记!A485,"")</f>
        <v/>
      </c>
      <c r="B485" s="10">
        <f>IF(每日收货出货登记!W485&gt;0,每日收货出货登记!D485,"")</f>
        <v/>
      </c>
      <c r="C485" s="10">
        <f>IF(每日收货出货登记!W485&gt;0,每日收货出货登记!G485,"")</f>
        <v/>
      </c>
      <c r="D485" s="10">
        <f>IF(每日收货出货登记!W485&gt;0,每日收货出货登记!E485,"")</f>
        <v/>
      </c>
      <c r="E485" s="10">
        <f>IF(每日收货出货登记!W485&gt;0,每日收货出货登记!Q485,"")</f>
        <v/>
      </c>
      <c r="F485" s="10">
        <f>IF(每日收货出货登记!W485&gt;0,每日收货出货登记!V485,"")</f>
        <v/>
      </c>
      <c r="G485" s="10">
        <f>IF(每日收货出货登记!W485&gt;0,每日收货出货登记!W485,"")</f>
        <v/>
      </c>
      <c r="H485" s="10">
        <f>IF(每日收货出货登记!W485&gt;0,每日收货出货登记!R485,"")</f>
        <v/>
      </c>
      <c r="I485" s="9">
        <f>IF(每日收货出货登记!W485&gt;0,每日收货出货登记!S485,"")</f>
        <v/>
      </c>
      <c r="J485" s="9">
        <f>IF(每日收货出货登记!W485&gt;0,每日收货出货登记!AB485,"")</f>
        <v/>
      </c>
    </row>
    <row r="486" ht="22" customHeight="1">
      <c r="A486" s="9">
        <f>IF(每日收货出货登记!W486&gt;0,每日收货出货登记!A486,"")</f>
        <v/>
      </c>
      <c r="B486" s="10">
        <f>IF(每日收货出货登记!W486&gt;0,每日收货出货登记!D486,"")</f>
        <v/>
      </c>
      <c r="C486" s="10">
        <f>IF(每日收货出货登记!W486&gt;0,每日收货出货登记!G486,"")</f>
        <v/>
      </c>
      <c r="D486" s="10">
        <f>IF(每日收货出货登记!W486&gt;0,每日收货出货登记!E486,"")</f>
        <v/>
      </c>
      <c r="E486" s="10">
        <f>IF(每日收货出货登记!W486&gt;0,每日收货出货登记!Q486,"")</f>
        <v/>
      </c>
      <c r="F486" s="10">
        <f>IF(每日收货出货登记!W486&gt;0,每日收货出货登记!V486,"")</f>
        <v/>
      </c>
      <c r="G486" s="10">
        <f>IF(每日收货出货登记!W486&gt;0,每日收货出货登记!W486,"")</f>
        <v/>
      </c>
      <c r="H486" s="10">
        <f>IF(每日收货出货登记!W486&gt;0,每日收货出货登记!R486,"")</f>
        <v/>
      </c>
      <c r="I486" s="9">
        <f>IF(每日收货出货登记!W486&gt;0,每日收货出货登记!S486,"")</f>
        <v/>
      </c>
      <c r="J486" s="9">
        <f>IF(每日收货出货登记!W486&gt;0,每日收货出货登记!AB486,"")</f>
        <v/>
      </c>
    </row>
    <row r="487" ht="22" customHeight="1">
      <c r="A487" s="9">
        <f>IF(每日收货出货登记!W487&gt;0,每日收货出货登记!A487,"")</f>
        <v/>
      </c>
      <c r="B487" s="10">
        <f>IF(每日收货出货登记!W487&gt;0,每日收货出货登记!D487,"")</f>
        <v/>
      </c>
      <c r="C487" s="10">
        <f>IF(每日收货出货登记!W487&gt;0,每日收货出货登记!G487,"")</f>
        <v/>
      </c>
      <c r="D487" s="10">
        <f>IF(每日收货出货登记!W487&gt;0,每日收货出货登记!E487,"")</f>
        <v/>
      </c>
      <c r="E487" s="10">
        <f>IF(每日收货出货登记!W487&gt;0,每日收货出货登记!Q487,"")</f>
        <v/>
      </c>
      <c r="F487" s="10">
        <f>IF(每日收货出货登记!W487&gt;0,每日收货出货登记!V487,"")</f>
        <v/>
      </c>
      <c r="G487" s="10">
        <f>IF(每日收货出货登记!W487&gt;0,每日收货出货登记!W487,"")</f>
        <v/>
      </c>
      <c r="H487" s="10">
        <f>IF(每日收货出货登记!W487&gt;0,每日收货出货登记!R487,"")</f>
        <v/>
      </c>
      <c r="I487" s="9">
        <f>IF(每日收货出货登记!W487&gt;0,每日收货出货登记!S487,"")</f>
        <v/>
      </c>
      <c r="J487" s="9">
        <f>IF(每日收货出货登记!W487&gt;0,每日收货出货登记!AB487,"")</f>
        <v/>
      </c>
    </row>
    <row r="488" ht="22" customHeight="1">
      <c r="A488" s="9">
        <f>IF(每日收货出货登记!W488&gt;0,每日收货出货登记!A488,"")</f>
        <v/>
      </c>
      <c r="B488" s="10">
        <f>IF(每日收货出货登记!W488&gt;0,每日收货出货登记!D488,"")</f>
        <v/>
      </c>
      <c r="C488" s="10">
        <f>IF(每日收货出货登记!W488&gt;0,每日收货出货登记!G488,"")</f>
        <v/>
      </c>
      <c r="D488" s="10">
        <f>IF(每日收货出货登记!W488&gt;0,每日收货出货登记!E488,"")</f>
        <v/>
      </c>
      <c r="E488" s="10">
        <f>IF(每日收货出货登记!W488&gt;0,每日收货出货登记!Q488,"")</f>
        <v/>
      </c>
      <c r="F488" s="10">
        <f>IF(每日收货出货登记!W488&gt;0,每日收货出货登记!V488,"")</f>
        <v/>
      </c>
      <c r="G488" s="10">
        <f>IF(每日收货出货登记!W488&gt;0,每日收货出货登记!W488,"")</f>
        <v/>
      </c>
      <c r="H488" s="10">
        <f>IF(每日收货出货登记!W488&gt;0,每日收货出货登记!R488,"")</f>
        <v/>
      </c>
      <c r="I488" s="9">
        <f>IF(每日收货出货登记!W488&gt;0,每日收货出货登记!S488,"")</f>
        <v/>
      </c>
      <c r="J488" s="9">
        <f>IF(每日收货出货登记!W488&gt;0,每日收货出货登记!AB488,"")</f>
        <v/>
      </c>
    </row>
    <row r="489" ht="22" customHeight="1">
      <c r="A489" s="9">
        <f>IF(每日收货出货登记!W489&gt;0,每日收货出货登记!A489,"")</f>
        <v/>
      </c>
      <c r="B489" s="10">
        <f>IF(每日收货出货登记!W489&gt;0,每日收货出货登记!D489,"")</f>
        <v/>
      </c>
      <c r="C489" s="10">
        <f>IF(每日收货出货登记!W489&gt;0,每日收货出货登记!G489,"")</f>
        <v/>
      </c>
      <c r="D489" s="10">
        <f>IF(每日收货出货登记!W489&gt;0,每日收货出货登记!E489,"")</f>
        <v/>
      </c>
      <c r="E489" s="10">
        <f>IF(每日收货出货登记!W489&gt;0,每日收货出货登记!Q489,"")</f>
        <v/>
      </c>
      <c r="F489" s="10">
        <f>IF(每日收货出货登记!W489&gt;0,每日收货出货登记!V489,"")</f>
        <v/>
      </c>
      <c r="G489" s="10">
        <f>IF(每日收货出货登记!W489&gt;0,每日收货出货登记!W489,"")</f>
        <v/>
      </c>
      <c r="H489" s="10">
        <f>IF(每日收货出货登记!W489&gt;0,每日收货出货登记!R489,"")</f>
        <v/>
      </c>
      <c r="I489" s="9">
        <f>IF(每日收货出货登记!W489&gt;0,每日收货出货登记!S489,"")</f>
        <v/>
      </c>
      <c r="J489" s="9">
        <f>IF(每日收货出货登记!W489&gt;0,每日收货出货登记!AB489,"")</f>
        <v/>
      </c>
    </row>
    <row r="490" ht="22" customHeight="1">
      <c r="A490" s="9">
        <f>IF(每日收货出货登记!W490&gt;0,每日收货出货登记!A490,"")</f>
        <v/>
      </c>
      <c r="B490" s="10">
        <f>IF(每日收货出货登记!W490&gt;0,每日收货出货登记!D490,"")</f>
        <v/>
      </c>
      <c r="C490" s="10">
        <f>IF(每日收货出货登记!W490&gt;0,每日收货出货登记!G490,"")</f>
        <v/>
      </c>
      <c r="D490" s="10">
        <f>IF(每日收货出货登记!W490&gt;0,每日收货出货登记!E490,"")</f>
        <v/>
      </c>
      <c r="E490" s="10">
        <f>IF(每日收货出货登记!W490&gt;0,每日收货出货登记!Q490,"")</f>
        <v/>
      </c>
      <c r="F490" s="10">
        <f>IF(每日收货出货登记!W490&gt;0,每日收货出货登记!V490,"")</f>
        <v/>
      </c>
      <c r="G490" s="10">
        <f>IF(每日收货出货登记!W490&gt;0,每日收货出货登记!W490,"")</f>
        <v/>
      </c>
      <c r="H490" s="10">
        <f>IF(每日收货出货登记!W490&gt;0,每日收货出货登记!R490,"")</f>
        <v/>
      </c>
      <c r="I490" s="9">
        <f>IF(每日收货出货登记!W490&gt;0,每日收货出货登记!S490,"")</f>
        <v/>
      </c>
      <c r="J490" s="9">
        <f>IF(每日收货出货登记!W490&gt;0,每日收货出货登记!AB490,"")</f>
        <v/>
      </c>
    </row>
    <row r="491" ht="22" customHeight="1">
      <c r="A491" s="9">
        <f>IF(每日收货出货登记!W491&gt;0,每日收货出货登记!A491,"")</f>
        <v/>
      </c>
      <c r="B491" s="10">
        <f>IF(每日收货出货登记!W491&gt;0,每日收货出货登记!D491,"")</f>
        <v/>
      </c>
      <c r="C491" s="10">
        <f>IF(每日收货出货登记!W491&gt;0,每日收货出货登记!G491,"")</f>
        <v/>
      </c>
      <c r="D491" s="10">
        <f>IF(每日收货出货登记!W491&gt;0,每日收货出货登记!E491,"")</f>
        <v/>
      </c>
      <c r="E491" s="10">
        <f>IF(每日收货出货登记!W491&gt;0,每日收货出货登记!Q491,"")</f>
        <v/>
      </c>
      <c r="F491" s="10">
        <f>IF(每日收货出货登记!W491&gt;0,每日收货出货登记!V491,"")</f>
        <v/>
      </c>
      <c r="G491" s="10">
        <f>IF(每日收货出货登记!W491&gt;0,每日收货出货登记!W491,"")</f>
        <v/>
      </c>
      <c r="H491" s="10">
        <f>IF(每日收货出货登记!W491&gt;0,每日收货出货登记!R491,"")</f>
        <v/>
      </c>
      <c r="I491" s="9">
        <f>IF(每日收货出货登记!W491&gt;0,每日收货出货登记!S491,"")</f>
        <v/>
      </c>
      <c r="J491" s="9">
        <f>IF(每日收货出货登记!W491&gt;0,每日收货出货登记!AB491,"")</f>
        <v/>
      </c>
    </row>
    <row r="492" ht="22" customHeight="1">
      <c r="A492" s="9">
        <f>IF(每日收货出货登记!W492&gt;0,每日收货出货登记!A492,"")</f>
        <v/>
      </c>
      <c r="B492" s="10">
        <f>IF(每日收货出货登记!W492&gt;0,每日收货出货登记!D492,"")</f>
        <v/>
      </c>
      <c r="C492" s="10">
        <f>IF(每日收货出货登记!W492&gt;0,每日收货出货登记!G492,"")</f>
        <v/>
      </c>
      <c r="D492" s="10">
        <f>IF(每日收货出货登记!W492&gt;0,每日收货出货登记!E492,"")</f>
        <v/>
      </c>
      <c r="E492" s="10">
        <f>IF(每日收货出货登记!W492&gt;0,每日收货出货登记!Q492,"")</f>
        <v/>
      </c>
      <c r="F492" s="10">
        <f>IF(每日收货出货登记!W492&gt;0,每日收货出货登记!V492,"")</f>
        <v/>
      </c>
      <c r="G492" s="10">
        <f>IF(每日收货出货登记!W492&gt;0,每日收货出货登记!W492,"")</f>
        <v/>
      </c>
      <c r="H492" s="10">
        <f>IF(每日收货出货登记!W492&gt;0,每日收货出货登记!R492,"")</f>
        <v/>
      </c>
      <c r="I492" s="9">
        <f>IF(每日收货出货登记!W492&gt;0,每日收货出货登记!S492,"")</f>
        <v/>
      </c>
      <c r="J492" s="9">
        <f>IF(每日收货出货登记!W492&gt;0,每日收货出货登记!AB492,"")</f>
        <v/>
      </c>
    </row>
    <row r="493" ht="22" customHeight="1">
      <c r="A493" s="9">
        <f>IF(每日收货出货登记!W493&gt;0,每日收货出货登记!A493,"")</f>
        <v/>
      </c>
      <c r="B493" s="10">
        <f>IF(每日收货出货登记!W493&gt;0,每日收货出货登记!D493,"")</f>
        <v/>
      </c>
      <c r="C493" s="10">
        <f>IF(每日收货出货登记!W493&gt;0,每日收货出货登记!G493,"")</f>
        <v/>
      </c>
      <c r="D493" s="10">
        <f>IF(每日收货出货登记!W493&gt;0,每日收货出货登记!E493,"")</f>
        <v/>
      </c>
      <c r="E493" s="10">
        <f>IF(每日收货出货登记!W493&gt;0,每日收货出货登记!Q493,"")</f>
        <v/>
      </c>
      <c r="F493" s="10">
        <f>IF(每日收货出货登记!W493&gt;0,每日收货出货登记!V493,"")</f>
        <v/>
      </c>
      <c r="G493" s="10">
        <f>IF(每日收货出货登记!W493&gt;0,每日收货出货登记!W493,"")</f>
        <v/>
      </c>
      <c r="H493" s="10">
        <f>IF(每日收货出货登记!W493&gt;0,每日收货出货登记!R493,"")</f>
        <v/>
      </c>
      <c r="I493" s="9">
        <f>IF(每日收货出货登记!W493&gt;0,每日收货出货登记!S493,"")</f>
        <v/>
      </c>
      <c r="J493" s="9">
        <f>IF(每日收货出货登记!W493&gt;0,每日收货出货登记!AB493,"")</f>
        <v/>
      </c>
    </row>
    <row r="494" ht="22" customHeight="1">
      <c r="A494" s="9">
        <f>IF(每日收货出货登记!W494&gt;0,每日收货出货登记!A494,"")</f>
        <v/>
      </c>
      <c r="B494" s="10">
        <f>IF(每日收货出货登记!W494&gt;0,每日收货出货登记!D494,"")</f>
        <v/>
      </c>
      <c r="C494" s="10">
        <f>IF(每日收货出货登记!W494&gt;0,每日收货出货登记!G494,"")</f>
        <v/>
      </c>
      <c r="D494" s="10">
        <f>IF(每日收货出货登记!W494&gt;0,每日收货出货登记!E494,"")</f>
        <v/>
      </c>
      <c r="E494" s="10">
        <f>IF(每日收货出货登记!W494&gt;0,每日收货出货登记!Q494,"")</f>
        <v/>
      </c>
      <c r="F494" s="10">
        <f>IF(每日收货出货登记!W494&gt;0,每日收货出货登记!V494,"")</f>
        <v/>
      </c>
      <c r="G494" s="10">
        <f>IF(每日收货出货登记!W494&gt;0,每日收货出货登记!W494,"")</f>
        <v/>
      </c>
      <c r="H494" s="10">
        <f>IF(每日收货出货登记!W494&gt;0,每日收货出货登记!R494,"")</f>
        <v/>
      </c>
      <c r="I494" s="9">
        <f>IF(每日收货出货登记!W494&gt;0,每日收货出货登记!S494,"")</f>
        <v/>
      </c>
      <c r="J494" s="9">
        <f>IF(每日收货出货登记!W494&gt;0,每日收货出货登记!AB494,"")</f>
        <v/>
      </c>
    </row>
    <row r="495" ht="22" customHeight="1">
      <c r="A495" s="9">
        <f>IF(每日收货出货登记!W495&gt;0,每日收货出货登记!A495,"")</f>
        <v/>
      </c>
      <c r="B495" s="10">
        <f>IF(每日收货出货登记!W495&gt;0,每日收货出货登记!D495,"")</f>
        <v/>
      </c>
      <c r="C495" s="10">
        <f>IF(每日收货出货登记!W495&gt;0,每日收货出货登记!G495,"")</f>
        <v/>
      </c>
      <c r="D495" s="10">
        <f>IF(每日收货出货登记!W495&gt;0,每日收货出货登记!E495,"")</f>
        <v/>
      </c>
      <c r="E495" s="10">
        <f>IF(每日收货出货登记!W495&gt;0,每日收货出货登记!Q495,"")</f>
        <v/>
      </c>
      <c r="F495" s="10">
        <f>IF(每日收货出货登记!W495&gt;0,每日收货出货登记!V495,"")</f>
        <v/>
      </c>
      <c r="G495" s="10">
        <f>IF(每日收货出货登记!W495&gt;0,每日收货出货登记!W495,"")</f>
        <v/>
      </c>
      <c r="H495" s="10">
        <f>IF(每日收货出货登记!W495&gt;0,每日收货出货登记!R495,"")</f>
        <v/>
      </c>
      <c r="I495" s="9">
        <f>IF(每日收货出货登记!W495&gt;0,每日收货出货登记!S495,"")</f>
        <v/>
      </c>
      <c r="J495" s="9">
        <f>IF(每日收货出货登记!W495&gt;0,每日收货出货登记!AB495,"")</f>
        <v/>
      </c>
    </row>
    <row r="496" ht="22" customHeight="1">
      <c r="A496" s="9">
        <f>IF(每日收货出货登记!W496&gt;0,每日收货出货登记!A496,"")</f>
        <v/>
      </c>
      <c r="B496" s="10">
        <f>IF(每日收货出货登记!W496&gt;0,每日收货出货登记!D496,"")</f>
        <v/>
      </c>
      <c r="C496" s="10">
        <f>IF(每日收货出货登记!W496&gt;0,每日收货出货登记!G496,"")</f>
        <v/>
      </c>
      <c r="D496" s="10">
        <f>IF(每日收货出货登记!W496&gt;0,每日收货出货登记!E496,"")</f>
        <v/>
      </c>
      <c r="E496" s="10">
        <f>IF(每日收货出货登记!W496&gt;0,每日收货出货登记!Q496,"")</f>
        <v/>
      </c>
      <c r="F496" s="10">
        <f>IF(每日收货出货登记!W496&gt;0,每日收货出货登记!V496,"")</f>
        <v/>
      </c>
      <c r="G496" s="10">
        <f>IF(每日收货出货登记!W496&gt;0,每日收货出货登记!W496,"")</f>
        <v/>
      </c>
      <c r="H496" s="10">
        <f>IF(每日收货出货登记!W496&gt;0,每日收货出货登记!R496,"")</f>
        <v/>
      </c>
      <c r="I496" s="9">
        <f>IF(每日收货出货登记!W496&gt;0,每日收货出货登记!S496,"")</f>
        <v/>
      </c>
      <c r="J496" s="9">
        <f>IF(每日收货出货登记!W496&gt;0,每日收货出货登记!AB496,"")</f>
        <v/>
      </c>
    </row>
    <row r="497" ht="22" customHeight="1">
      <c r="A497" s="9">
        <f>IF(每日收货出货登记!W497&gt;0,每日收货出货登记!A497,"")</f>
        <v/>
      </c>
      <c r="B497" s="10">
        <f>IF(每日收货出货登记!W497&gt;0,每日收货出货登记!D497,"")</f>
        <v/>
      </c>
      <c r="C497" s="10">
        <f>IF(每日收货出货登记!W497&gt;0,每日收货出货登记!G497,"")</f>
        <v/>
      </c>
      <c r="D497" s="10">
        <f>IF(每日收货出货登记!W497&gt;0,每日收货出货登记!E497,"")</f>
        <v/>
      </c>
      <c r="E497" s="10">
        <f>IF(每日收货出货登记!W497&gt;0,每日收货出货登记!Q497,"")</f>
        <v/>
      </c>
      <c r="F497" s="10">
        <f>IF(每日收货出货登记!W497&gt;0,每日收货出货登记!V497,"")</f>
        <v/>
      </c>
      <c r="G497" s="10">
        <f>IF(每日收货出货登记!W497&gt;0,每日收货出货登记!W497,"")</f>
        <v/>
      </c>
      <c r="H497" s="10">
        <f>IF(每日收货出货登记!W497&gt;0,每日收货出货登记!R497,"")</f>
        <v/>
      </c>
      <c r="I497" s="9">
        <f>IF(每日收货出货登记!W497&gt;0,每日收货出货登记!S497,"")</f>
        <v/>
      </c>
      <c r="J497" s="9">
        <f>IF(每日收货出货登记!W497&gt;0,每日收货出货登记!AB497,"")</f>
        <v/>
      </c>
    </row>
    <row r="498" ht="22" customHeight="1">
      <c r="A498" s="9">
        <f>IF(每日收货出货登记!W498&gt;0,每日收货出货登记!A498,"")</f>
        <v/>
      </c>
      <c r="B498" s="10">
        <f>IF(每日收货出货登记!W498&gt;0,每日收货出货登记!D498,"")</f>
        <v/>
      </c>
      <c r="C498" s="10">
        <f>IF(每日收货出货登记!W498&gt;0,每日收货出货登记!G498,"")</f>
        <v/>
      </c>
      <c r="D498" s="10">
        <f>IF(每日收货出货登记!W498&gt;0,每日收货出货登记!E498,"")</f>
        <v/>
      </c>
      <c r="E498" s="10">
        <f>IF(每日收货出货登记!W498&gt;0,每日收货出货登记!Q498,"")</f>
        <v/>
      </c>
      <c r="F498" s="10">
        <f>IF(每日收货出货登记!W498&gt;0,每日收货出货登记!V498,"")</f>
        <v/>
      </c>
      <c r="G498" s="10">
        <f>IF(每日收货出货登记!W498&gt;0,每日收货出货登记!W498,"")</f>
        <v/>
      </c>
      <c r="H498" s="10">
        <f>IF(每日收货出货登记!W498&gt;0,每日收货出货登记!R498,"")</f>
        <v/>
      </c>
      <c r="I498" s="9">
        <f>IF(每日收货出货登记!W498&gt;0,每日收货出货登记!S498,"")</f>
        <v/>
      </c>
      <c r="J498" s="9">
        <f>IF(每日收货出货登记!W498&gt;0,每日收货出货登记!AB498,"")</f>
        <v/>
      </c>
    </row>
    <row r="499" ht="22" customHeight="1">
      <c r="A499" s="9">
        <f>IF(每日收货出货登记!W499&gt;0,每日收货出货登记!A499,"")</f>
        <v/>
      </c>
      <c r="B499" s="10">
        <f>IF(每日收货出货登记!W499&gt;0,每日收货出货登记!D499,"")</f>
        <v/>
      </c>
      <c r="C499" s="10">
        <f>IF(每日收货出货登记!W499&gt;0,每日收货出货登记!G499,"")</f>
        <v/>
      </c>
      <c r="D499" s="10">
        <f>IF(每日收货出货登记!W499&gt;0,每日收货出货登记!E499,"")</f>
        <v/>
      </c>
      <c r="E499" s="10">
        <f>IF(每日收货出货登记!W499&gt;0,每日收货出货登记!Q499,"")</f>
        <v/>
      </c>
      <c r="F499" s="10">
        <f>IF(每日收货出货登记!W499&gt;0,每日收货出货登记!V499,"")</f>
        <v/>
      </c>
      <c r="G499" s="10">
        <f>IF(每日收货出货登记!W499&gt;0,每日收货出货登记!W499,"")</f>
        <v/>
      </c>
      <c r="H499" s="10">
        <f>IF(每日收货出货登记!W499&gt;0,每日收货出货登记!R499,"")</f>
        <v/>
      </c>
      <c r="I499" s="9">
        <f>IF(每日收货出货登记!W499&gt;0,每日收货出货登记!S499,"")</f>
        <v/>
      </c>
      <c r="J499" s="9">
        <f>IF(每日收货出货登记!W499&gt;0,每日收货出货登记!AB499,"")</f>
        <v/>
      </c>
    </row>
    <row r="500" ht="22" customHeight="1">
      <c r="A500" s="9">
        <f>IF(每日收货出货登记!W500&gt;0,每日收货出货登记!A500,"")</f>
        <v/>
      </c>
      <c r="B500" s="10">
        <f>IF(每日收货出货登记!W500&gt;0,每日收货出货登记!D500,"")</f>
        <v/>
      </c>
      <c r="C500" s="10">
        <f>IF(每日收货出货登记!W500&gt;0,每日收货出货登记!G500,"")</f>
        <v/>
      </c>
      <c r="D500" s="10">
        <f>IF(每日收货出货登记!W500&gt;0,每日收货出货登记!E500,"")</f>
        <v/>
      </c>
      <c r="E500" s="10">
        <f>IF(每日收货出货登记!W500&gt;0,每日收货出货登记!Q500,"")</f>
        <v/>
      </c>
      <c r="F500" s="10">
        <f>IF(每日收货出货登记!W500&gt;0,每日收货出货登记!V500,"")</f>
        <v/>
      </c>
      <c r="G500" s="10">
        <f>IF(每日收货出货登记!W500&gt;0,每日收货出货登记!W500,"")</f>
        <v/>
      </c>
      <c r="H500" s="10">
        <f>IF(每日收货出货登记!W500&gt;0,每日收货出货登记!R500,"")</f>
        <v/>
      </c>
      <c r="I500" s="9">
        <f>IF(每日收货出货登记!W500&gt;0,每日收货出货登记!S500,"")</f>
        <v/>
      </c>
      <c r="J500" s="9">
        <f>IF(每日收货出货登记!W500&gt;0,每日收货出货登记!AB500,"")</f>
        <v/>
      </c>
    </row>
    <row r="501" ht="22" customHeight="1">
      <c r="A501" s="9">
        <f>IF(每日收货出货登记!W501&gt;0,每日收货出货登记!A501,"")</f>
        <v/>
      </c>
      <c r="B501" s="10">
        <f>IF(每日收货出货登记!W501&gt;0,每日收货出货登记!D501,"")</f>
        <v/>
      </c>
      <c r="C501" s="10">
        <f>IF(每日收货出货登记!W501&gt;0,每日收货出货登记!G501,"")</f>
        <v/>
      </c>
      <c r="D501" s="10">
        <f>IF(每日收货出货登记!W501&gt;0,每日收货出货登记!E501,"")</f>
        <v/>
      </c>
      <c r="E501" s="10">
        <f>IF(每日收货出货登记!W501&gt;0,每日收货出货登记!Q501,"")</f>
        <v/>
      </c>
      <c r="F501" s="10">
        <f>IF(每日收货出货登记!W501&gt;0,每日收货出货登记!V501,"")</f>
        <v/>
      </c>
      <c r="G501" s="10">
        <f>IF(每日收货出货登记!W501&gt;0,每日收货出货登记!W501,"")</f>
        <v/>
      </c>
      <c r="H501" s="10">
        <f>IF(每日收货出货登记!W501&gt;0,每日收货出货登记!R501,"")</f>
        <v/>
      </c>
      <c r="I501" s="9">
        <f>IF(每日收货出货登记!W501&gt;0,每日收货出货登记!S501,"")</f>
        <v/>
      </c>
      <c r="J501" s="9">
        <f>IF(每日收货出货登记!W501&gt;0,每日收货出货登记!AB501,"")</f>
        <v/>
      </c>
    </row>
    <row r="502" ht="22" customHeight="1">
      <c r="A502" s="9">
        <f>IF(每日收货出货登记!W502&gt;0,每日收货出货登记!A502,"")</f>
        <v/>
      </c>
      <c r="B502" s="10">
        <f>IF(每日收货出货登记!W502&gt;0,每日收货出货登记!D502,"")</f>
        <v/>
      </c>
      <c r="C502" s="10">
        <f>IF(每日收货出货登记!W502&gt;0,每日收货出货登记!G502,"")</f>
        <v/>
      </c>
      <c r="D502" s="10">
        <f>IF(每日收货出货登记!W502&gt;0,每日收货出货登记!E502,"")</f>
        <v/>
      </c>
      <c r="E502" s="10">
        <f>IF(每日收货出货登记!W502&gt;0,每日收货出货登记!Q502,"")</f>
        <v/>
      </c>
      <c r="F502" s="10">
        <f>IF(每日收货出货登记!W502&gt;0,每日收货出货登记!V502,"")</f>
        <v/>
      </c>
      <c r="G502" s="10">
        <f>IF(每日收货出货登记!W502&gt;0,每日收货出货登记!W502,"")</f>
        <v/>
      </c>
      <c r="H502" s="10">
        <f>IF(每日收货出货登记!W502&gt;0,每日收货出货登记!R502,"")</f>
        <v/>
      </c>
      <c r="I502" s="9">
        <f>IF(每日收货出货登记!W502&gt;0,每日收货出货登记!S502,"")</f>
        <v/>
      </c>
      <c r="J502" s="9">
        <f>IF(每日收货出货登记!W502&gt;0,每日收货出货登记!AB502,"")</f>
        <v/>
      </c>
    </row>
  </sheetData>
  <autoFilter ref="A2:J502"/>
  <conditionalFormatting sqref="G3:G502">
    <cfRule type="cellIs" priority="1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4" customWidth="1" min="4" max="4"/>
    <col width="18" customWidth="1" min="5" max="5"/>
    <col width="18" customWidth="1" min="6" max="6"/>
    <col width="40" customWidth="1" min="7" max="7"/>
    <col width="32" customWidth="1" min="8" max="8"/>
  </cols>
  <sheetData>
    <row r="1" ht="22" customHeight="1">
      <c r="A1" s="1" t="inlineStr">
        <is>
          <t>客户资料</t>
        </is>
      </c>
    </row>
    <row r="2" ht="34" customHeight="1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</row>
    <row r="3" ht="22" customHeight="1">
      <c r="A3" s="9" t="inlineStr">
        <is>
          <t>唛头</t>
        </is>
      </c>
      <c r="B3" s="9" t="inlineStr">
        <is>
          <t>发货人</t>
        </is>
      </c>
      <c r="C3" s="9" t="inlineStr">
        <is>
          <t>发货人电话</t>
        </is>
      </c>
      <c r="D3" s="9" t="inlineStr">
        <is>
          <t>发货人地址</t>
        </is>
      </c>
      <c r="E3" s="9" t="inlineStr">
        <is>
          <t>收货人</t>
        </is>
      </c>
      <c r="F3" s="9" t="inlineStr">
        <is>
          <t>收货人电话</t>
        </is>
      </c>
      <c r="G3" s="9" t="inlineStr">
        <is>
          <t>收货人地址</t>
        </is>
      </c>
      <c r="H3" s="9" t="inlineStr">
        <is>
          <t>价格/备注</t>
        </is>
      </c>
    </row>
    <row r="4" ht="22" customHeight="1">
      <c r="A4" s="9" t="inlineStr">
        <is>
          <t>HASAN1230</t>
        </is>
      </c>
      <c r="B4" s="9" t="inlineStr">
        <is>
          <t>钟总</t>
        </is>
      </c>
      <c r="C4" s="9" t="n"/>
      <c r="D4" s="9" t="n"/>
      <c r="E4" s="9" t="inlineStr">
        <is>
          <t>HASAN</t>
        </is>
      </c>
      <c r="F4" s="9" t="inlineStr">
        <is>
          <t>971566536822</t>
        </is>
      </c>
      <c r="G4" s="9" t="inlineStr">
        <is>
          <t xml:space="preserve">shop no 1 beside heavy signs warehouse behind madina market near mumtaz market and macro on jnp signal street no 2 industrial area no 6 sharjah uae </t>
        </is>
      </c>
      <c r="H4" s="9" t="n"/>
    </row>
    <row r="5" ht="22" customHeight="1">
      <c r="A5" s="9" t="inlineStr">
        <is>
          <t>SS</t>
        </is>
      </c>
      <c r="B5" s="9" t="n"/>
      <c r="C5" s="9" t="n"/>
      <c r="D5" s="9" t="n"/>
      <c r="E5" s="9" t="inlineStr">
        <is>
          <t>邵舒</t>
        </is>
      </c>
      <c r="F5" s="9" t="inlineStr">
        <is>
          <t>0585252988</t>
        </is>
      </c>
      <c r="G5" s="9" t="inlineStr">
        <is>
          <t>龙城一期</t>
        </is>
      </c>
      <c r="H5" s="9" t="n"/>
    </row>
    <row r="6" ht="22" customHeight="1">
      <c r="A6" s="9" t="n"/>
      <c r="B6" s="9" t="inlineStr">
        <is>
          <t>袁江江</t>
        </is>
      </c>
      <c r="C6" s="10" t="n">
        <v>13575934971</v>
      </c>
      <c r="D6" s="9" t="n"/>
      <c r="E6" s="9" t="n"/>
      <c r="F6" s="9" t="n"/>
      <c r="G6" s="9" t="n"/>
      <c r="H6" s="9" t="inlineStr">
        <is>
          <t>卖价 60rmb/kg（含义乌进仓+1rmb/kg），返1rmb/kg</t>
        </is>
      </c>
    </row>
    <row r="7" ht="22" customHeight="1">
      <c r="A7" s="9" t="n"/>
      <c r="B7" s="9" t="inlineStr">
        <is>
          <t>OPPO郭玉婷</t>
        </is>
      </c>
      <c r="C7" s="9" t="n"/>
      <c r="D7" s="9" t="n"/>
      <c r="E7" s="9" t="n"/>
      <c r="F7" s="9" t="n"/>
      <c r="G7" s="9" t="n"/>
      <c r="H7" s="9" t="n"/>
    </row>
    <row r="8" ht="22" customHeight="1">
      <c r="A8" s="9" t="inlineStr">
        <is>
          <t>RJS</t>
        </is>
      </c>
      <c r="B8" s="9" t="inlineStr">
        <is>
          <t>CROWN042269449/0551078621</t>
        </is>
      </c>
      <c r="C8" s="9" t="n"/>
      <c r="D8" s="9" t="n"/>
      <c r="E8" s="9" t="n"/>
      <c r="F8" s="9" t="n"/>
      <c r="G8" s="9" t="n"/>
      <c r="H8" s="9" t="n"/>
    </row>
    <row r="9" ht="22" customHeight="1">
      <c r="A9" s="9" t="inlineStr">
        <is>
          <t>VICKY</t>
        </is>
      </c>
      <c r="B9" s="9" t="n"/>
      <c r="C9" s="9" t="n"/>
      <c r="D9" s="9" t="n"/>
      <c r="E9" s="9" t="inlineStr">
        <is>
          <t>Sanaa ElAjjouri</t>
        </is>
      </c>
      <c r="F9" s="9" t="inlineStr">
        <is>
          <t>00971508867417</t>
        </is>
      </c>
      <c r="G9" s="9" t="inlineStr">
        <is>
          <t>Umm alquwain Al salamah3</t>
        </is>
      </c>
      <c r="H9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2" customHeight="1">
      <c r="A1" s="12" t="inlineStr">
        <is>
          <t>渠道</t>
        </is>
      </c>
      <c r="B1" s="12" t="inlineStr">
        <is>
          <t>客户单位</t>
        </is>
      </c>
      <c r="C1" s="12" t="inlineStr">
        <is>
          <t>货物唛头</t>
        </is>
      </c>
      <c r="D1" s="12" t="inlineStr">
        <is>
          <t>始发地</t>
        </is>
      </c>
      <c r="E1" s="12" t="inlineStr">
        <is>
          <t>目的地</t>
        </is>
      </c>
      <c r="F1" s="12" t="inlineStr">
        <is>
          <t>结算方式</t>
        </is>
      </c>
      <c r="G1" s="12" t="inlineStr">
        <is>
          <t>货物状态</t>
        </is>
      </c>
      <c r="H1" s="12" t="inlineStr">
        <is>
          <t>运输方式</t>
        </is>
      </c>
      <c r="I1" s="12" t="inlineStr">
        <is>
          <t>付款状态</t>
        </is>
      </c>
      <c r="J1" s="12" t="inlineStr">
        <is>
          <t>成本结算状态</t>
        </is>
      </c>
      <c r="K1" s="12" t="inlineStr">
        <is>
          <t>币种</t>
        </is>
      </c>
      <c r="L1" s="12" t="inlineStr">
        <is>
          <t>业务类型</t>
        </is>
      </c>
      <c r="M1" s="12" t="inlineStr">
        <is>
          <t>核销方式</t>
        </is>
      </c>
    </row>
    <row r="2" ht="22" customHeight="1">
      <c r="A2" t="inlineStr">
        <is>
          <t>天龙</t>
        </is>
      </c>
      <c r="B2" t="inlineStr">
        <is>
          <t>WHD</t>
        </is>
      </c>
      <c r="C2" t="inlineStr">
        <is>
          <t>WHD</t>
        </is>
      </c>
      <c r="D2" t="inlineStr">
        <is>
          <t>广州GZ</t>
        </is>
      </c>
      <c r="E2" t="inlineStr">
        <is>
          <t>迪拜DXB</t>
        </is>
      </c>
      <c r="F2" t="inlineStr">
        <is>
          <t>到付票结DDP</t>
        </is>
      </c>
      <c r="G2" t="inlineStr">
        <is>
          <t>新货入仓</t>
        </is>
      </c>
      <c r="H2" t="inlineStr">
        <is>
          <t>空运双清AIR</t>
        </is>
      </c>
      <c r="I2" t="inlineStr">
        <is>
          <t>未付款N/P</t>
        </is>
      </c>
      <c r="J2" t="inlineStr">
        <is>
          <t>未结算N/P</t>
        </is>
      </c>
      <c r="K2" t="inlineStr">
        <is>
          <t>RMB</t>
        </is>
      </c>
      <c r="L2" t="inlineStr">
        <is>
          <t>收货</t>
        </is>
      </c>
      <c r="M2" t="inlineStr">
        <is>
          <t>按运单核销</t>
        </is>
      </c>
    </row>
    <row r="3" ht="22" customHeight="1">
      <c r="A3" t="inlineStr">
        <is>
          <t>迅捷</t>
        </is>
      </c>
      <c r="B3" t="inlineStr">
        <is>
          <t>CYJ</t>
        </is>
      </c>
      <c r="C3" t="inlineStr">
        <is>
          <t>CYJ</t>
        </is>
      </c>
      <c r="D3" t="inlineStr">
        <is>
          <t>深圳SZ</t>
        </is>
      </c>
      <c r="E3" t="inlineStr">
        <is>
          <t>利雅得RUH</t>
        </is>
      </c>
      <c r="F3" t="inlineStr">
        <is>
          <t>到付周结DWP</t>
        </is>
      </c>
      <c r="G3" t="inlineStr">
        <is>
          <t>转运中</t>
        </is>
      </c>
      <c r="H3" t="inlineStr">
        <is>
          <t>普通空运AIR</t>
        </is>
      </c>
      <c r="I3" t="inlineStr">
        <is>
          <t>部分核销</t>
        </is>
      </c>
      <c r="J3" t="inlineStr">
        <is>
          <t>已结算PAID</t>
        </is>
      </c>
      <c r="K3" t="inlineStr">
        <is>
          <t>AED</t>
        </is>
      </c>
      <c r="L3" t="inlineStr">
        <is>
          <t>出货</t>
        </is>
      </c>
      <c r="M3" t="inlineStr">
        <is>
          <t>按客户预收/批量核销</t>
        </is>
      </c>
    </row>
    <row r="4" ht="22" customHeight="1">
      <c r="A4" t="inlineStr">
        <is>
          <t>三梅</t>
        </is>
      </c>
      <c r="B4" t="inlineStr">
        <is>
          <t>SEZAR</t>
        </is>
      </c>
      <c r="C4" t="inlineStr">
        <is>
          <t>SEZAR</t>
        </is>
      </c>
      <c r="D4" t="inlineStr">
        <is>
          <t>义乌YW</t>
        </is>
      </c>
      <c r="E4" t="inlineStr">
        <is>
          <t>吉达JED</t>
        </is>
      </c>
      <c r="F4" t="inlineStr">
        <is>
          <t>到付月结DMP</t>
        </is>
      </c>
      <c r="G4" t="inlineStr">
        <is>
          <t>到达目的地</t>
        </is>
      </c>
      <c r="H4" t="inlineStr">
        <is>
          <t>海运双清SEA</t>
        </is>
      </c>
      <c r="I4" t="inlineStr">
        <is>
          <t>已付款PAID</t>
        </is>
      </c>
      <c r="J4" t="inlineStr">
        <is>
          <t>部分结算</t>
        </is>
      </c>
      <c r="K4" t="inlineStr">
        <is>
          <t>USD</t>
        </is>
      </c>
      <c r="L4" t="inlineStr">
        <is>
          <t>退件</t>
        </is>
      </c>
      <c r="M4" t="inlineStr">
        <is>
          <t>退款/冲销</t>
        </is>
      </c>
    </row>
    <row r="5" ht="22" customHeight="1">
      <c r="A5" t="inlineStr">
        <is>
          <t>方显</t>
        </is>
      </c>
      <c r="B5" t="inlineStr">
        <is>
          <t>HASAN</t>
        </is>
      </c>
      <c r="C5" t="inlineStr">
        <is>
          <t>HASAN1230</t>
        </is>
      </c>
      <c r="D5" t="inlineStr">
        <is>
          <t>香港HK</t>
        </is>
      </c>
      <c r="E5" t="inlineStr">
        <is>
          <t>阿联酋ARE</t>
        </is>
      </c>
      <c r="F5" t="inlineStr">
        <is>
          <t>预付票结PP</t>
        </is>
      </c>
      <c r="G5" t="inlineStr">
        <is>
          <t>待清关</t>
        </is>
      </c>
      <c r="H5" t="inlineStr">
        <is>
          <t>空空联运AIRAIR</t>
        </is>
      </c>
      <c r="I5" t="inlineStr">
        <is>
          <t>坏账/无需收款</t>
        </is>
      </c>
      <c r="J5" t="inlineStr">
        <is>
          <t>无需结算</t>
        </is>
      </c>
      <c r="K5" t="inlineStr">
        <is>
          <t>SAR</t>
        </is>
      </c>
      <c r="L5" t="inlineStr">
        <is>
          <t>费用调整</t>
        </is>
      </c>
      <c r="M5" t="inlineStr">
        <is>
          <t>其他</t>
        </is>
      </c>
    </row>
    <row r="6" ht="22" customHeight="1">
      <c r="A6" t="inlineStr">
        <is>
          <t>三羊</t>
        </is>
      </c>
      <c r="B6" t="inlineStr">
        <is>
          <t>YF一帆</t>
        </is>
      </c>
      <c r="C6" t="inlineStr">
        <is>
          <t>SF-N2</t>
        </is>
      </c>
      <c r="D6" t="inlineStr">
        <is>
          <t>东莞DG</t>
        </is>
      </c>
      <c r="E6" t="inlineStr">
        <is>
          <t>沙特KSA</t>
        </is>
      </c>
      <c r="F6" t="inlineStr">
        <is>
          <t>预付周结PW</t>
        </is>
      </c>
      <c r="G6" t="inlineStr">
        <is>
          <t>派送中</t>
        </is>
      </c>
      <c r="H6" t="inlineStr">
        <is>
          <t>海空联运SEAAIR</t>
        </is>
      </c>
    </row>
    <row r="7" ht="22" customHeight="1">
      <c r="A7" t="inlineStr">
        <is>
          <t>一腾</t>
        </is>
      </c>
      <c r="B7" t="inlineStr">
        <is>
          <t>SF-SARFARAZ</t>
        </is>
      </c>
      <c r="C7" t="inlineStr">
        <is>
          <t>SFF</t>
        </is>
      </c>
      <c r="D7" t="inlineStr">
        <is>
          <t>中国CN</t>
        </is>
      </c>
      <c r="E7" t="inlineStr">
        <is>
          <t>伊拉克EBL</t>
        </is>
      </c>
      <c r="F7" t="inlineStr">
        <is>
          <t>预付月结PM</t>
        </is>
      </c>
      <c r="G7" t="inlineStr">
        <is>
          <t>完成派送</t>
        </is>
      </c>
      <c r="H7" t="inlineStr">
        <is>
          <t>电商海派AE</t>
        </is>
      </c>
    </row>
    <row r="8" ht="22" customHeight="1">
      <c r="A8" t="inlineStr">
        <is>
          <t>众米纳</t>
        </is>
      </c>
      <c r="B8" t="inlineStr">
        <is>
          <t>MOHAMMAD K</t>
        </is>
      </c>
      <c r="C8" t="inlineStr">
        <is>
          <t>CYJF</t>
        </is>
      </c>
      <c r="D8" t="inlineStr">
        <is>
          <t>迪拜DXB</t>
        </is>
      </c>
      <c r="E8" t="inlineStr">
        <is>
          <t>基加利KGL</t>
        </is>
      </c>
      <c r="G8" t="inlineStr">
        <is>
          <t>今天航班</t>
        </is>
      </c>
      <c r="H8" t="inlineStr">
        <is>
          <t>电商海派KSA</t>
        </is>
      </c>
    </row>
    <row r="9" ht="22" customHeight="1">
      <c r="A9" t="inlineStr">
        <is>
          <t>赛时</t>
        </is>
      </c>
      <c r="B9" t="inlineStr">
        <is>
          <t>lzy李先生</t>
        </is>
      </c>
      <c r="C9" t="inlineStr">
        <is>
          <t>AL-MOHA</t>
        </is>
      </c>
      <c r="E9" t="inlineStr">
        <is>
          <t>阿曼OMN</t>
        </is>
      </c>
      <c r="G9" t="inlineStr">
        <is>
          <t>明天航班</t>
        </is>
      </c>
      <c r="H9" t="inlineStr">
        <is>
          <t>电商空派AE</t>
        </is>
      </c>
    </row>
    <row r="10" ht="22" customHeight="1">
      <c r="A10" t="inlineStr">
        <is>
          <t>黄腾DHL</t>
        </is>
      </c>
      <c r="B10" t="inlineStr">
        <is>
          <t>FAIZ</t>
        </is>
      </c>
      <c r="C10" t="inlineStr">
        <is>
          <t>lzy李先生</t>
        </is>
      </c>
      <c r="E10" t="inlineStr">
        <is>
          <t>广州CAN</t>
        </is>
      </c>
      <c r="G10" t="inlineStr">
        <is>
          <t>航班待更新</t>
        </is>
      </c>
      <c r="H10" t="inlineStr">
        <is>
          <t>电商空派KSA</t>
        </is>
      </c>
    </row>
    <row r="11" ht="22" customHeight="1">
      <c r="A11" t="inlineStr">
        <is>
          <t>阳光货运</t>
        </is>
      </c>
      <c r="B11" t="inlineStr">
        <is>
          <t>MVW</t>
        </is>
      </c>
      <c r="C11" t="inlineStr">
        <is>
          <t>FAIZ</t>
        </is>
      </c>
      <c r="E11" t="inlineStr">
        <is>
          <t>深圳SZX</t>
        </is>
      </c>
      <c r="G11" t="inlineStr">
        <is>
          <t>NEW SHIPMENT</t>
        </is>
      </c>
      <c r="H11" t="inlineStr">
        <is>
          <t>DHL快递</t>
        </is>
      </c>
    </row>
    <row r="12" ht="22" customHeight="1">
      <c r="A12" t="inlineStr">
        <is>
          <t>极航</t>
        </is>
      </c>
      <c r="B12" t="inlineStr">
        <is>
          <t>树客国际SK</t>
        </is>
      </c>
      <c r="C12" t="inlineStr">
        <is>
          <t>MVW</t>
        </is>
      </c>
      <c r="G12" t="inlineStr">
        <is>
          <t>IN TRANSIT</t>
        </is>
      </c>
      <c r="H12" t="inlineStr">
        <is>
          <t>沙特自提</t>
        </is>
      </c>
    </row>
    <row r="13" ht="22" customHeight="1">
      <c r="A13" t="inlineStr">
        <is>
          <t>易通天下</t>
        </is>
      </c>
      <c r="B13" t="inlineStr">
        <is>
          <t>ZNY</t>
        </is>
      </c>
      <c r="C13" t="inlineStr">
        <is>
          <t>SK072</t>
        </is>
      </c>
      <c r="G13" t="inlineStr">
        <is>
          <t>ARRIVAL</t>
        </is>
      </c>
    </row>
    <row r="14" ht="22" customHeight="1">
      <c r="A14" t="inlineStr">
        <is>
          <t>义特</t>
        </is>
      </c>
      <c r="B14" t="inlineStr">
        <is>
          <t>ana赵娜</t>
        </is>
      </c>
      <c r="C14" t="inlineStr">
        <is>
          <t>SK073</t>
        </is>
      </c>
      <c r="G14" t="inlineStr">
        <is>
          <t>WAIT FOR CLEARANCE</t>
        </is>
      </c>
    </row>
    <row r="15" ht="22" customHeight="1">
      <c r="A15" t="inlineStr">
        <is>
          <t>海秦HQ</t>
        </is>
      </c>
      <c r="B15" t="inlineStr">
        <is>
          <t>jack116</t>
        </is>
      </c>
      <c r="C15" t="inlineStr">
        <is>
          <t>0130663-LZY-B</t>
        </is>
      </c>
      <c r="G15" t="inlineStr">
        <is>
          <t>OUT FOR DELIVERY</t>
        </is>
      </c>
    </row>
    <row r="16" ht="22" customHeight="1">
      <c r="A16" t="inlineStr">
        <is>
          <t>UNIVERSAL FREIGHT</t>
        </is>
      </c>
      <c r="B16" t="inlineStr">
        <is>
          <t>ASA-KHALID</t>
        </is>
      </c>
      <c r="C16" t="inlineStr">
        <is>
          <t>SDGYL-MZONE 
单独报关</t>
        </is>
      </c>
      <c r="G16" t="inlineStr">
        <is>
          <t>DELIVERY COMPLETED</t>
        </is>
      </c>
    </row>
    <row r="17" ht="22" customHeight="1">
      <c r="B17" t="inlineStr">
        <is>
          <t>SS</t>
        </is>
      </c>
      <c r="C17" t="inlineStr">
        <is>
          <t>0130668ANAF</t>
        </is>
      </c>
      <c r="G17" t="inlineStr">
        <is>
          <t>TODAY FLIGHT</t>
        </is>
      </c>
    </row>
    <row r="18" ht="22" customHeight="1">
      <c r="B18" t="inlineStr">
        <is>
          <t>JACK116</t>
        </is>
      </c>
      <c r="C18" t="inlineStr">
        <is>
          <t>0130666JACK116</t>
        </is>
      </c>
      <c r="G18" t="inlineStr">
        <is>
          <t>TOMORROW FLIGHT</t>
        </is>
      </c>
    </row>
    <row r="19" ht="22" customHeight="1">
      <c r="B19" t="inlineStr">
        <is>
          <t>EMIL</t>
        </is>
      </c>
      <c r="C19" t="inlineStr">
        <is>
          <t>0130667ANA</t>
        </is>
      </c>
      <c r="G19" t="inlineStr">
        <is>
          <t>WAIT FOR FLIGHT UPDATE</t>
        </is>
      </c>
    </row>
    <row r="20" ht="22" customHeight="1">
      <c r="B20" t="inlineStr">
        <is>
          <t>REZO-OPPO</t>
        </is>
      </c>
      <c r="C20" t="inlineStr">
        <is>
          <t>0130669CYJK</t>
        </is>
      </c>
      <c r="G20" t="inlineStr">
        <is>
          <t>今天派送</t>
        </is>
      </c>
    </row>
    <row r="21" ht="22" customHeight="1">
      <c r="B21" t="inlineStr">
        <is>
          <t>众米纳国际科技</t>
        </is>
      </c>
      <c r="C21" t="inlineStr">
        <is>
          <t>0130665CYJF</t>
        </is>
      </c>
    </row>
    <row r="22" ht="22" customHeight="1">
      <c r="B22" t="inlineStr">
        <is>
          <t>袁江江</t>
        </is>
      </c>
      <c r="C22" t="inlineStr">
        <is>
          <t>0130682-LZY-A</t>
        </is>
      </c>
    </row>
    <row r="23" ht="22" customHeight="1">
      <c r="B23" t="inlineStr">
        <is>
          <t>义乌博越</t>
        </is>
      </c>
      <c r="C23" t="inlineStr">
        <is>
          <t>0130722-CYJ</t>
        </is>
      </c>
    </row>
    <row r="24" ht="22" customHeight="1">
      <c r="B24" t="inlineStr">
        <is>
          <t>SAWSAN</t>
        </is>
      </c>
      <c r="C24" t="inlineStr">
        <is>
          <t>SDGYL-251229BY-LYZ/LZY0688</t>
        </is>
      </c>
    </row>
    <row r="25" ht="22" customHeight="1">
      <c r="B25" t="inlineStr">
        <is>
          <t>BIGSKY</t>
        </is>
      </c>
      <c r="C25" t="inlineStr">
        <is>
          <t>SDGYL-YF</t>
        </is>
      </c>
    </row>
    <row r="26" ht="22" customHeight="1">
      <c r="B26" t="inlineStr">
        <is>
          <t>QA</t>
        </is>
      </c>
      <c r="C26" t="inlineStr">
        <is>
          <t>SDGYL-251229BY-LZY/0694 牌</t>
        </is>
      </c>
    </row>
    <row r="27" ht="22" customHeight="1">
      <c r="B27" t="inlineStr">
        <is>
          <t>何志荣kgl</t>
        </is>
      </c>
      <c r="C27" t="inlineStr">
        <is>
          <t>111775/MVW</t>
        </is>
      </c>
    </row>
    <row r="28" ht="22" customHeight="1">
      <c r="B28" t="inlineStr">
        <is>
          <t>夏天</t>
        </is>
      </c>
      <c r="C28" t="inlineStr">
        <is>
          <t>0130670ASA</t>
        </is>
      </c>
    </row>
    <row r="29" ht="22" customHeight="1">
      <c r="B29" t="inlineStr">
        <is>
          <t>海思托普hstp</t>
        </is>
      </c>
      <c r="C29" t="inlineStr">
        <is>
          <t>0130680-SS</t>
        </is>
      </c>
    </row>
    <row r="30" ht="22" customHeight="1">
      <c r="B30" t="inlineStr">
        <is>
          <t>海秦HQ</t>
        </is>
      </c>
      <c r="C30" t="inlineStr">
        <is>
          <t>JACK116</t>
        </is>
      </c>
    </row>
    <row r="31" ht="22" customHeight="1">
      <c r="B31" t="inlineStr">
        <is>
          <t>郑总-郑旭生</t>
        </is>
      </c>
      <c r="C31" t="inlineStr">
        <is>
          <t>0130761/CYJ</t>
        </is>
      </c>
    </row>
    <row r="32" ht="22" customHeight="1">
      <c r="B32" t="inlineStr">
        <is>
          <t>王智超wzc</t>
        </is>
      </c>
      <c r="C32" t="inlineStr">
        <is>
          <t>0130764/CYJ</t>
        </is>
      </c>
    </row>
    <row r="33" ht="22" customHeight="1">
      <c r="B33" t="inlineStr">
        <is>
          <t>英格玛第</t>
        </is>
      </c>
      <c r="C33" t="inlineStr">
        <is>
          <t>0130766/CYJF</t>
        </is>
      </c>
    </row>
    <row r="34" ht="22" customHeight="1">
      <c r="B34" t="inlineStr">
        <is>
          <t>XT-夏天vicky</t>
        </is>
      </c>
      <c r="C34" t="inlineStr">
        <is>
          <t>XCXC/WHD-001</t>
        </is>
      </c>
    </row>
    <row r="35" ht="22" customHeight="1">
      <c r="B35" t="inlineStr">
        <is>
          <t>WHF</t>
        </is>
      </c>
      <c r="C35" t="inlineStr">
        <is>
          <t>0130760/SS</t>
        </is>
      </c>
    </row>
    <row r="36" ht="22" customHeight="1">
      <c r="B36" t="inlineStr">
        <is>
          <t>义乌喻总101</t>
        </is>
      </c>
      <c r="C36" t="inlineStr">
        <is>
          <t>0130756/SS</t>
        </is>
      </c>
    </row>
    <row r="37" ht="22" customHeight="1">
      <c r="B37" t="inlineStr">
        <is>
          <t>WD吴总-批发大楼</t>
        </is>
      </c>
      <c r="C37" t="inlineStr">
        <is>
          <t>0130765/EMIL</t>
        </is>
      </c>
    </row>
    <row r="38" ht="22" customHeight="1">
      <c r="B38" t="inlineStr">
        <is>
          <t>义乌携优ZOE</t>
        </is>
      </c>
      <c r="C38" t="inlineStr">
        <is>
          <t>D3PS</t>
        </is>
      </c>
    </row>
    <row r="39" ht="22" customHeight="1">
      <c r="B39" t="inlineStr">
        <is>
          <t>宸曜中东</t>
        </is>
      </c>
      <c r="C39" t="inlineStr">
        <is>
          <t>SDGYL-SF</t>
        </is>
      </c>
    </row>
    <row r="40" ht="22" customHeight="1">
      <c r="B40" t="inlineStr">
        <is>
          <t>周英ZY</t>
        </is>
      </c>
      <c r="C40" t="inlineStr">
        <is>
          <t>REZO-OPPO</t>
        </is>
      </c>
    </row>
    <row r="41" ht="22" customHeight="1">
      <c r="B41" t="inlineStr">
        <is>
          <t>SH333</t>
        </is>
      </c>
      <c r="C41" t="inlineStr">
        <is>
          <t>0130831CYJF</t>
        </is>
      </c>
    </row>
    <row r="42" ht="22" customHeight="1">
      <c r="B42" t="inlineStr">
        <is>
          <t>Sheldon</t>
        </is>
      </c>
      <c r="C42" t="inlineStr">
        <is>
          <t>0130811SFF</t>
        </is>
      </c>
    </row>
    <row r="43" ht="22" customHeight="1">
      <c r="B43" t="inlineStr">
        <is>
          <t>广东豪锁智能科技有限公司</t>
        </is>
      </c>
      <c r="C43" t="inlineStr">
        <is>
          <t>0130798CYJ</t>
        </is>
      </c>
    </row>
    <row r="44" ht="22" customHeight="1">
      <c r="B44" t="inlineStr">
        <is>
          <t>MC</t>
        </is>
      </c>
      <c r="C44" t="inlineStr">
        <is>
          <t>0130815CYJ</t>
        </is>
      </c>
    </row>
    <row r="45" ht="22" customHeight="1">
      <c r="B45" t="inlineStr">
        <is>
          <t>GFT</t>
        </is>
      </c>
      <c r="C45" t="inlineStr">
        <is>
          <t>0130814-SS</t>
        </is>
      </c>
    </row>
    <row r="46" ht="22" customHeight="1">
      <c r="B46" t="inlineStr">
        <is>
          <t>家兴贸易JX</t>
        </is>
      </c>
      <c r="C46" t="inlineStr">
        <is>
          <t>0130808-SS</t>
        </is>
      </c>
    </row>
    <row r="47" ht="22" customHeight="1">
      <c r="B47" t="inlineStr">
        <is>
          <t>房勇FANG</t>
        </is>
      </c>
      <c r="C47" t="inlineStr">
        <is>
          <t>0130809-CYJ</t>
        </is>
      </c>
    </row>
    <row r="48" ht="22" customHeight="1">
      <c r="B48" t="inlineStr">
        <is>
          <t>AHAMED-obaid</t>
        </is>
      </c>
      <c r="C48" t="inlineStr">
        <is>
          <t>0130813-SS</t>
        </is>
      </c>
    </row>
    <row r="49" ht="22" customHeight="1">
      <c r="B49" t="inlineStr">
        <is>
          <t>HESSA</t>
        </is>
      </c>
      <c r="C49" t="inlineStr">
        <is>
          <t>SDGYL-CYJ</t>
        </is>
      </c>
    </row>
    <row r="50" ht="22" customHeight="1">
      <c r="B50" t="inlineStr">
        <is>
          <t>攀升国际PS</t>
        </is>
      </c>
      <c r="C50" t="inlineStr">
        <is>
          <t>0130818-LZY</t>
        </is>
      </c>
    </row>
    <row r="51" ht="22" customHeight="1">
      <c r="B51" t="inlineStr">
        <is>
          <t>AMEEN</t>
        </is>
      </c>
      <c r="C51" t="inlineStr">
        <is>
          <t>0130817BY-LZY</t>
        </is>
      </c>
    </row>
    <row r="52" ht="22" customHeight="1">
      <c r="B52" t="inlineStr">
        <is>
          <t>FOCO-FUTURE OPTICS</t>
        </is>
      </c>
      <c r="C52" t="inlineStr">
        <is>
          <t>251229BY-PZ</t>
        </is>
      </c>
    </row>
    <row r="53" ht="22" customHeight="1">
      <c r="B53" t="inlineStr">
        <is>
          <t>AURISTON CO</t>
        </is>
      </c>
      <c r="C53" t="inlineStr">
        <is>
          <t>0130797CYJ</t>
        </is>
      </c>
    </row>
    <row r="54" ht="22" customHeight="1">
      <c r="B54" t="inlineStr">
        <is>
          <t>Akeel</t>
        </is>
      </c>
      <c r="C54" t="inlineStr">
        <is>
          <t>0130821-MZONE</t>
        </is>
      </c>
    </row>
    <row r="55" ht="22" customHeight="1">
      <c r="B55" t="inlineStr">
        <is>
          <t>婚纱Teresa</t>
        </is>
      </c>
      <c r="C55" t="inlineStr">
        <is>
          <t>SDGYL-250822BY-SF</t>
        </is>
      </c>
    </row>
    <row r="56" ht="22" customHeight="1">
      <c r="B56" t="inlineStr">
        <is>
          <t>吴江和茂</t>
        </is>
      </c>
      <c r="C56" t="inlineStr">
        <is>
          <t>SDGYL-250822BY-SFF</t>
        </is>
      </c>
    </row>
    <row r="57" ht="22" customHeight="1">
      <c r="B57" t="inlineStr">
        <is>
          <t>OPPO郭玉婷</t>
        </is>
      </c>
      <c r="C57" t="inlineStr">
        <is>
          <t>SF5105415702326</t>
        </is>
      </c>
    </row>
    <row r="58" ht="22" customHeight="1">
      <c r="B58" t="inlineStr">
        <is>
          <t>王国坚WGJ</t>
        </is>
      </c>
      <c r="C58" t="inlineStr">
        <is>
          <t>XCXC-EBL</t>
        </is>
      </c>
    </row>
    <row r="59" ht="22" customHeight="1">
      <c r="B59" t="inlineStr">
        <is>
          <t>SURFACE</t>
        </is>
      </c>
      <c r="C59" t="inlineStr">
        <is>
          <t>GZ-SHUNDA-BY08</t>
        </is>
      </c>
    </row>
    <row r="60" ht="22" customHeight="1">
      <c r="B60" t="inlineStr">
        <is>
          <t>MMRR/WJG</t>
        </is>
      </c>
      <c r="C60" t="inlineStr">
        <is>
          <t>GZ-SHUNDA-BY03</t>
        </is>
      </c>
    </row>
    <row r="61" ht="22" customHeight="1">
      <c r="B61" t="inlineStr">
        <is>
          <t>FAY</t>
        </is>
      </c>
      <c r="C61" t="inlineStr">
        <is>
          <t>SDGYL-251025BY-CYJ</t>
        </is>
      </c>
    </row>
    <row r="62" ht="22" customHeight="1">
      <c r="B62" t="inlineStr">
        <is>
          <t>momo唛头</t>
        </is>
      </c>
      <c r="C62" t="inlineStr">
        <is>
          <t>0120920/SS</t>
        </is>
      </c>
    </row>
    <row r="63" ht="22" customHeight="1">
      <c r="B63" t="inlineStr">
        <is>
          <t>麦鹰DL</t>
        </is>
      </c>
      <c r="C63" t="inlineStr">
        <is>
          <t>0120913/SF</t>
        </is>
      </c>
    </row>
    <row r="64" ht="22" customHeight="1">
      <c r="B64" t="inlineStr">
        <is>
          <t>力信科技LX</t>
        </is>
      </c>
      <c r="C64" t="inlineStr">
        <is>
          <t>0120922/SFF</t>
        </is>
      </c>
    </row>
    <row r="65" ht="22" customHeight="1">
      <c r="B65" t="inlineStr">
        <is>
          <t>芮金省RJS</t>
        </is>
      </c>
      <c r="C65" t="inlineStr">
        <is>
          <t>SDGYL-250720BY-YF</t>
        </is>
      </c>
    </row>
    <row r="66" ht="22" customHeight="1">
      <c r="B66" t="inlineStr">
        <is>
          <t>ALI(燕子介绍)</t>
        </is>
      </c>
      <c r="C66" t="inlineStr">
        <is>
          <t>XCXC-SAWSAN</t>
        </is>
      </c>
    </row>
    <row r="67" ht="22" customHeight="1">
      <c r="B67" t="inlineStr">
        <is>
          <t>MCT
Abdullah Jawid</t>
        </is>
      </c>
      <c r="C67" t="inlineStr">
        <is>
          <t>111837-AMA</t>
        </is>
      </c>
    </row>
    <row r="68" ht="22" customHeight="1">
      <c r="B68" t="inlineStr">
        <is>
          <t>IRFAN-Gtouch</t>
        </is>
      </c>
      <c r="C68" t="inlineStr">
        <is>
          <t>111836-SKR</t>
        </is>
      </c>
    </row>
    <row r="69" ht="22" customHeight="1">
      <c r="B69" t="inlineStr">
        <is>
          <t>JACK</t>
        </is>
      </c>
      <c r="C69" t="inlineStr">
        <is>
          <t>0120921/WHD</t>
        </is>
      </c>
    </row>
    <row r="70" ht="22" customHeight="1">
      <c r="B70" t="inlineStr">
        <is>
          <t>夏天vicky</t>
        </is>
      </c>
      <c r="C70" t="inlineStr">
        <is>
          <t>0120960-SF</t>
        </is>
      </c>
    </row>
    <row r="71" ht="22" customHeight="1">
      <c r="B71" t="inlineStr">
        <is>
          <t>义乌仟禧科技QX</t>
        </is>
      </c>
      <c r="C71" t="inlineStr">
        <is>
          <t>0120967-SF</t>
        </is>
      </c>
    </row>
    <row r="72" ht="22" customHeight="1">
      <c r="B72" t="inlineStr">
        <is>
          <t>MAQ-ALI</t>
        </is>
      </c>
      <c r="C72" t="inlineStr">
        <is>
          <t>0120980/ASA</t>
        </is>
      </c>
    </row>
    <row r="73" ht="22" customHeight="1">
      <c r="B73" t="inlineStr">
        <is>
          <t>Zabihullah</t>
        </is>
      </c>
      <c r="C73" t="inlineStr">
        <is>
          <t>0120979/CYJ</t>
        </is>
      </c>
    </row>
    <row r="74" ht="22" customHeight="1">
      <c r="B74" t="inlineStr">
        <is>
          <t>极航物流-SUMMIT CARGO</t>
        </is>
      </c>
      <c r="C74" t="inlineStr">
        <is>
          <t>0120978/ASA</t>
        </is>
      </c>
    </row>
    <row r="75" ht="22" customHeight="1">
      <c r="B75" t="inlineStr">
        <is>
          <t>吴益军-WYJ</t>
        </is>
      </c>
      <c r="C75" t="inlineStr">
        <is>
          <t>120981/QA</t>
        </is>
      </c>
    </row>
    <row r="76" ht="22" customHeight="1">
      <c r="B76" t="inlineStr">
        <is>
          <t>义乌COCO</t>
        </is>
      </c>
      <c r="C76" t="inlineStr">
        <is>
          <t>0120959/LZY</t>
        </is>
      </c>
    </row>
    <row r="77" ht="22" customHeight="1">
      <c r="B77" t="inlineStr">
        <is>
          <t>BILAL JAFAR</t>
        </is>
      </c>
      <c r="C77" t="inlineStr">
        <is>
          <t>111847-MVW</t>
        </is>
      </c>
    </row>
    <row r="78" ht="22" customHeight="1">
      <c r="B78" t="inlineStr">
        <is>
          <t>RXT瑞西特</t>
        </is>
      </c>
      <c r="C78" t="inlineStr">
        <is>
          <t>0120977/LZY</t>
        </is>
      </c>
    </row>
    <row r="79" ht="22" customHeight="1">
      <c r="B79" t="inlineStr">
        <is>
          <t>MARY/DAWANG ROSE</t>
        </is>
      </c>
      <c r="C79" t="inlineStr">
        <is>
          <t>何志荣kgl</t>
        </is>
      </c>
    </row>
    <row r="80" ht="22" customHeight="1">
      <c r="B80" t="inlineStr">
        <is>
          <t>阿福达AFD</t>
        </is>
      </c>
      <c r="C80" t="inlineStr">
        <is>
          <t>7R-A568-SA</t>
        </is>
      </c>
    </row>
    <row r="81" ht="22" customHeight="1">
      <c r="B81" t="inlineStr">
        <is>
          <t>AFHLACE</t>
        </is>
      </c>
      <c r="C81" t="inlineStr">
        <is>
          <t>HSTP
FBA15L98M01P</t>
        </is>
      </c>
    </row>
    <row r="82" ht="22" customHeight="1">
      <c r="B82" t="inlineStr">
        <is>
          <t>BAKA</t>
        </is>
      </c>
      <c r="C82" t="inlineStr">
        <is>
          <t>0120993CYJF</t>
        </is>
      </c>
    </row>
    <row r="83" ht="22" customHeight="1">
      <c r="B83" t="inlineStr">
        <is>
          <t>AMANDA中转</t>
        </is>
      </c>
      <c r="C83" t="inlineStr">
        <is>
          <t>0120998YF</t>
        </is>
      </c>
    </row>
    <row r="84" ht="22" customHeight="1">
      <c r="B84" t="inlineStr">
        <is>
          <t>SMK-Akber</t>
        </is>
      </c>
      <c r="C84" t="inlineStr">
        <is>
          <t>MZONE 0015527</t>
        </is>
      </c>
    </row>
    <row r="85" ht="22" customHeight="1">
      <c r="B85" t="inlineStr">
        <is>
          <t>新创SYNTRANX-GZ</t>
        </is>
      </c>
      <c r="C85" t="n">
        <v>111870</v>
      </c>
    </row>
    <row r="86" ht="22" customHeight="1">
      <c r="B86" t="inlineStr">
        <is>
          <t>Foo Maw Twan-OZH</t>
        </is>
      </c>
      <c r="C86" t="inlineStr">
        <is>
          <t>GZSDGYL-HQ-036</t>
        </is>
      </c>
    </row>
    <row r="87" ht="22" customHeight="1">
      <c r="B87" t="inlineStr">
        <is>
          <t>SerinLife-ALI</t>
        </is>
      </c>
      <c r="C87" t="inlineStr">
        <is>
          <t>GZSDGYL-HQ-037</t>
        </is>
      </c>
    </row>
    <row r="88" ht="22" customHeight="1">
      <c r="B88" t="inlineStr">
        <is>
          <t>SMART VILLAGE-TINA</t>
        </is>
      </c>
      <c r="C88" t="inlineStr">
        <is>
          <t>GZSDGYL-HQ-037-1</t>
        </is>
      </c>
    </row>
    <row r="89" ht="22" customHeight="1">
      <c r="B89" t="inlineStr">
        <is>
          <t>上海中外运</t>
        </is>
      </c>
      <c r="C89" t="inlineStr">
        <is>
          <t>DQ</t>
        </is>
      </c>
    </row>
    <row r="90" ht="22" customHeight="1">
      <c r="B90" t="inlineStr">
        <is>
          <t>JACK-WJ</t>
        </is>
      </c>
      <c r="C90" t="inlineStr">
        <is>
          <t>XCXC-YGMD002</t>
        </is>
      </c>
    </row>
    <row r="91" ht="22" customHeight="1">
      <c r="B91" t="inlineStr">
        <is>
          <t>洋洋YY</t>
        </is>
      </c>
      <c r="C91" t="inlineStr">
        <is>
          <t>XCXC-YGMD003</t>
        </is>
      </c>
    </row>
    <row r="92" ht="22" customHeight="1">
      <c r="B92" t="inlineStr">
        <is>
          <t>ZAYED</t>
        </is>
      </c>
      <c r="C92" t="inlineStr">
        <is>
          <t>沙特HEESAH</t>
        </is>
      </c>
    </row>
    <row r="93" ht="22" customHeight="1">
      <c r="B93" t="inlineStr">
        <is>
          <t>HY深圳瀚洋国际</t>
        </is>
      </c>
      <c r="C93" t="inlineStr">
        <is>
          <t>XCXC-YGMD004</t>
        </is>
      </c>
    </row>
    <row r="94" ht="22" customHeight="1">
      <c r="B94" t="inlineStr">
        <is>
          <t>ABENEZER</t>
        </is>
      </c>
      <c r="C94" t="inlineStr">
        <is>
          <t>众米纳</t>
        </is>
      </c>
    </row>
    <row r="95" ht="22" customHeight="1">
      <c r="B95" t="inlineStr">
        <is>
          <t>宝仕杰BSJ</t>
        </is>
      </c>
      <c r="C95" t="inlineStr">
        <is>
          <t>0120822-ASA</t>
        </is>
      </c>
    </row>
    <row r="96" ht="22" customHeight="1">
      <c r="B96" t="inlineStr">
        <is>
          <t>江门松铃</t>
        </is>
      </c>
      <c r="C96" t="inlineStr">
        <is>
          <t>0120821-ASAF</t>
        </is>
      </c>
    </row>
    <row r="97" ht="22" customHeight="1">
      <c r="B97" t="inlineStr">
        <is>
          <t>麦鹰</t>
        </is>
      </c>
      <c r="C97" t="inlineStr">
        <is>
          <t>0120820CYJF</t>
        </is>
      </c>
    </row>
    <row r="98" ht="22" customHeight="1">
      <c r="B98" t="inlineStr">
        <is>
          <t>托普利TPL</t>
        </is>
      </c>
      <c r="C98" t="inlineStr">
        <is>
          <t>0120815-MZONE</t>
        </is>
      </c>
    </row>
    <row r="99" ht="22" customHeight="1">
      <c r="B99" t="inlineStr">
        <is>
          <t>KINGPOWER</t>
        </is>
      </c>
      <c r="C99" t="inlineStr">
        <is>
          <t>0120830-SFF</t>
        </is>
      </c>
    </row>
    <row r="100" ht="22" customHeight="1">
      <c r="B100" t="inlineStr">
        <is>
          <t>大千贸易</t>
        </is>
      </c>
      <c r="C100" t="inlineStr">
        <is>
          <t>SEZAR 0015533</t>
        </is>
      </c>
    </row>
    <row r="101" ht="22" customHeight="1">
      <c r="B101" t="inlineStr">
        <is>
          <t>深圳众包</t>
        </is>
      </c>
      <c r="C101" t="inlineStr">
        <is>
          <t>MZONE 0015536</t>
        </is>
      </c>
    </row>
    <row r="102" ht="22" customHeight="1">
      <c r="B102" t="inlineStr">
        <is>
          <t>希赛贸易</t>
        </is>
      </c>
      <c r="C102" t="inlineStr">
        <is>
          <t>0120857/MZONE</t>
        </is>
      </c>
    </row>
    <row r="103" ht="22" customHeight="1">
      <c r="B103" t="inlineStr">
        <is>
          <t>程译CY</t>
        </is>
      </c>
      <c r="C103" t="inlineStr">
        <is>
          <t>SEZAR 0015539</t>
        </is>
      </c>
    </row>
    <row r="104" ht="22" customHeight="1">
      <c r="B104" t="inlineStr">
        <is>
          <t>阳光货运</t>
        </is>
      </c>
      <c r="C104" t="inlineStr">
        <is>
          <t>MZ0NE 0015538</t>
        </is>
      </c>
    </row>
    <row r="105" ht="22" customHeight="1">
      <c r="B105" t="inlineStr">
        <is>
          <t>海图货运ELVA</t>
        </is>
      </c>
      <c r="C105" t="inlineStr">
        <is>
          <t>MZONE 0015537</t>
        </is>
      </c>
    </row>
    <row r="106" ht="22" customHeight="1">
      <c r="B106" t="inlineStr">
        <is>
          <t>程云吉饰品</t>
        </is>
      </c>
      <c r="C106" t="inlineStr">
        <is>
          <t>SF</t>
        </is>
      </c>
    </row>
    <row r="107" ht="22" customHeight="1">
      <c r="B107" t="inlineStr">
        <is>
          <t>lyz饰品</t>
        </is>
      </c>
      <c r="C107" t="inlineStr">
        <is>
          <t>MZONE</t>
        </is>
      </c>
    </row>
    <row r="108" ht="22" customHeight="1">
      <c r="B108" t="inlineStr">
        <is>
          <t>bo唛头</t>
        </is>
      </c>
      <c r="C108" t="inlineStr">
        <is>
          <t>WHD-001</t>
        </is>
      </c>
    </row>
    <row r="109" ht="22" customHeight="1">
      <c r="B109" t="inlineStr">
        <is>
          <t>kmo叶总</t>
        </is>
      </c>
      <c r="C109" t="inlineStr">
        <is>
          <t>0120707/WHF</t>
        </is>
      </c>
    </row>
    <row r="110" ht="22" customHeight="1">
      <c r="B110" t="inlineStr">
        <is>
          <t>也门salah</t>
        </is>
      </c>
      <c r="C110" t="inlineStr">
        <is>
          <t>0120709/101</t>
        </is>
      </c>
    </row>
    <row r="111" ht="22" customHeight="1">
      <c r="B111" t="inlineStr">
        <is>
          <t>sa唛头</t>
        </is>
      </c>
      <c r="C111" t="inlineStr">
        <is>
          <t>0120704/WD</t>
        </is>
      </c>
    </row>
    <row r="112" ht="22" customHeight="1">
      <c r="B112" t="inlineStr">
        <is>
          <t>潍坊睿盟</t>
        </is>
      </c>
      <c r="C112" t="inlineStr">
        <is>
          <t>0120705/LZY</t>
        </is>
      </c>
    </row>
    <row r="113" ht="22" customHeight="1">
      <c r="B113" t="inlineStr">
        <is>
          <t>众易航国际物流</t>
        </is>
      </c>
      <c r="C113" t="inlineStr">
        <is>
          <t>0120774/LZY</t>
        </is>
      </c>
    </row>
    <row r="114" ht="22" customHeight="1">
      <c r="B114" t="inlineStr">
        <is>
          <t>远桥贸易carson</t>
        </is>
      </c>
      <c r="C114" t="inlineStr">
        <is>
          <t>0120706/JACK116</t>
        </is>
      </c>
    </row>
    <row r="115" ht="22" customHeight="1">
      <c r="B115" t="inlineStr">
        <is>
          <t>广州未沫科技wm</t>
        </is>
      </c>
      <c r="C115" t="inlineStr">
        <is>
          <t>0120708/ASA</t>
        </is>
      </c>
    </row>
    <row r="116" ht="22" customHeight="1">
      <c r="B116" t="inlineStr">
        <is>
          <t>dryden(抽屉客户)</t>
        </is>
      </c>
      <c r="C116" t="inlineStr">
        <is>
          <t>0120703/ANA</t>
        </is>
      </c>
    </row>
    <row r="117" ht="22" customHeight="1">
      <c r="B117" t="inlineStr">
        <is>
          <t>南通斯派尔船舶配件</t>
        </is>
      </c>
      <c r="C117" t="inlineStr">
        <is>
          <t>0120702/ANAF</t>
        </is>
      </c>
    </row>
    <row r="118" ht="22" customHeight="1">
      <c r="B118" t="inlineStr">
        <is>
          <t>mohammed_saleh</t>
        </is>
      </c>
      <c r="C118" t="inlineStr">
        <is>
          <t>0120768/MZONE</t>
        </is>
      </c>
    </row>
    <row r="119" ht="22" customHeight="1">
      <c r="B119" t="inlineStr">
        <is>
          <t>hz韩瑞</t>
        </is>
      </c>
      <c r="C119" t="inlineStr">
        <is>
          <t>0120763/SF</t>
        </is>
      </c>
    </row>
    <row r="120" ht="22" customHeight="1">
      <c r="B120" t="inlineStr">
        <is>
          <t>kemikle</t>
        </is>
      </c>
      <c r="C120" t="inlineStr">
        <is>
          <t>0120723/CYJ</t>
        </is>
      </c>
    </row>
    <row r="121" ht="22" customHeight="1">
      <c r="B121" t="inlineStr">
        <is>
          <t>jason_jjk</t>
        </is>
      </c>
      <c r="C121" t="inlineStr">
        <is>
          <t>0120737/SF</t>
        </is>
      </c>
    </row>
    <row r="122" ht="22" customHeight="1">
      <c r="B122" t="inlineStr">
        <is>
          <t>bigsky_salem</t>
        </is>
      </c>
      <c r="C122" t="inlineStr">
        <is>
          <t>111972MVW</t>
        </is>
      </c>
    </row>
    <row r="123" ht="22" customHeight="1">
      <c r="B123" t="inlineStr">
        <is>
          <t>mm义乌伊秦进出口</t>
        </is>
      </c>
      <c r="C123" t="inlineStr">
        <is>
          <t>0015303 ZOE</t>
        </is>
      </c>
    </row>
    <row r="124" ht="22" customHeight="1">
      <c r="B124" t="inlineStr">
        <is>
          <t>milano-ml</t>
        </is>
      </c>
      <c r="C124" t="inlineStr">
        <is>
          <t>0015304 ZOE</t>
        </is>
      </c>
    </row>
    <row r="125" ht="22" customHeight="1">
      <c r="B125" t="inlineStr">
        <is>
          <t>rob-robert</t>
        </is>
      </c>
      <c r="C125" t="inlineStr">
        <is>
          <t>0120722/WHF</t>
        </is>
      </c>
    </row>
    <row r="126" ht="22" customHeight="1">
      <c r="B126" t="inlineStr">
        <is>
          <t>arabnet</t>
        </is>
      </c>
      <c r="C126" t="inlineStr">
        <is>
          <t>0120790/WHD</t>
        </is>
      </c>
    </row>
    <row r="127" ht="22" customHeight="1">
      <c r="B127" t="inlineStr">
        <is>
          <t>韩瑞</t>
        </is>
      </c>
      <c r="C127" t="inlineStr">
        <is>
          <t>FBA15LB2MCDS</t>
        </is>
      </c>
    </row>
    <row r="128" ht="22" customHeight="1">
      <c r="B128" t="inlineStr">
        <is>
          <t>cyj</t>
        </is>
      </c>
      <c r="C128" t="inlineStr">
        <is>
          <t>GZ-SDGYL-CY</t>
        </is>
      </c>
    </row>
    <row r="129" ht="22" customHeight="1">
      <c r="B129" t="inlineStr">
        <is>
          <t>bx</t>
        </is>
      </c>
      <c r="C129" t="inlineStr">
        <is>
          <t>0120745/ZOE</t>
        </is>
      </c>
    </row>
    <row r="130" ht="22" customHeight="1">
      <c r="B130" t="inlineStr">
        <is>
          <t>al-ham</t>
        </is>
      </c>
      <c r="C130" t="inlineStr">
        <is>
          <t>0120747/ZY</t>
        </is>
      </c>
    </row>
    <row r="131" ht="22" customHeight="1">
      <c r="B131" t="inlineStr">
        <is>
          <t>zsx</t>
        </is>
      </c>
      <c r="C131" t="inlineStr">
        <is>
          <t>SEZAR 0015308</t>
        </is>
      </c>
    </row>
    <row r="132" ht="22" customHeight="1">
      <c r="B132" t="inlineStr">
        <is>
          <t>egatee</t>
        </is>
      </c>
      <c r="C132" t="inlineStr">
        <is>
          <t>0015311 ZOE</t>
        </is>
      </c>
    </row>
    <row r="133" ht="22" customHeight="1">
      <c r="B133" t="inlineStr">
        <is>
          <t>lim</t>
        </is>
      </c>
      <c r="C133" t="inlineStr">
        <is>
          <t>111994 MVW</t>
        </is>
      </c>
    </row>
    <row r="134" ht="22" customHeight="1">
      <c r="B134" t="inlineStr">
        <is>
          <t>awa</t>
        </is>
      </c>
      <c r="C134" t="inlineStr">
        <is>
          <t>0120749/AL MOHA</t>
        </is>
      </c>
    </row>
    <row r="135" ht="22" customHeight="1">
      <c r="B135" t="inlineStr">
        <is>
          <t>广州宸曜</t>
        </is>
      </c>
      <c r="C135" t="inlineStr">
        <is>
          <t>260113BY-MZONE</t>
        </is>
      </c>
    </row>
    <row r="136" ht="22" customHeight="1">
      <c r="B136" t="inlineStr">
        <is>
          <t>acco</t>
        </is>
      </c>
      <c r="C136" t="inlineStr">
        <is>
          <t>0130906/CYJ</t>
        </is>
      </c>
    </row>
    <row r="137" ht="22" customHeight="1">
      <c r="B137" t="inlineStr">
        <is>
          <t>salah一凡</t>
        </is>
      </c>
      <c r="C137" t="inlineStr">
        <is>
          <t>0130904/JACK116</t>
        </is>
      </c>
    </row>
    <row r="138" ht="22" customHeight="1">
      <c r="B138" t="inlineStr">
        <is>
          <t>jm</t>
        </is>
      </c>
      <c r="C138" t="inlineStr">
        <is>
          <t>0120746/NC-24</t>
        </is>
      </c>
    </row>
    <row r="139" ht="22" customHeight="1">
      <c r="B139" t="inlineStr">
        <is>
          <t>mc</t>
        </is>
      </c>
      <c r="C139" t="inlineStr">
        <is>
          <t>XCXC-251227BY-SS</t>
        </is>
      </c>
    </row>
    <row r="140" ht="22" customHeight="1">
      <c r="B140" t="inlineStr">
        <is>
          <t>玖盛</t>
        </is>
      </c>
      <c r="C140" t="inlineStr">
        <is>
          <t>MZONE 0676651</t>
        </is>
      </c>
    </row>
    <row r="141" ht="22" customHeight="1">
      <c r="B141" t="inlineStr">
        <is>
          <t>德宸寰宇</t>
        </is>
      </c>
      <c r="C141" t="inlineStr">
        <is>
          <t>0130925/CYJF</t>
        </is>
      </c>
    </row>
    <row r="142" ht="22" customHeight="1">
      <c r="B142" t="inlineStr">
        <is>
          <t>小数点科技</t>
        </is>
      </c>
      <c r="C142" t="inlineStr">
        <is>
          <t>250618BY-MZONE</t>
        </is>
      </c>
    </row>
    <row r="143" ht="22" customHeight="1">
      <c r="B143" t="inlineStr">
        <is>
          <t>鲸益</t>
        </is>
      </c>
      <c r="C143" t="inlineStr">
        <is>
          <t>0120738/SH333</t>
        </is>
      </c>
    </row>
    <row r="144" ht="22" customHeight="1">
      <c r="B144" t="inlineStr">
        <is>
          <t>mhm-kwi</t>
        </is>
      </c>
      <c r="C144" t="inlineStr">
        <is>
          <t>112028MVW</t>
        </is>
      </c>
    </row>
    <row r="145" ht="22" customHeight="1">
      <c r="B145" t="inlineStr">
        <is>
          <t>ogayemi</t>
        </is>
      </c>
      <c r="C145" t="inlineStr">
        <is>
          <t>XD</t>
        </is>
      </c>
    </row>
    <row r="146" ht="22" customHeight="1">
      <c r="B146" t="inlineStr">
        <is>
          <t>优米国际</t>
        </is>
      </c>
      <c r="C146" t="inlineStr">
        <is>
          <t>0130950/CYJ</t>
        </is>
      </c>
    </row>
    <row r="147" ht="22" customHeight="1">
      <c r="B147" t="inlineStr">
        <is>
          <t>ZH</t>
        </is>
      </c>
      <c r="C147" t="inlineStr">
        <is>
          <t>250822BY-SFF</t>
        </is>
      </c>
    </row>
    <row r="148" ht="22" customHeight="1">
      <c r="B148" t="inlineStr">
        <is>
          <t>joha</t>
        </is>
      </c>
      <c r="C148" t="inlineStr">
        <is>
          <t>SEZAR 0015324</t>
        </is>
      </c>
    </row>
    <row r="149" ht="22" customHeight="1">
      <c r="B149" t="inlineStr">
        <is>
          <t>浩通国际货运</t>
        </is>
      </c>
      <c r="C149" t="inlineStr">
        <is>
          <t>0120652/YF</t>
        </is>
      </c>
    </row>
    <row r="150" ht="22" customHeight="1">
      <c r="B150" t="inlineStr">
        <is>
          <t>ahaan-ahmed</t>
        </is>
      </c>
      <c r="C150" t="inlineStr">
        <is>
          <t>0130949/WHD</t>
        </is>
      </c>
    </row>
    <row r="151" ht="22" customHeight="1">
      <c r="B151" t="inlineStr">
        <is>
          <t>ys奕升</t>
        </is>
      </c>
      <c r="C151" t="inlineStr">
        <is>
          <t>0015322 ZOE</t>
        </is>
      </c>
    </row>
    <row r="152" ht="22" customHeight="1">
      <c r="B152" t="inlineStr">
        <is>
          <t>巫先生</t>
        </is>
      </c>
      <c r="C152" t="inlineStr">
        <is>
          <t>XCXC-BY-ALMOHA</t>
        </is>
      </c>
    </row>
    <row r="153" ht="22" customHeight="1">
      <c r="B153" t="inlineStr">
        <is>
          <t>道格</t>
        </is>
      </c>
      <c r="C153" t="inlineStr">
        <is>
          <t>120672-SFF</t>
        </is>
      </c>
    </row>
    <row r="154" ht="22" customHeight="1">
      <c r="B154" t="inlineStr">
        <is>
          <t>燕子</t>
        </is>
      </c>
      <c r="C154" t="inlineStr">
        <is>
          <t>0120677-MZONE</t>
        </is>
      </c>
    </row>
    <row r="155" ht="22" customHeight="1">
      <c r="B155" t="inlineStr">
        <is>
          <t>mohammed-k</t>
        </is>
      </c>
      <c r="C155" t="inlineStr">
        <is>
          <t>0120601-SF</t>
        </is>
      </c>
    </row>
    <row r="156" ht="22" customHeight="1">
      <c r="B156" t="inlineStr">
        <is>
          <t>TX</t>
        </is>
      </c>
      <c r="C156" t="inlineStr">
        <is>
          <t>112081-MVW</t>
        </is>
      </c>
    </row>
    <row r="157" ht="22" customHeight="1">
      <c r="B157" t="inlineStr">
        <is>
          <t>LUKE</t>
        </is>
      </c>
      <c r="C157" t="inlineStr">
        <is>
          <t>0120679-101</t>
        </is>
      </c>
    </row>
    <row r="158" ht="22" customHeight="1">
      <c r="B158" t="inlineStr">
        <is>
          <t>SK</t>
        </is>
      </c>
      <c r="C158" t="inlineStr">
        <is>
          <t>0120682-ASA</t>
        </is>
      </c>
    </row>
    <row r="159" ht="22" customHeight="1">
      <c r="B159" t="inlineStr">
        <is>
          <t>彭真-众米纳</t>
        </is>
      </c>
      <c r="C159" t="inlineStr">
        <is>
          <t>0120680/ASA</t>
        </is>
      </c>
    </row>
    <row r="160" ht="22" customHeight="1">
      <c r="B160" t="inlineStr">
        <is>
          <t>义乌方显</t>
        </is>
      </c>
      <c r="C160" t="inlineStr">
        <is>
          <t>FBA15L8J8Y98</t>
        </is>
      </c>
    </row>
    <row r="161" ht="22" customHeight="1">
      <c r="B161" t="inlineStr">
        <is>
          <t>深圳程译SA</t>
        </is>
      </c>
      <c r="C161" t="inlineStr">
        <is>
          <t>广东豪锁智能科技</t>
        </is>
      </c>
    </row>
    <row r="162" ht="22" customHeight="1">
      <c r="B162" t="inlineStr">
        <is>
          <t>RB</t>
        </is>
      </c>
      <c r="C162" t="inlineStr">
        <is>
          <t>SEZAR 0015336</t>
        </is>
      </c>
    </row>
    <row r="163" ht="22" customHeight="1">
      <c r="B163" t="inlineStr">
        <is>
          <t>德宸寰宇DCHY</t>
        </is>
      </c>
      <c r="C163" t="inlineStr">
        <is>
          <t>MZONE 0015338</t>
        </is>
      </c>
    </row>
    <row r="164" ht="22" customHeight="1">
      <c r="B164" t="inlineStr">
        <is>
          <t>AFD</t>
        </is>
      </c>
      <c r="C164" t="inlineStr">
        <is>
          <t>MZONE 0015337</t>
        </is>
      </c>
    </row>
    <row r="165" ht="22" customHeight="1">
      <c r="C165" t="inlineStr">
        <is>
          <t>0120639-CYJ</t>
        </is>
      </c>
    </row>
    <row r="166" ht="22" customHeight="1">
      <c r="C166" t="inlineStr">
        <is>
          <t>0120617/WHD001</t>
        </is>
      </c>
    </row>
    <row r="167" ht="22" customHeight="1">
      <c r="C167" t="inlineStr">
        <is>
          <t>0120615/MC</t>
        </is>
      </c>
    </row>
    <row r="168" ht="22" customHeight="1">
      <c r="C168" t="inlineStr">
        <is>
          <t>0120696/SS</t>
        </is>
      </c>
    </row>
    <row r="169" ht="22" customHeight="1">
      <c r="C169" t="inlineStr">
        <is>
          <t>0120618/GFT</t>
        </is>
      </c>
    </row>
    <row r="170" ht="22" customHeight="1">
      <c r="C170" t="inlineStr">
        <is>
          <t>0120634/WHD</t>
        </is>
      </c>
    </row>
    <row r="171" ht="22" customHeight="1">
      <c r="C171" t="inlineStr">
        <is>
          <t>/100104005834</t>
        </is>
      </c>
    </row>
    <row r="172" ht="22" customHeight="1">
      <c r="C172" t="inlineStr">
        <is>
          <t>0120506BY-SFF</t>
        </is>
      </c>
    </row>
    <row r="173" ht="22" customHeight="1">
      <c r="C173" t="inlineStr">
        <is>
          <t>0120572/MZONE</t>
        </is>
      </c>
    </row>
    <row r="174" ht="22" customHeight="1">
      <c r="C174" t="inlineStr">
        <is>
          <t>0015343 JX</t>
        </is>
      </c>
    </row>
    <row r="175" ht="22" customHeight="1">
      <c r="C175" t="inlineStr">
        <is>
          <t>0120647FANG</t>
        </is>
      </c>
    </row>
    <row r="176" ht="22" customHeight="1">
      <c r="C176" t="inlineStr">
        <is>
          <t>112131-MVW</t>
        </is>
      </c>
    </row>
    <row r="177" ht="22" customHeight="1">
      <c r="C177" t="inlineStr">
        <is>
          <t>XCXC-MOHAMMMED K</t>
        </is>
      </c>
    </row>
    <row r="178" ht="22" customHeight="1">
      <c r="C178" t="inlineStr">
        <is>
          <t>0120512AHMAD</t>
        </is>
      </c>
    </row>
    <row r="179" ht="22" customHeight="1">
      <c r="C179" t="inlineStr">
        <is>
          <t>0120513ANA</t>
        </is>
      </c>
    </row>
    <row r="180" ht="22" customHeight="1">
      <c r="C180" t="inlineStr">
        <is>
          <t>0120586/SFF</t>
        </is>
      </c>
    </row>
    <row r="181" ht="22" customHeight="1">
      <c r="C181" t="inlineStr">
        <is>
          <t>SDGYL-20822BY-SF</t>
        </is>
      </c>
    </row>
    <row r="182" ht="22" customHeight="1">
      <c r="C182" t="inlineStr">
        <is>
          <t>113053/MVW</t>
        </is>
      </c>
    </row>
    <row r="183" ht="22" customHeight="1">
      <c r="C183" t="inlineStr">
        <is>
          <t>0120551HESSA</t>
        </is>
      </c>
    </row>
    <row r="184" ht="22" customHeight="1">
      <c r="C184" t="inlineStr">
        <is>
          <t>0120579SAWSAN</t>
        </is>
      </c>
    </row>
    <row r="185" ht="22" customHeight="1">
      <c r="C185" t="inlineStr">
        <is>
          <t>0120593ALMOHA</t>
        </is>
      </c>
    </row>
    <row r="186" ht="22" customHeight="1">
      <c r="C186" t="inlineStr">
        <is>
          <t>0120580/SH333</t>
        </is>
      </c>
    </row>
    <row r="187" ht="22" customHeight="1">
      <c r="C187" t="inlineStr">
        <is>
          <t>0015346 hasan1230</t>
        </is>
      </c>
    </row>
    <row r="188" ht="22" customHeight="1">
      <c r="C188" t="inlineStr">
        <is>
          <t>120541MZONE</t>
        </is>
      </c>
    </row>
    <row r="189" ht="22" customHeight="1">
      <c r="C189" t="inlineStr">
        <is>
          <t>0120535CYJ</t>
        </is>
      </c>
    </row>
    <row r="190" ht="22" customHeight="1">
      <c r="C190" t="inlineStr">
        <is>
          <t>0120534ZOE</t>
        </is>
      </c>
    </row>
    <row r="191" ht="22" customHeight="1">
      <c r="C191" t="inlineStr">
        <is>
          <t>0120539GFT</t>
        </is>
      </c>
    </row>
    <row r="192" ht="22" customHeight="1">
      <c r="C192" t="inlineStr">
        <is>
          <t>0015349 ZOE</t>
        </is>
      </c>
    </row>
    <row r="193" ht="22" customHeight="1">
      <c r="C193" t="inlineStr">
        <is>
          <t>0120536-ASA</t>
        </is>
      </c>
    </row>
    <row r="194" ht="22" customHeight="1">
      <c r="C194" t="inlineStr">
        <is>
          <t>0120414D3PS</t>
        </is>
      </c>
    </row>
    <row r="195" ht="22" customHeight="1">
      <c r="C195" t="inlineStr">
        <is>
          <t>SEZAR 0015253</t>
        </is>
      </c>
    </row>
    <row r="196" ht="22" customHeight="1">
      <c r="C196" t="inlineStr">
        <is>
          <t>0120432-CYJ</t>
        </is>
      </c>
    </row>
    <row r="197" ht="22" customHeight="1">
      <c r="C197" t="inlineStr">
        <is>
          <t>0120433-D3PS</t>
        </is>
      </c>
    </row>
    <row r="198" ht="22" customHeight="1">
      <c r="C198" t="inlineStr">
        <is>
          <t>0120431BY-SFF</t>
        </is>
      </c>
    </row>
    <row r="199" ht="22" customHeight="1">
      <c r="C199" t="inlineStr">
        <is>
          <t>0120430BY-SFF47</t>
        </is>
      </c>
    </row>
    <row r="200" ht="22" customHeight="1">
      <c r="C200" t="inlineStr">
        <is>
          <t>0120454BY-SFF</t>
        </is>
      </c>
    </row>
    <row r="201" ht="22" customHeight="1">
      <c r="C201" t="inlineStr">
        <is>
          <t>0120460MZONE</t>
        </is>
      </c>
    </row>
    <row r="202" ht="22" customHeight="1">
      <c r="C202" t="inlineStr">
        <is>
          <t>0120456BY-SFF</t>
        </is>
      </c>
    </row>
    <row r="203" ht="22" customHeight="1">
      <c r="C203" t="inlineStr">
        <is>
          <t>120437-YF</t>
        </is>
      </c>
    </row>
    <row r="204" ht="22" customHeight="1">
      <c r="C204" t="inlineStr">
        <is>
          <t>SK074/SK075</t>
        </is>
      </c>
    </row>
    <row r="205" ht="22" customHeight="1">
      <c r="C205" t="inlineStr">
        <is>
          <t>0120422KJ8972</t>
        </is>
      </c>
    </row>
    <row r="206" ht="22" customHeight="1">
      <c r="C206" t="inlineStr">
        <is>
          <t>0015252 ZOE</t>
        </is>
      </c>
    </row>
    <row r="207" ht="22" customHeight="1">
      <c r="C207" t="inlineStr">
        <is>
          <t>0015259 ZOE</t>
        </is>
      </c>
    </row>
    <row r="208" ht="22" customHeight="1">
      <c r="C208" t="inlineStr">
        <is>
          <t>0015260 ZOE</t>
        </is>
      </c>
    </row>
    <row r="209" ht="22" customHeight="1">
      <c r="C209" t="inlineStr">
        <is>
          <t>15261 ZOE</t>
        </is>
      </c>
    </row>
    <row r="210" ht="22" customHeight="1">
      <c r="C210" t="inlineStr">
        <is>
          <t>0120473-JACK116</t>
        </is>
      </c>
    </row>
    <row r="211" ht="22" customHeight="1">
      <c r="C211" t="inlineStr">
        <is>
          <t>0654104CYJF</t>
        </is>
      </c>
    </row>
    <row r="212" ht="22" customHeight="1">
      <c r="C212" t="inlineStr">
        <is>
          <t>0120441-CYJ</t>
        </is>
      </c>
    </row>
    <row r="213" ht="22" customHeight="1">
      <c r="C213" t="inlineStr">
        <is>
          <t>0120443NC-90</t>
        </is>
      </c>
    </row>
    <row r="214" ht="22" customHeight="1">
      <c r="C214" t="inlineStr">
        <is>
          <t>0654101-NC-93-94</t>
        </is>
      </c>
    </row>
    <row r="215" ht="22" customHeight="1">
      <c r="C215" t="inlineStr">
        <is>
          <t>0654076BY-SFF</t>
        </is>
      </c>
    </row>
    <row r="216" ht="22" customHeight="1">
      <c r="C216" t="inlineStr">
        <is>
          <t>SEZAR 0015266</t>
        </is>
      </c>
    </row>
    <row r="217" ht="22" customHeight="1">
      <c r="C217" t="inlineStr">
        <is>
          <t>MZONE 0015266</t>
        </is>
      </c>
    </row>
    <row r="218" ht="22" customHeight="1">
      <c r="C218" t="inlineStr">
        <is>
          <t>0654105ZOE</t>
        </is>
      </c>
    </row>
    <row r="219" ht="22" customHeight="1">
      <c r="C219" t="inlineStr">
        <is>
          <t>120474WHD001</t>
        </is>
      </c>
    </row>
    <row r="220" ht="22" customHeight="1">
      <c r="C220" t="inlineStr">
        <is>
          <t>0120475ASA</t>
        </is>
      </c>
    </row>
    <row r="221" ht="22" customHeight="1">
      <c r="C221" t="inlineStr">
        <is>
          <t>0120472-101</t>
        </is>
      </c>
    </row>
    <row r="222" ht="22" customHeight="1">
      <c r="C222" t="inlineStr">
        <is>
          <t>0120462BY-SS</t>
        </is>
      </c>
    </row>
    <row r="223" ht="22" customHeight="1">
      <c r="C223" t="inlineStr">
        <is>
          <t>0120445XCXC-SS</t>
        </is>
      </c>
    </row>
    <row r="224" ht="22" customHeight="1">
      <c r="C224" t="inlineStr">
        <is>
          <t>0120353JACK116</t>
        </is>
      </c>
    </row>
    <row r="225" ht="22" customHeight="1">
      <c r="C225" t="inlineStr">
        <is>
          <t>0120355JACK116-A</t>
        </is>
      </c>
    </row>
    <row r="226" ht="22" customHeight="1">
      <c r="C226" t="inlineStr">
        <is>
          <t>0120354CYJ</t>
        </is>
      </c>
    </row>
    <row r="227" ht="22" customHeight="1">
      <c r="C227" t="inlineStr">
        <is>
          <t>0120498SH333</t>
        </is>
      </c>
    </row>
    <row r="228" ht="22" customHeight="1">
      <c r="C228" t="inlineStr">
        <is>
          <t>0120497D3PS</t>
        </is>
      </c>
    </row>
    <row r="229" ht="22" customHeight="1">
      <c r="C229" t="inlineStr">
        <is>
          <t>XCXC-YGMD005</t>
        </is>
      </c>
    </row>
    <row r="230" ht="22" customHeight="1">
      <c r="C230" t="inlineStr">
        <is>
          <t>XCXC-YGMD006</t>
        </is>
      </c>
    </row>
    <row r="231" ht="22" customHeight="1">
      <c r="C231" t="inlineStr">
        <is>
          <t>CYJL</t>
        </is>
      </c>
    </row>
    <row r="232" ht="22" customHeight="1">
      <c r="C232" t="inlineStr">
        <is>
          <t>SDGYL-SH333</t>
        </is>
      </c>
    </row>
    <row r="233" ht="22" customHeight="1">
      <c r="C233" t="inlineStr">
        <is>
          <t>0120314CYJF</t>
        </is>
      </c>
    </row>
    <row r="234" ht="22" customHeight="1">
      <c r="C234" t="inlineStr">
        <is>
          <t>0120308CYJF</t>
        </is>
      </c>
    </row>
    <row r="235" ht="22" customHeight="1">
      <c r="C235" t="inlineStr">
        <is>
          <t>0120368by-yf</t>
        </is>
      </c>
    </row>
    <row r="236" ht="22" customHeight="1">
      <c r="C236" t="inlineStr">
        <is>
          <t>0120306KJ8972</t>
        </is>
      </c>
    </row>
    <row r="237" ht="22" customHeight="1">
      <c r="C237" t="inlineStr">
        <is>
          <t>0120309CYJF</t>
        </is>
      </c>
    </row>
    <row r="238" ht="22" customHeight="1">
      <c r="C238" t="inlineStr">
        <is>
          <t>0015276 FAIZ-N</t>
        </is>
      </c>
    </row>
    <row r="239" ht="22" customHeight="1">
      <c r="C239" t="inlineStr">
        <is>
          <t>0015277 FAIZ</t>
        </is>
      </c>
    </row>
    <row r="240" ht="22" customHeight="1">
      <c r="C240" t="inlineStr">
        <is>
          <t>0120375BY-SF</t>
        </is>
      </c>
    </row>
    <row r="241" ht="22" customHeight="1">
      <c r="C241" t="inlineStr">
        <is>
          <t>0120379MZONE</t>
        </is>
      </c>
    </row>
    <row r="242" ht="22" customHeight="1">
      <c r="C242" t="inlineStr">
        <is>
          <t>ZNY 0015278</t>
        </is>
      </c>
    </row>
    <row r="243" ht="22" customHeight="1">
      <c r="C243" t="inlineStr">
        <is>
          <t>0120259MZONE</t>
        </is>
      </c>
    </row>
    <row r="244" ht="22" customHeight="1">
      <c r="C244" t="inlineStr">
        <is>
          <t>0120332ALMOHA</t>
        </is>
      </c>
    </row>
    <row r="245" ht="22" customHeight="1">
      <c r="C245" t="inlineStr">
        <is>
          <t>0120339ZOE</t>
        </is>
      </c>
    </row>
    <row r="246" ht="22" customHeight="1">
      <c r="C246" t="inlineStr">
        <is>
          <t>0120338KJ8972</t>
        </is>
      </c>
    </row>
    <row r="247" ht="22" customHeight="1">
      <c r="C247" t="inlineStr">
        <is>
          <t>0120343ASAF</t>
        </is>
      </c>
    </row>
    <row r="248" ht="22" customHeight="1">
      <c r="C248" t="inlineStr">
        <is>
          <t>0120340ASA</t>
        </is>
      </c>
    </row>
    <row r="249" ht="22" customHeight="1">
      <c r="C249" t="inlineStr">
        <is>
          <t>0120337-101</t>
        </is>
      </c>
    </row>
    <row r="250" ht="22" customHeight="1">
      <c r="C250" t="inlineStr">
        <is>
          <t>0120342KJ8972</t>
        </is>
      </c>
    </row>
    <row r="251" ht="22" customHeight="1">
      <c r="C251" t="inlineStr">
        <is>
          <t>XCHH-PS8023(SEA)</t>
        </is>
      </c>
    </row>
    <row r="252" ht="22" customHeight="1">
      <c r="C252" t="inlineStr">
        <is>
          <t>XCHH-PS8022(SEA)</t>
        </is>
      </c>
    </row>
    <row r="253" ht="22" customHeight="1">
      <c r="C253" t="inlineStr">
        <is>
          <t>XCXC-ANV-D</t>
        </is>
      </c>
    </row>
    <row r="254" ht="22" customHeight="1">
      <c r="C254" t="inlineStr">
        <is>
          <t>XCXC-SH333</t>
        </is>
      </c>
    </row>
    <row r="255" ht="22" customHeight="1">
      <c r="C255" t="inlineStr">
        <is>
          <t>260127HK-FOCO</t>
        </is>
      </c>
    </row>
    <row r="256" ht="22" customHeight="1">
      <c r="C256" t="inlineStr">
        <is>
          <t>MZONE 0015286</t>
        </is>
      </c>
    </row>
    <row r="257" ht="22" customHeight="1">
      <c r="C257" t="inlineStr">
        <is>
          <t>113205-MVW</t>
        </is>
      </c>
    </row>
    <row r="258" ht="22" customHeight="1">
      <c r="C258" t="inlineStr">
        <is>
          <t>0120270/KJ8972</t>
        </is>
      </c>
    </row>
    <row r="259" ht="22" customHeight="1">
      <c r="C259" t="inlineStr">
        <is>
          <t>0120280/ASA</t>
        </is>
      </c>
    </row>
    <row r="260" ht="22" customHeight="1">
      <c r="C260" t="inlineStr">
        <is>
          <t>0120378/GFT</t>
        </is>
      </c>
    </row>
    <row r="261" ht="22" customHeight="1">
      <c r="C261" t="inlineStr">
        <is>
          <t>0120398BY-CYJ</t>
        </is>
      </c>
    </row>
    <row r="262" ht="22" customHeight="1">
      <c r="C262" t="inlineStr">
        <is>
          <t>YF</t>
        </is>
      </c>
    </row>
    <row r="263" ht="22" customHeight="1">
      <c r="C263" t="inlineStr">
        <is>
          <t>0119711/SF</t>
        </is>
      </c>
    </row>
    <row r="264" ht="22" customHeight="1">
      <c r="C264" t="inlineStr">
        <is>
          <t>0119708/SFF</t>
        </is>
      </c>
    </row>
    <row r="265" ht="22" customHeight="1">
      <c r="C265" t="inlineStr">
        <is>
          <t>0120374-SF</t>
        </is>
      </c>
    </row>
    <row r="266" ht="22" customHeight="1">
      <c r="C266" t="inlineStr">
        <is>
          <t>113227/MVW</t>
        </is>
      </c>
    </row>
    <row r="267" ht="22" customHeight="1">
      <c r="C267" t="inlineStr">
        <is>
          <t>120392/QA</t>
        </is>
      </c>
    </row>
    <row r="268" ht="22" customHeight="1">
      <c r="C268" t="inlineStr">
        <is>
          <t>0120391-101</t>
        </is>
      </c>
    </row>
    <row r="269" ht="22" customHeight="1">
      <c r="C269" t="inlineStr">
        <is>
          <t>0119709/SAWSAN</t>
        </is>
      </c>
    </row>
    <row r="270" ht="22" customHeight="1">
      <c r="C270" t="inlineStr">
        <is>
          <t>MZONE-RICHER</t>
        </is>
      </c>
    </row>
    <row r="271" ht="22" customHeight="1">
      <c r="C271" t="inlineStr">
        <is>
          <t>MZONE-KEVIN</t>
        </is>
      </c>
    </row>
    <row r="272" ht="22" customHeight="1">
      <c r="C272" t="inlineStr">
        <is>
          <t>0119730/CYJ</t>
        </is>
      </c>
    </row>
    <row r="273" ht="22" customHeight="1">
      <c r="C273" t="inlineStr">
        <is>
          <t>0119732/YF</t>
        </is>
      </c>
    </row>
    <row r="274" ht="22" customHeight="1">
      <c r="C274" t="inlineStr">
        <is>
          <t>0119737/ANA</t>
        </is>
      </c>
    </row>
    <row r="275" ht="22" customHeight="1">
      <c r="C275" t="inlineStr">
        <is>
          <t>0119739/ANAF</t>
        </is>
      </c>
    </row>
    <row r="276" ht="22" customHeight="1">
      <c r="C276" t="inlineStr">
        <is>
          <t>0120213/CYJ</t>
        </is>
      </c>
    </row>
    <row r="277" ht="22" customHeight="1">
      <c r="C277" t="inlineStr">
        <is>
          <t>MZONE 0015299</t>
        </is>
      </c>
    </row>
    <row r="278" ht="22" customHeight="1">
      <c r="C278" t="inlineStr">
        <is>
          <t>SEZAR 0015298</t>
        </is>
      </c>
    </row>
    <row r="279" ht="22" customHeight="1">
      <c r="C279" t="inlineStr">
        <is>
          <t>SEZAR 0015300</t>
        </is>
      </c>
    </row>
    <row r="280" ht="22" customHeight="1">
      <c r="C280" t="inlineStr">
        <is>
          <t>113153-MVW</t>
        </is>
      </c>
    </row>
    <row r="281" ht="22" customHeight="1">
      <c r="C281" t="inlineStr">
        <is>
          <t>0119735/CYJ</t>
        </is>
      </c>
    </row>
    <row r="282" ht="22" customHeight="1">
      <c r="C282" t="inlineStr">
        <is>
          <t>0119744/CYJF</t>
        </is>
      </c>
    </row>
    <row r="283" ht="22" customHeight="1">
      <c r="C283" t="inlineStr">
        <is>
          <t>0119736/WHF</t>
        </is>
      </c>
    </row>
    <row r="284" ht="22" customHeight="1">
      <c r="C284" t="inlineStr">
        <is>
          <t>0119734/WD</t>
        </is>
      </c>
    </row>
    <row r="285" ht="22" customHeight="1">
      <c r="C285" t="inlineStr">
        <is>
          <t>0119738/WHD-001</t>
        </is>
      </c>
    </row>
    <row r="286" ht="22" customHeight="1">
      <c r="C286" t="inlineStr">
        <is>
          <t>0119749/ALMOHA</t>
        </is>
      </c>
    </row>
    <row r="287" ht="22" customHeight="1">
      <c r="C287" t="inlineStr">
        <is>
          <t>0119740/SS</t>
        </is>
      </c>
    </row>
    <row r="288" ht="22" customHeight="1">
      <c r="C288" t="inlineStr">
        <is>
          <t>0119733/ALMOHA</t>
        </is>
      </c>
    </row>
    <row r="289" ht="22" customHeight="1">
      <c r="C289" t="inlineStr">
        <is>
          <t>0119748/ASA</t>
        </is>
      </c>
    </row>
    <row r="290" ht="22" customHeight="1">
      <c r="C290" t="inlineStr">
        <is>
          <t>XCXC-AURISTON</t>
        </is>
      </c>
    </row>
    <row r="291" ht="22" customHeight="1">
      <c r="C291" t="inlineStr">
        <is>
          <t>0120298/WHD</t>
        </is>
      </c>
    </row>
    <row r="292" ht="22" customHeight="1">
      <c r="C292" t="inlineStr">
        <is>
          <t>XCXC-YGMD007</t>
        </is>
      </c>
    </row>
    <row r="293" ht="22" customHeight="1">
      <c r="C293" t="inlineStr">
        <is>
          <t>Akeel</t>
        </is>
      </c>
    </row>
    <row r="294" ht="22" customHeight="1">
      <c r="C294" t="inlineStr">
        <is>
          <t>SK076/SK077</t>
        </is>
      </c>
    </row>
    <row r="295" ht="22" customHeight="1">
      <c r="C295" t="inlineStr">
        <is>
          <t>SK078/SK079</t>
        </is>
      </c>
    </row>
    <row r="296" ht="22" customHeight="1">
      <c r="C296" t="inlineStr">
        <is>
          <t>0120233/CYJ</t>
        </is>
      </c>
    </row>
    <row r="297" ht="22" customHeight="1">
      <c r="C297" t="inlineStr">
        <is>
          <t>0120228/CYJ</t>
        </is>
      </c>
    </row>
    <row r="298" ht="22" customHeight="1">
      <c r="C298" t="inlineStr">
        <is>
          <t>DHL2130251642</t>
        </is>
      </c>
    </row>
    <row r="299" ht="22" customHeight="1">
      <c r="C299" t="inlineStr">
        <is>
          <t>ZTC</t>
        </is>
      </c>
    </row>
    <row r="300" ht="22" customHeight="1">
      <c r="C300" t="inlineStr">
        <is>
          <t>251222BY-YF</t>
        </is>
      </c>
    </row>
    <row r="301" ht="22" customHeight="1">
      <c r="C301" t="inlineStr">
        <is>
          <t>251229BY-LZY</t>
        </is>
      </c>
    </row>
    <row r="302" ht="22" customHeight="1">
      <c r="C302" t="inlineStr">
        <is>
          <t>SH333-AIR</t>
        </is>
      </c>
    </row>
    <row r="303" ht="22" customHeight="1">
      <c r="C303" t="inlineStr">
        <is>
          <t>SEZAR 0084861</t>
        </is>
      </c>
    </row>
    <row r="304" ht="22" customHeight="1">
      <c r="C304" t="inlineStr">
        <is>
          <t>0119628/YF</t>
        </is>
      </c>
    </row>
    <row r="305" ht="22" customHeight="1">
      <c r="C305" t="inlineStr">
        <is>
          <t>113189/MVW</t>
        </is>
      </c>
    </row>
    <row r="306" ht="22" customHeight="1">
      <c r="C306" t="inlineStr">
        <is>
          <t>0119617-101</t>
        </is>
      </c>
    </row>
    <row r="307" ht="22" customHeight="1">
      <c r="C307" t="inlineStr">
        <is>
          <t>BIGSKY-BAND</t>
        </is>
      </c>
    </row>
    <row r="308" ht="22" customHeight="1">
      <c r="C308" t="inlineStr">
        <is>
          <t>XCXC-YGMD008</t>
        </is>
      </c>
    </row>
    <row r="309" ht="22" customHeight="1">
      <c r="C309" t="inlineStr">
        <is>
          <t>ASA沙特</t>
        </is>
      </c>
    </row>
    <row r="310" ht="22" customHeight="1">
      <c r="C310" t="inlineStr">
        <is>
          <t>MZONE 0084866</t>
        </is>
      </c>
    </row>
    <row r="311" ht="22" customHeight="1">
      <c r="C311" t="inlineStr">
        <is>
          <t>SEZAR 0084867</t>
        </is>
      </c>
    </row>
    <row r="312" ht="22" customHeight="1">
      <c r="C312" t="inlineStr">
        <is>
          <t>ASAF</t>
        </is>
      </c>
    </row>
    <row r="313" ht="22" customHeight="1">
      <c r="C313" t="inlineStr">
        <is>
          <t>0119684/ASA</t>
        </is>
      </c>
    </row>
    <row r="314" ht="22" customHeight="1">
      <c r="C314" t="inlineStr">
        <is>
          <t>0119690/JACK016</t>
        </is>
      </c>
    </row>
    <row r="315" ht="22" customHeight="1">
      <c r="C315" t="inlineStr">
        <is>
          <t>0119649/CYJF</t>
        </is>
      </c>
    </row>
    <row r="316" ht="22" customHeight="1">
      <c r="C316" t="inlineStr">
        <is>
          <t>0119632/SS</t>
        </is>
      </c>
    </row>
    <row r="317" ht="22" customHeight="1">
      <c r="C317" t="inlineStr">
        <is>
          <t>0119687/KJ8972</t>
        </is>
      </c>
    </row>
    <row r="318" ht="22" customHeight="1">
      <c r="C318" t="inlineStr">
        <is>
          <t>0119688/ASA</t>
        </is>
      </c>
    </row>
    <row r="319" ht="22" customHeight="1">
      <c r="C319" t="inlineStr">
        <is>
          <t>0119650/CYJ</t>
        </is>
      </c>
    </row>
    <row r="320" ht="22" customHeight="1">
      <c r="C320" t="inlineStr">
        <is>
          <t>0119648/WD</t>
        </is>
      </c>
    </row>
    <row r="321" ht="22" customHeight="1">
      <c r="C321" t="inlineStr">
        <is>
          <t>0119686/KJ8972</t>
        </is>
      </c>
    </row>
    <row r="322" ht="22" customHeight="1">
      <c r="C322" t="inlineStr">
        <is>
          <t>0119605/SH333</t>
        </is>
      </c>
    </row>
    <row r="323" ht="22" customHeight="1">
      <c r="C323" t="inlineStr">
        <is>
          <t>0119521-SF</t>
        </is>
      </c>
    </row>
    <row r="324" ht="22" customHeight="1">
      <c r="C324" t="inlineStr">
        <is>
          <t>0119517-SFF</t>
        </is>
      </c>
    </row>
    <row r="325" ht="22" customHeight="1">
      <c r="C325" t="inlineStr">
        <is>
          <t>0119567/SFF</t>
        </is>
      </c>
    </row>
    <row r="326" ht="22" customHeight="1">
      <c r="C326" t="inlineStr">
        <is>
          <t>250822BY-SF</t>
        </is>
      </c>
    </row>
    <row r="327" ht="22" customHeight="1">
      <c r="C327" t="inlineStr">
        <is>
          <t>0654279/CYJ</t>
        </is>
      </c>
    </row>
    <row r="328" ht="22" customHeight="1">
      <c r="C328" t="inlineStr">
        <is>
          <t>0119523/SAWSAN</t>
        </is>
      </c>
    </row>
    <row r="329" ht="22" customHeight="1">
      <c r="C329" t="inlineStr">
        <is>
          <t>0119522/ASA</t>
        </is>
      </c>
    </row>
    <row r="330" ht="22" customHeight="1">
      <c r="C330" t="inlineStr">
        <is>
          <t>0119557/SH333</t>
        </is>
      </c>
    </row>
    <row r="331" ht="22" customHeight="1">
      <c r="C331" t="inlineStr">
        <is>
          <t>112187-D3PS</t>
        </is>
      </c>
    </row>
    <row r="332" ht="22" customHeight="1">
      <c r="C332" t="inlineStr">
        <is>
          <t>0119401A-SF-FT1</t>
        </is>
      </c>
    </row>
    <row r="333" ht="22" customHeight="1">
      <c r="C333" t="inlineStr">
        <is>
          <t>0119402B-F-FT1</t>
        </is>
      </c>
    </row>
    <row r="334" ht="22" customHeight="1">
      <c r="C334" t="inlineStr">
        <is>
          <t>0119403D3PS</t>
        </is>
      </c>
    </row>
    <row r="335" ht="22" customHeight="1">
      <c r="C335" t="inlineStr">
        <is>
          <t>0119469-SF</t>
        </is>
      </c>
    </row>
    <row r="336" ht="22" customHeight="1">
      <c r="C336" t="inlineStr">
        <is>
          <t>0119473BY-SF</t>
        </is>
      </c>
    </row>
    <row r="337" ht="22" customHeight="1">
      <c r="C337" t="inlineStr">
        <is>
          <t>0119474BY-SFF</t>
        </is>
      </c>
    </row>
    <row r="338" ht="22" customHeight="1">
      <c r="C338" t="inlineStr">
        <is>
          <t>119536-SFF</t>
        </is>
      </c>
    </row>
    <row r="339" ht="22" customHeight="1">
      <c r="C339" t="inlineStr">
        <is>
          <t>119537-SFF</t>
        </is>
      </c>
    </row>
    <row r="340" ht="22" customHeight="1">
      <c r="C340" t="inlineStr">
        <is>
          <t>PZ 0084889</t>
        </is>
      </c>
    </row>
    <row r="341" ht="22" customHeight="1">
      <c r="C341" t="inlineStr">
        <is>
          <t>MZONE 0084883</t>
        </is>
      </c>
    </row>
    <row r="342" ht="22" customHeight="1">
      <c r="C342" t="inlineStr">
        <is>
          <t>SEZAR 0084884</t>
        </is>
      </c>
    </row>
    <row r="343" ht="22" customHeight="1">
      <c r="C343" t="inlineStr">
        <is>
          <t>SEZAR 0084885</t>
        </is>
      </c>
    </row>
    <row r="344" ht="22" customHeight="1">
      <c r="C344" t="inlineStr">
        <is>
          <t>0084882 FAIZ</t>
        </is>
      </c>
    </row>
    <row r="345" ht="22" customHeight="1">
      <c r="C345" t="inlineStr">
        <is>
          <t>0084887 SEZAR</t>
        </is>
      </c>
    </row>
    <row r="346" ht="22" customHeight="1">
      <c r="C346" t="inlineStr">
        <is>
          <t>0084888 SEZAR</t>
        </is>
      </c>
    </row>
    <row r="347" ht="22" customHeight="1">
      <c r="C347" t="inlineStr">
        <is>
          <t>112198-MVW</t>
        </is>
      </c>
    </row>
    <row r="348" ht="22" customHeight="1">
      <c r="C348" t="inlineStr">
        <is>
          <t>0119404QA</t>
        </is>
      </c>
    </row>
    <row r="349" ht="22" customHeight="1">
      <c r="C349" t="inlineStr">
        <is>
          <t>0119407WHD-101</t>
        </is>
      </c>
    </row>
    <row r="350" ht="22" customHeight="1">
      <c r="C350" t="inlineStr">
        <is>
          <t>0119408-101</t>
        </is>
      </c>
    </row>
    <row r="351" ht="22" customHeight="1">
      <c r="C351" t="inlineStr">
        <is>
          <t>0675471 FAIZ-N</t>
        </is>
      </c>
    </row>
    <row r="352" ht="22" customHeight="1">
      <c r="C352" t="inlineStr">
        <is>
          <t>OPPO郭玉婷</t>
        </is>
      </c>
    </row>
    <row r="353" ht="22" customHeight="1">
      <c r="C353" t="inlineStr">
        <is>
          <t>SEZAR 0084891</t>
        </is>
      </c>
    </row>
    <row r="354" ht="22" customHeight="1">
      <c r="C354" t="inlineStr">
        <is>
          <t>0119436-MZONE</t>
        </is>
      </c>
    </row>
    <row r="355" ht="22" customHeight="1">
      <c r="C355" t="inlineStr">
        <is>
          <t>0119329ASAF</t>
        </is>
      </c>
    </row>
    <row r="356" ht="22" customHeight="1">
      <c r="C356" t="inlineStr">
        <is>
          <t>0119330JACK116</t>
        </is>
      </c>
    </row>
    <row r="357" ht="22" customHeight="1">
      <c r="C357" t="inlineStr">
        <is>
          <t>0119333ANA</t>
        </is>
      </c>
    </row>
    <row r="358" ht="22" customHeight="1">
      <c r="C358" t="inlineStr">
        <is>
          <t>0119331CYJ</t>
        </is>
      </c>
    </row>
    <row r="359" ht="22" customHeight="1">
      <c r="C359" t="inlineStr">
        <is>
          <t>0119308-WGJ</t>
        </is>
      </c>
    </row>
    <row r="360" ht="22" customHeight="1">
      <c r="C360" t="inlineStr">
        <is>
          <t>0119490BY-SFF</t>
        </is>
      </c>
    </row>
    <row r="361" ht="22" customHeight="1">
      <c r="C361" t="inlineStr">
        <is>
          <t>113286-MVW</t>
        </is>
      </c>
    </row>
    <row r="362" ht="22" customHeight="1">
      <c r="C362" t="inlineStr">
        <is>
          <t>113287-MVW</t>
        </is>
      </c>
    </row>
    <row r="363" ht="22" customHeight="1">
      <c r="C363" t="inlineStr">
        <is>
          <t>0119433BY-SS</t>
        </is>
      </c>
    </row>
    <row r="364" ht="22" customHeight="1">
      <c r="C364" t="inlineStr">
        <is>
          <t>0113282/ABD</t>
        </is>
      </c>
    </row>
    <row r="365" ht="22" customHeight="1">
      <c r="C365" t="inlineStr">
        <is>
          <t>0113281/AMA</t>
        </is>
      </c>
    </row>
    <row r="366" ht="22" customHeight="1">
      <c r="C366" t="inlineStr">
        <is>
          <t>0113283/BIR</t>
        </is>
      </c>
    </row>
    <row r="367" ht="22" customHeight="1">
      <c r="C367" t="inlineStr">
        <is>
          <t>0119494BY-SS</t>
        </is>
      </c>
    </row>
    <row r="368" ht="22" customHeight="1">
      <c r="C368" t="inlineStr">
        <is>
          <t>0119326KJ88972</t>
        </is>
      </c>
    </row>
    <row r="369" ht="22" customHeight="1">
      <c r="C369" t="inlineStr">
        <is>
          <t>0119332ASA</t>
        </is>
      </c>
    </row>
    <row r="370" ht="22" customHeight="1">
      <c r="C370" t="inlineStr">
        <is>
          <t>0119334WHD001</t>
        </is>
      </c>
    </row>
    <row r="371" ht="22" customHeight="1">
      <c r="C371" t="inlineStr">
        <is>
          <t>0119538MZONE</t>
        </is>
      </c>
    </row>
    <row r="372" ht="22" customHeight="1">
      <c r="C372" t="inlineStr">
        <is>
          <t>0119406CYJ</t>
        </is>
      </c>
    </row>
    <row r="373" ht="22" customHeight="1">
      <c r="C373" t="inlineStr">
        <is>
          <t>0119405LZY</t>
        </is>
      </c>
    </row>
    <row r="374" ht="22" customHeight="1">
      <c r="C374" t="inlineStr">
        <is>
          <t>SK080/SK081</t>
        </is>
      </c>
    </row>
    <row r="375" ht="22" customHeight="1">
      <c r="C375" t="inlineStr">
        <is>
          <t>CYJ-SEA</t>
        </is>
      </c>
    </row>
    <row r="376" ht="22" customHeight="1">
      <c r="C376" t="inlineStr">
        <is>
          <t>0120161/NC-159</t>
        </is>
      </c>
    </row>
    <row r="377" ht="22" customHeight="1">
      <c r="C377" t="inlineStr">
        <is>
          <t>BY-SF-1F</t>
        </is>
      </c>
    </row>
    <row r="378" ht="22" customHeight="1">
      <c r="C378" t="inlineStr">
        <is>
          <t>0120181/JACK116</t>
        </is>
      </c>
    </row>
    <row r="379" ht="22" customHeight="1">
      <c r="C379" t="inlineStr">
        <is>
          <t>SEZAR 0084903</t>
        </is>
      </c>
    </row>
    <row r="380" ht="22" customHeight="1">
      <c r="C380" t="inlineStr">
        <is>
          <t>0119340/YF</t>
        </is>
      </c>
    </row>
    <row r="381" ht="22" customHeight="1">
      <c r="C381" t="inlineStr">
        <is>
          <t>0120162/WHD</t>
        </is>
      </c>
    </row>
    <row r="382" ht="22" customHeight="1">
      <c r="C382" t="inlineStr">
        <is>
          <t>0120182/CYJF</t>
        </is>
      </c>
    </row>
    <row r="383" ht="22" customHeight="1">
      <c r="C383" t="inlineStr">
        <is>
          <t>0120183/CYJ</t>
        </is>
      </c>
    </row>
    <row r="384" ht="22" customHeight="1">
      <c r="C384" t="inlineStr">
        <is>
          <t>0120189/AL-MOHA</t>
        </is>
      </c>
    </row>
    <row r="385" ht="22" customHeight="1">
      <c r="C385" t="inlineStr">
        <is>
          <t>0120187/ASA</t>
        </is>
      </c>
    </row>
    <row r="386" ht="22" customHeight="1">
      <c r="C386" t="inlineStr">
        <is>
          <t>0120186/CYJK</t>
        </is>
      </c>
    </row>
    <row r="387" ht="22" customHeight="1">
      <c r="C387" t="inlineStr">
        <is>
          <t>0084901 FAIZ</t>
        </is>
      </c>
    </row>
    <row r="388" ht="22" customHeight="1">
      <c r="C388" t="inlineStr">
        <is>
          <t>0120104CYJ</t>
        </is>
      </c>
    </row>
    <row r="389" ht="22" customHeight="1">
      <c r="C389" t="inlineStr">
        <is>
          <t>0120101MZONE</t>
        </is>
      </c>
    </row>
    <row r="390" ht="22" customHeight="1">
      <c r="C390" t="inlineStr">
        <is>
          <t>120118SFF</t>
        </is>
      </c>
    </row>
    <row r="391" ht="22" customHeight="1">
      <c r="C391" t="inlineStr">
        <is>
          <t>0120112-SF</t>
        </is>
      </c>
    </row>
    <row r="392" ht="22" customHeight="1">
      <c r="C392" t="inlineStr">
        <is>
          <t>0120113SFF</t>
        </is>
      </c>
    </row>
    <row r="393" ht="22" customHeight="1">
      <c r="C393" t="inlineStr">
        <is>
          <t>0120062SFFM1</t>
        </is>
      </c>
    </row>
    <row r="394" ht="22" customHeight="1">
      <c r="C394" t="inlineStr">
        <is>
          <t>0120127MZONE</t>
        </is>
      </c>
    </row>
    <row r="395" ht="22" customHeight="1">
      <c r="C395" t="inlineStr">
        <is>
          <t>0120111-S</t>
        </is>
      </c>
    </row>
    <row r="396" ht="22" customHeight="1">
      <c r="C396" t="inlineStr">
        <is>
          <t>0120071/LZY</t>
        </is>
      </c>
    </row>
    <row r="397" ht="22" customHeight="1">
      <c r="C397" t="inlineStr">
        <is>
          <t>0120069/JACK116</t>
        </is>
      </c>
    </row>
    <row r="398" ht="22" customHeight="1">
      <c r="C398" t="inlineStr">
        <is>
          <t>SEZAR 0084916</t>
        </is>
      </c>
    </row>
    <row r="399" ht="22" customHeight="1">
      <c r="C399" t="inlineStr">
        <is>
          <t>0084920 WZC</t>
        </is>
      </c>
    </row>
    <row r="400" ht="22" customHeight="1">
      <c r="C400" t="inlineStr">
        <is>
          <t>XCXC-YGMD009</t>
        </is>
      </c>
    </row>
    <row r="401" ht="22" customHeight="1">
      <c r="C401" t="inlineStr">
        <is>
          <t>XCXC-YGMD010</t>
        </is>
      </c>
    </row>
    <row r="402" ht="22" customHeight="1">
      <c r="C402" t="inlineStr">
        <is>
          <t>夏天vicky</t>
        </is>
      </c>
    </row>
    <row r="403" ht="22" customHeight="1">
      <c r="C403" t="inlineStr">
        <is>
          <t>WZC</t>
        </is>
      </c>
    </row>
    <row r="404" ht="22" customHeight="1">
      <c r="C404" t="inlineStr">
        <is>
          <t>SH333</t>
        </is>
      </c>
    </row>
    <row r="405" ht="22" customHeight="1">
      <c r="C405" t="inlineStr">
        <is>
          <t>0120145/JACK116</t>
        </is>
      </c>
    </row>
    <row r="406" ht="22" customHeight="1">
      <c r="C406" t="inlineStr">
        <is>
          <t>SEZAR 0084925</t>
        </is>
      </c>
    </row>
    <row r="407" ht="22" customHeight="1">
      <c r="C407" t="inlineStr">
        <is>
          <t>SEZAR 0084927</t>
        </is>
      </c>
    </row>
    <row r="408" ht="22" customHeight="1">
      <c r="C408" t="inlineStr">
        <is>
          <t>0120148/NC-156</t>
        </is>
      </c>
    </row>
    <row r="409" ht="22" customHeight="1">
      <c r="C409" t="inlineStr">
        <is>
          <t>SEZAR 0084930</t>
        </is>
      </c>
    </row>
    <row r="410" ht="22" customHeight="1">
      <c r="C410" t="inlineStr">
        <is>
          <t>SEZAR 0084932</t>
        </is>
      </c>
    </row>
    <row r="411" ht="22" customHeight="1">
      <c r="C411" t="inlineStr">
        <is>
          <t>MZONE 0084931</t>
        </is>
      </c>
    </row>
    <row r="412" ht="22" customHeight="1">
      <c r="C412" t="inlineStr">
        <is>
          <t>0119210/CYJ</t>
        </is>
      </c>
    </row>
    <row r="413" ht="22" customHeight="1">
      <c r="C413" t="inlineStr">
        <is>
          <t>0119225/MZONE</t>
        </is>
      </c>
    </row>
    <row r="414" ht="22" customHeight="1">
      <c r="C414" t="inlineStr">
        <is>
          <t>0119206/SS</t>
        </is>
      </c>
    </row>
    <row r="415" ht="22" customHeight="1">
      <c r="C415" t="inlineStr">
        <is>
          <t>0084935 SURFACE</t>
        </is>
      </c>
    </row>
    <row r="416" ht="22" customHeight="1">
      <c r="C416" t="inlineStr">
        <is>
          <t>0119231/CYJ</t>
        </is>
      </c>
    </row>
    <row r="417" ht="22" customHeight="1">
      <c r="C417" t="inlineStr">
        <is>
          <t>MZONE 0084939</t>
        </is>
      </c>
    </row>
    <row r="418" ht="22" customHeight="1">
      <c r="C418" t="inlineStr">
        <is>
          <t>SEZAR 0084940</t>
        </is>
      </c>
    </row>
    <row r="419" ht="22" customHeight="1">
      <c r="C419" t="inlineStr">
        <is>
          <t>0119237/KJ8972</t>
        </is>
      </c>
    </row>
    <row r="420" ht="22" customHeight="1">
      <c r="C420" t="inlineStr">
        <is>
          <t>0119236/EMIL</t>
        </is>
      </c>
    </row>
    <row r="421" ht="22" customHeight="1">
      <c r="C421" t="inlineStr">
        <is>
          <t>SH333-SEA</t>
        </is>
      </c>
    </row>
    <row r="422" ht="22" customHeight="1">
      <c r="C422" t="inlineStr">
        <is>
          <t>SEZAR 0084943</t>
        </is>
      </c>
    </row>
    <row r="423" ht="22" customHeight="1">
      <c r="C423" t="inlineStr">
        <is>
          <t>0119254/JACK116</t>
        </is>
      </c>
    </row>
    <row r="424" ht="22" customHeight="1">
      <c r="C424" t="inlineStr">
        <is>
          <t>0119263/CYJ</t>
        </is>
      </c>
    </row>
    <row r="425" ht="22" customHeight="1">
      <c r="C425" t="inlineStr">
        <is>
          <t>0119232/LZY</t>
        </is>
      </c>
    </row>
    <row r="426" ht="22" customHeight="1">
      <c r="C426" t="inlineStr">
        <is>
          <t>0119249/KJ8972</t>
        </is>
      </c>
    </row>
    <row r="427" ht="22" customHeight="1">
      <c r="C427" t="inlineStr">
        <is>
          <t>0119271/MOHAMMME DK</t>
        </is>
      </c>
    </row>
    <row r="428" ht="22" customHeight="1">
      <c r="C428" t="inlineStr">
        <is>
          <t>0119285/MZONE</t>
        </is>
      </c>
    </row>
    <row r="429" ht="22" customHeight="1">
      <c r="C429" t="inlineStr">
        <is>
          <t>0119291/JACK116</t>
        </is>
      </c>
    </row>
    <row r="430" ht="22" customHeight="1">
      <c r="C430" t="inlineStr">
        <is>
          <t>0130953/CYJ</t>
        </is>
      </c>
    </row>
    <row r="431" ht="22" customHeight="1">
      <c r="C431" t="inlineStr">
        <is>
          <t>0119290/MMRR</t>
        </is>
      </c>
    </row>
    <row r="432" ht="22" customHeight="1">
      <c r="C432" t="inlineStr">
        <is>
          <t>0130952/WHF</t>
        </is>
      </c>
    </row>
    <row r="433" ht="22" customHeight="1">
      <c r="C433" t="inlineStr">
        <is>
          <t>0130965/JACK116</t>
        </is>
      </c>
    </row>
    <row r="434" ht="22" customHeight="1">
      <c r="C434" t="inlineStr">
        <is>
          <t>0130966/WHD-001</t>
        </is>
      </c>
    </row>
    <row r="435" ht="22" customHeight="1">
      <c r="C435" t="inlineStr">
        <is>
          <t>0130964/FAY</t>
        </is>
      </c>
    </row>
    <row r="436" ht="22" customHeight="1">
      <c r="C436" t="inlineStr">
        <is>
          <t>0130984/SFF</t>
        </is>
      </c>
    </row>
    <row r="437" ht="22" customHeight="1">
      <c r="C437" t="inlineStr">
        <is>
          <t>0130991/CYJ</t>
        </is>
      </c>
    </row>
    <row r="438" ht="22" customHeight="1">
      <c r="C438" t="inlineStr">
        <is>
          <t>0130993/MOHAMMEDK</t>
        </is>
      </c>
    </row>
    <row r="439" ht="22" customHeight="1">
      <c r="C439" t="inlineStr">
        <is>
          <t>0130992/EMIL</t>
        </is>
      </c>
    </row>
    <row r="440" ht="22" customHeight="1">
      <c r="C440" t="inlineStr">
        <is>
          <t>0119166/JACK116</t>
        </is>
      </c>
    </row>
    <row r="441" ht="22" customHeight="1">
      <c r="C441" t="inlineStr">
        <is>
          <t>0119168/SF-1</t>
        </is>
      </c>
    </row>
    <row r="442" ht="22" customHeight="1">
      <c r="C442" t="inlineStr">
        <is>
          <t>0119167/SFF</t>
        </is>
      </c>
    </row>
    <row r="443" ht="22" customHeight="1">
      <c r="C443" t="inlineStr">
        <is>
          <t>SDGYL--PZ 0675922</t>
        </is>
      </c>
    </row>
    <row r="444" ht="22" customHeight="1">
      <c r="C444" t="inlineStr">
        <is>
          <t>0119165/WHD</t>
        </is>
      </c>
    </row>
    <row r="445" ht="22" customHeight="1">
      <c r="C445" t="inlineStr">
        <is>
          <t>XCXC-YGMD011</t>
        </is>
      </c>
    </row>
    <row r="446" ht="22" customHeight="1">
      <c r="C446" t="inlineStr">
        <is>
          <t>0119185/CYJF</t>
        </is>
      </c>
    </row>
    <row r="447" ht="22" customHeight="1">
      <c r="C447" t="inlineStr">
        <is>
          <t>250720BY-YF</t>
        </is>
      </c>
    </row>
    <row r="448" ht="22" customHeight="1">
      <c r="C448" t="inlineStr">
        <is>
          <t>0119186/MMRR</t>
        </is>
      </c>
    </row>
    <row r="449" ht="22" customHeight="1">
      <c r="C449" t="inlineStr">
        <is>
          <t>0119113/JACK116</t>
        </is>
      </c>
    </row>
    <row r="450" ht="22" customHeight="1">
      <c r="C450" t="inlineStr">
        <is>
          <t>0119112/WJG</t>
        </is>
      </c>
    </row>
    <row r="451" ht="22" customHeight="1">
      <c r="C451" t="inlineStr">
        <is>
          <t>0119130/CYJ</t>
        </is>
      </c>
    </row>
    <row r="452" ht="22" customHeight="1">
      <c r="C452" t="inlineStr">
        <is>
          <t>0119148/CYJ</t>
        </is>
      </c>
    </row>
    <row r="453" ht="22" customHeight="1">
      <c r="C453" t="inlineStr">
        <is>
          <t>0119114/WJG</t>
        </is>
      </c>
    </row>
    <row r="454" ht="22" customHeight="1">
      <c r="C454" t="inlineStr">
        <is>
          <t>0119110/SH333</t>
        </is>
      </c>
    </row>
    <row r="455" ht="22" customHeight="1">
      <c r="C455" t="inlineStr">
        <is>
          <t>0119111/SH333</t>
        </is>
      </c>
    </row>
    <row r="456" ht="22" customHeight="1">
      <c r="C456" t="inlineStr">
        <is>
          <t>0119147/MMRR</t>
        </is>
      </c>
    </row>
    <row r="457" ht="22" customHeight="1">
      <c r="C457" t="inlineStr">
        <is>
          <t>0119057/WHD-001</t>
        </is>
      </c>
    </row>
    <row r="458" ht="22" customHeight="1">
      <c r="C458" t="inlineStr">
        <is>
          <t>0119015/SF</t>
        </is>
      </c>
    </row>
    <row r="459" ht="22" customHeight="1">
      <c r="C459" t="inlineStr">
        <is>
          <t>0119013/ASA</t>
        </is>
      </c>
    </row>
    <row r="460" ht="22" customHeight="1">
      <c r="C460" t="inlineStr">
        <is>
          <t>0119039/YF</t>
        </is>
      </c>
    </row>
    <row r="461" ht="22" customHeight="1">
      <c r="C461" t="inlineStr">
        <is>
          <t>0119035/SFF</t>
        </is>
      </c>
    </row>
    <row r="462" ht="22" customHeight="1">
      <c r="C462" t="inlineStr">
        <is>
          <t>251113BY-JACK116</t>
        </is>
      </c>
    </row>
    <row r="463" ht="22" customHeight="1">
      <c r="C463" t="inlineStr">
        <is>
          <t>0119031/CYJ</t>
        </is>
      </c>
    </row>
    <row r="464" ht="22" customHeight="1">
      <c r="C464" t="n">
        <v>113468</v>
      </c>
    </row>
    <row r="465" ht="22" customHeight="1">
      <c r="C465" t="inlineStr">
        <is>
          <t>0119034/WJG</t>
        </is>
      </c>
    </row>
    <row r="466" ht="22" customHeight="1">
      <c r="C466" t="inlineStr">
        <is>
          <t>0119032/EMIL</t>
        </is>
      </c>
    </row>
    <row r="467" ht="22" customHeight="1">
      <c r="C467" t="inlineStr">
        <is>
          <t>0119030/MMRR</t>
        </is>
      </c>
    </row>
    <row r="468" ht="22" customHeight="1">
      <c r="C468" t="n">
        <v>119010</v>
      </c>
    </row>
    <row r="469" ht="22" customHeight="1">
      <c r="C469" t="inlineStr">
        <is>
          <t>0119066/LZY-F</t>
        </is>
      </c>
    </row>
    <row r="470" ht="22" customHeight="1">
      <c r="C470" t="inlineStr">
        <is>
          <t>0119050/LZY</t>
        </is>
      </c>
    </row>
    <row r="471" ht="22" customHeight="1">
      <c r="C471" t="inlineStr">
        <is>
          <t>0119087/MOMO</t>
        </is>
      </c>
    </row>
    <row r="472" ht="22" customHeight="1">
      <c r="C472" t="inlineStr">
        <is>
          <t>MZONE 0084982</t>
        </is>
      </c>
    </row>
    <row r="473" ht="22" customHeight="1">
      <c r="C473" t="inlineStr">
        <is>
          <t>0119067/CYJ</t>
        </is>
      </c>
    </row>
    <row r="474" ht="22" customHeight="1">
      <c r="C474" t="inlineStr">
        <is>
          <t>0119098/CYJ</t>
        </is>
      </c>
    </row>
    <row r="475" ht="22" customHeight="1">
      <c r="C475" t="inlineStr">
        <is>
          <t>SEZAR 0084985</t>
        </is>
      </c>
    </row>
    <row r="476" ht="22" customHeight="1">
      <c r="C476" t="inlineStr">
        <is>
          <t>XCXC-YGMD012</t>
        </is>
      </c>
    </row>
    <row r="477" ht="22" customHeight="1">
      <c r="C477" t="inlineStr">
        <is>
          <t>0114720/SFF</t>
        </is>
      </c>
    </row>
    <row r="478" ht="22" customHeight="1">
      <c r="C478" t="inlineStr">
        <is>
          <t>114664 MVW</t>
        </is>
      </c>
    </row>
    <row r="479" ht="22" customHeight="1">
      <c r="C479" t="inlineStr">
        <is>
          <t>0114713/WHD-001</t>
        </is>
      </c>
    </row>
    <row r="480" ht="22" customHeight="1">
      <c r="C480" t="inlineStr">
        <is>
          <t>0114711/MMRR</t>
        </is>
      </c>
    </row>
    <row r="481" ht="22" customHeight="1">
      <c r="C481" t="inlineStr">
        <is>
          <t>0114712/WJG</t>
        </is>
      </c>
    </row>
    <row r="482" ht="22" customHeight="1">
      <c r="C482" t="inlineStr">
        <is>
          <t>0114730/SH333</t>
        </is>
      </c>
    </row>
    <row r="483" ht="22" customHeight="1">
      <c r="C483" t="inlineStr">
        <is>
          <t>MZONE 0084997</t>
        </is>
      </c>
    </row>
    <row r="484" ht="22" customHeight="1">
      <c r="C484" t="inlineStr">
        <is>
          <t>SEZAR 0084996</t>
        </is>
      </c>
    </row>
    <row r="485" ht="22" customHeight="1">
      <c r="C485" t="inlineStr">
        <is>
          <t>0118957/ANA</t>
        </is>
      </c>
    </row>
    <row r="486" ht="22" customHeight="1">
      <c r="C486" t="inlineStr">
        <is>
          <t>0118956/ANAF</t>
        </is>
      </c>
    </row>
    <row r="487" ht="22" customHeight="1">
      <c r="C487" t="inlineStr">
        <is>
          <t>0118911/MZONE</t>
        </is>
      </c>
    </row>
    <row r="488" ht="22" customHeight="1">
      <c r="C488" t="inlineStr">
        <is>
          <t>0118955/CYJ</t>
        </is>
      </c>
    </row>
    <row r="489" ht="22" customHeight="1">
      <c r="C489" t="inlineStr">
        <is>
          <t>0118959/OPPO</t>
        </is>
      </c>
    </row>
    <row r="490" ht="22" customHeight="1">
      <c r="C490" t="inlineStr">
        <is>
          <t>0118958/MOHAMMME DK</t>
        </is>
      </c>
    </row>
    <row r="491" ht="22" customHeight="1">
      <c r="C491" t="inlineStr">
        <is>
          <t>0118954/QA</t>
        </is>
      </c>
    </row>
    <row r="492" ht="22" customHeight="1">
      <c r="C492" t="inlineStr">
        <is>
          <t>0118935/MMRR</t>
        </is>
      </c>
    </row>
    <row r="493" ht="22" customHeight="1">
      <c r="C493" t="inlineStr">
        <is>
          <t>0118936/WJG</t>
        </is>
      </c>
    </row>
    <row r="494" ht="22" customHeight="1">
      <c r="C494" t="inlineStr">
        <is>
          <t>0118937/WHD</t>
        </is>
      </c>
    </row>
    <row r="495" ht="22" customHeight="1">
      <c r="C495" t="inlineStr">
        <is>
          <t>0118919/SFF</t>
        </is>
      </c>
    </row>
    <row r="496" ht="22" customHeight="1">
      <c r="C496" t="inlineStr">
        <is>
          <t>DQ060</t>
        </is>
      </c>
    </row>
    <row r="497" ht="22" customHeight="1">
      <c r="C497" t="inlineStr">
        <is>
          <t>MZONE 0085006</t>
        </is>
      </c>
    </row>
    <row r="498" ht="22" customHeight="1">
      <c r="C498" t="inlineStr">
        <is>
          <t>SEZAR 0085007</t>
        </is>
      </c>
    </row>
    <row r="499" ht="22" customHeight="1">
      <c r="C499" t="inlineStr">
        <is>
          <t>0118972/SF</t>
        </is>
      </c>
    </row>
    <row r="500" ht="22" customHeight="1">
      <c r="C500" t="inlineStr">
        <is>
          <t>0118966/CYJ</t>
        </is>
      </c>
    </row>
    <row r="501" ht="22" customHeight="1">
      <c r="C501" t="inlineStr">
        <is>
          <t>DL/01612</t>
        </is>
      </c>
    </row>
    <row r="502" ht="22" customHeight="1">
      <c r="C502" t="inlineStr">
        <is>
          <t>114640MVW</t>
        </is>
      </c>
    </row>
    <row r="503" ht="22" customHeight="1">
      <c r="C503" t="inlineStr">
        <is>
          <t>0118927/MZONE</t>
        </is>
      </c>
    </row>
    <row r="504" ht="22" customHeight="1">
      <c r="C504" t="inlineStr">
        <is>
          <t>LX001</t>
        </is>
      </c>
    </row>
    <row r="505" ht="22" customHeight="1">
      <c r="C505" t="inlineStr">
        <is>
          <t>0118989MZONE</t>
        </is>
      </c>
    </row>
    <row r="506" ht="22" customHeight="1">
      <c r="C506" t="inlineStr">
        <is>
          <t>0119963SFF</t>
        </is>
      </c>
    </row>
    <row r="507" ht="22" customHeight="1">
      <c r="C507" t="inlineStr">
        <is>
          <t>0119965MZONE</t>
        </is>
      </c>
    </row>
    <row r="508" ht="22" customHeight="1">
      <c r="C508" t="inlineStr">
        <is>
          <t>0119972/ZOE</t>
        </is>
      </c>
    </row>
    <row r="509" ht="22" customHeight="1">
      <c r="C509" t="inlineStr">
        <is>
          <t>0120021ASAF</t>
        </is>
      </c>
    </row>
    <row r="510" ht="22" customHeight="1">
      <c r="C510" t="inlineStr">
        <is>
          <t>0120048/YF</t>
        </is>
      </c>
    </row>
    <row r="511" ht="22" customHeight="1">
      <c r="C511" t="inlineStr">
        <is>
          <t>0120013GFT</t>
        </is>
      </c>
    </row>
    <row r="512" ht="22" customHeight="1">
      <c r="C512" t="inlineStr">
        <is>
          <t>114556,MVW</t>
        </is>
      </c>
    </row>
    <row r="513" ht="22" customHeight="1">
      <c r="C513" t="inlineStr">
        <is>
          <t>0119962AHMAD</t>
        </is>
      </c>
    </row>
    <row r="514" ht="22" customHeight="1">
      <c r="C514" t="inlineStr">
        <is>
          <t>0120036EMIL</t>
        </is>
      </c>
    </row>
    <row r="515" ht="22" customHeight="1">
      <c r="C515" t="inlineStr">
        <is>
          <t>0120033QA</t>
        </is>
      </c>
    </row>
    <row r="516" ht="22" customHeight="1">
      <c r="C516" t="inlineStr">
        <is>
          <t>0120035QA</t>
        </is>
      </c>
    </row>
    <row r="517" ht="22" customHeight="1">
      <c r="C517" t="inlineStr">
        <is>
          <t>0119973/ZOE</t>
        </is>
      </c>
    </row>
    <row r="518" ht="22" customHeight="1">
      <c r="C518" t="inlineStr">
        <is>
          <t>0119966/ZOE</t>
        </is>
      </c>
    </row>
    <row r="519" ht="22" customHeight="1">
      <c r="C519" t="inlineStr">
        <is>
          <t>0120034/ZOE</t>
        </is>
      </c>
    </row>
    <row r="520" ht="22" customHeight="1">
      <c r="C520" t="inlineStr">
        <is>
          <t>MZONE 0085023</t>
        </is>
      </c>
    </row>
    <row r="521" ht="22" customHeight="1">
      <c r="C521" t="inlineStr">
        <is>
          <t>0119999/SF</t>
        </is>
      </c>
    </row>
    <row r="522" ht="22" customHeight="1">
      <c r="C522" t="inlineStr">
        <is>
          <t>0118818/SFF</t>
        </is>
      </c>
    </row>
    <row r="523" ht="22" customHeight="1">
      <c r="C523" t="inlineStr">
        <is>
          <t>0118820/LZY-F</t>
        </is>
      </c>
    </row>
    <row r="524" ht="22" customHeight="1">
      <c r="C524" t="inlineStr">
        <is>
          <t>114598,MVW</t>
        </is>
      </c>
    </row>
    <row r="525" ht="22" customHeight="1">
      <c r="C525" t="inlineStr">
        <is>
          <t>0118801/GFT</t>
        </is>
      </c>
    </row>
    <row r="526" ht="22" customHeight="1">
      <c r="C526" t="inlineStr">
        <is>
          <t>0119996/GFT-3</t>
        </is>
      </c>
    </row>
    <row r="527" ht="22" customHeight="1">
      <c r="C527" t="inlineStr">
        <is>
          <t>0119995/GFT/1-2</t>
        </is>
      </c>
    </row>
    <row r="528" ht="22" customHeight="1">
      <c r="C528" t="inlineStr">
        <is>
          <t>0119992/HESSA</t>
        </is>
      </c>
    </row>
    <row r="529" ht="22" customHeight="1">
      <c r="C529" t="inlineStr">
        <is>
          <t>0119990/GFT</t>
        </is>
      </c>
    </row>
    <row r="530" ht="22" customHeight="1">
      <c r="C530" t="inlineStr">
        <is>
          <t>0118826/SF</t>
        </is>
      </c>
    </row>
    <row r="531" ht="22" customHeight="1">
      <c r="C531" t="inlineStr">
        <is>
          <t>0118828/MZONE</t>
        </is>
      </c>
    </row>
    <row r="532" ht="22" customHeight="1">
      <c r="C532" t="inlineStr">
        <is>
          <t>MZONE 0085028</t>
        </is>
      </c>
    </row>
    <row r="533" ht="22" customHeight="1">
      <c r="C533" t="inlineStr">
        <is>
          <t>SDGYL-0407HK-DL</t>
        </is>
      </c>
    </row>
    <row r="534" ht="22" customHeight="1">
      <c r="C534" t="inlineStr">
        <is>
          <t>0118834
/RJS</t>
        </is>
      </c>
    </row>
    <row r="535" ht="22" customHeight="1">
      <c r="C535" t="inlineStr">
        <is>
          <t>0118832/MMRR</t>
        </is>
      </c>
    </row>
    <row r="536" ht="22" customHeight="1">
      <c r="C536" t="inlineStr">
        <is>
          <t>0118831/CYJ</t>
        </is>
      </c>
    </row>
    <row r="537" ht="22" customHeight="1">
      <c r="C537" t="inlineStr">
        <is>
          <t>114515 MVW</t>
        </is>
      </c>
    </row>
    <row r="538" ht="22" customHeight="1">
      <c r="C538" t="inlineStr">
        <is>
          <t>0118882/SF</t>
        </is>
      </c>
    </row>
    <row r="539" ht="22" customHeight="1">
      <c r="C539" t="inlineStr">
        <is>
          <t>0118879/JACK116</t>
        </is>
      </c>
    </row>
    <row r="540" ht="22" customHeight="1">
      <c r="C540" t="inlineStr">
        <is>
          <t>250618-MZONE</t>
        </is>
      </c>
    </row>
    <row r="541" ht="22" customHeight="1">
      <c r="C541" t="inlineStr">
        <is>
          <t>0654764/ALI</t>
        </is>
      </c>
    </row>
    <row r="542" ht="22" customHeight="1">
      <c r="C542" t="inlineStr">
        <is>
          <t>0118875/GFT</t>
        </is>
      </c>
    </row>
    <row r="543" ht="22" customHeight="1">
      <c r="C543" t="inlineStr">
        <is>
          <t>114537,MVW</t>
        </is>
      </c>
    </row>
    <row r="544" ht="22" customHeight="1">
      <c r="C544" t="inlineStr">
        <is>
          <t>0118877/ANA</t>
        </is>
      </c>
    </row>
    <row r="545" ht="22" customHeight="1">
      <c r="C545" t="inlineStr">
        <is>
          <t>0118880/WD</t>
        </is>
      </c>
    </row>
    <row r="546" ht="22" customHeight="1">
      <c r="C546" t="inlineStr">
        <is>
          <t>FBA15LN3K0JQ</t>
        </is>
      </c>
    </row>
    <row r="547" ht="22" customHeight="1">
      <c r="C547" t="inlineStr">
        <is>
          <t>FBA15LN3T83Y</t>
        </is>
      </c>
    </row>
    <row r="548" ht="22" customHeight="1">
      <c r="C548" t="inlineStr">
        <is>
          <t>FBA15LN4N5NM</t>
        </is>
      </c>
    </row>
    <row r="549" ht="22" customHeight="1">
      <c r="C549" t="inlineStr">
        <is>
          <t>FBA15LN3MQH9</t>
        </is>
      </c>
    </row>
    <row r="550" ht="22" customHeight="1">
      <c r="C550" t="inlineStr">
        <is>
          <t>260410BY-DL</t>
        </is>
      </c>
    </row>
    <row r="551" ht="22" customHeight="1">
      <c r="C551" t="inlineStr">
        <is>
          <t>MZONE 0085040</t>
        </is>
      </c>
    </row>
    <row r="552" ht="22" customHeight="1">
      <c r="C552" t="inlineStr">
        <is>
          <t>MZONE 0085039</t>
        </is>
      </c>
    </row>
    <row r="553" ht="22" customHeight="1">
      <c r="C553" t="inlineStr">
        <is>
          <t>114456 MVW</t>
        </is>
      </c>
    </row>
    <row r="554" ht="22" customHeight="1">
      <c r="C554" t="inlineStr">
        <is>
          <t>0119918/101</t>
        </is>
      </c>
    </row>
    <row r="555" ht="22" customHeight="1">
      <c r="C555" t="inlineStr">
        <is>
          <t>0119917/WHD-101</t>
        </is>
      </c>
    </row>
    <row r="556" ht="22" customHeight="1">
      <c r="C556" t="inlineStr">
        <is>
          <t>0119916/KJ8972</t>
        </is>
      </c>
    </row>
    <row r="557" ht="22" customHeight="1">
      <c r="C557" t="inlineStr">
        <is>
          <t>CYJKSA</t>
        </is>
      </c>
    </row>
    <row r="558" ht="22" customHeight="1">
      <c r="C558" t="inlineStr">
        <is>
          <t>0119944/SF</t>
        </is>
      </c>
    </row>
    <row r="559" ht="22" customHeight="1">
      <c r="C559" t="inlineStr">
        <is>
          <t>0118709/ANA</t>
        </is>
      </c>
    </row>
    <row r="560" ht="22" customHeight="1">
      <c r="C560" t="inlineStr">
        <is>
          <t>0118724/MZONE</t>
        </is>
      </c>
    </row>
    <row r="561" ht="22" customHeight="1">
      <c r="C561" t="inlineStr">
        <is>
          <t>0085046 SEZAR</t>
        </is>
      </c>
    </row>
    <row r="562" ht="22" customHeight="1">
      <c r="C562" t="inlineStr">
        <is>
          <t>0118710/LZY</t>
        </is>
      </c>
    </row>
    <row r="563" ht="22" customHeight="1">
      <c r="C563" t="inlineStr">
        <is>
          <t>0118706/RJS
收货人ABH 0521737602</t>
        </is>
      </c>
    </row>
    <row r="564" ht="22" customHeight="1">
      <c r="C564" t="inlineStr">
        <is>
          <t>0118705/QA</t>
        </is>
      </c>
    </row>
    <row r="565" ht="22" customHeight="1">
      <c r="C565" t="inlineStr">
        <is>
          <t>0118704/MMRR</t>
        </is>
      </c>
    </row>
    <row r="566" ht="22" customHeight="1">
      <c r="C566" t="inlineStr">
        <is>
          <t>XCXC-YGMD013</t>
        </is>
      </c>
    </row>
    <row r="567" ht="22" customHeight="1">
      <c r="C567" t="inlineStr">
        <is>
          <t>0118747CYJ</t>
        </is>
      </c>
    </row>
    <row r="568" ht="22" customHeight="1">
      <c r="C568" t="inlineStr">
        <is>
          <t>250822BY-SF-1</t>
        </is>
      </c>
    </row>
    <row r="569" ht="22" customHeight="1">
      <c r="C569" t="inlineStr">
        <is>
          <t>260410BY-MZONE</t>
        </is>
      </c>
    </row>
    <row r="570" ht="22" customHeight="1">
      <c r="C570" t="inlineStr">
        <is>
          <t>0118742WHF</t>
        </is>
      </c>
    </row>
    <row r="571" ht="22" customHeight="1">
      <c r="C571" t="inlineStr">
        <is>
          <t>0119801/GFT</t>
        </is>
      </c>
    </row>
    <row r="572" ht="22" customHeight="1">
      <c r="C572" t="inlineStr">
        <is>
          <t>0118708/ZOE</t>
        </is>
      </c>
    </row>
    <row r="573" ht="22" customHeight="1">
      <c r="C573" t="inlineStr">
        <is>
          <t>0118707/ABT972</t>
        </is>
      </c>
    </row>
    <row r="574" ht="22" customHeight="1">
      <c r="C574" t="inlineStr">
        <is>
          <t>GFT</t>
        </is>
      </c>
    </row>
    <row r="575" ht="22" customHeight="1">
      <c r="C575" t="inlineStr">
        <is>
          <t>0119808GFT</t>
        </is>
      </c>
    </row>
    <row r="576" ht="22" customHeight="1">
      <c r="C576" t="inlineStr">
        <is>
          <t>BY-MCT</t>
        </is>
      </c>
    </row>
    <row r="577" ht="22" customHeight="1">
      <c r="C577" t="inlineStr">
        <is>
          <t>MCT/9856</t>
        </is>
      </c>
    </row>
    <row r="578" ht="22" customHeight="1">
      <c r="C578" t="inlineStr">
        <is>
          <t>0119858/RJS/ABH
收货人ABH 0521737602</t>
        </is>
      </c>
    </row>
    <row r="579" ht="22" customHeight="1">
      <c r="C579" t="inlineStr">
        <is>
          <t>0119886BY-SF</t>
        </is>
      </c>
    </row>
    <row r="580" ht="22" customHeight="1">
      <c r="C580" t="inlineStr">
        <is>
          <t>0119882JACK116</t>
        </is>
      </c>
    </row>
    <row r="581" ht="22" customHeight="1">
      <c r="C581" t="inlineStr">
        <is>
          <t>0119826ZOE</t>
        </is>
      </c>
    </row>
    <row r="582" ht="22" customHeight="1">
      <c r="C582" t="inlineStr">
        <is>
          <t>0119880GFT</t>
        </is>
      </c>
    </row>
    <row r="583" ht="22" customHeight="1">
      <c r="C583" t="inlineStr">
        <is>
          <t>0119870ANA</t>
        </is>
      </c>
    </row>
    <row r="584" ht="22" customHeight="1">
      <c r="C584" t="inlineStr">
        <is>
          <t>0085061 IRFAN</t>
        </is>
      </c>
    </row>
    <row r="585" ht="22" customHeight="1">
      <c r="C585" t="inlineStr">
        <is>
          <t>0119881RJS
收货人ABH0521737602</t>
        </is>
      </c>
    </row>
    <row r="586" ht="22" customHeight="1">
      <c r="C586" t="inlineStr">
        <is>
          <t>0119883-SH</t>
        </is>
      </c>
    </row>
    <row r="587" ht="22" customHeight="1">
      <c r="C587" t="inlineStr">
        <is>
          <t>0118657ASAF</t>
        </is>
      </c>
    </row>
    <row r="588" ht="22" customHeight="1">
      <c r="C588" t="inlineStr">
        <is>
          <t>0119889MZONE</t>
        </is>
      </c>
    </row>
    <row r="589" ht="22" customHeight="1">
      <c r="C589" t="inlineStr">
        <is>
          <t>MZONE 0085066</t>
        </is>
      </c>
    </row>
    <row r="590" ht="22" customHeight="1">
      <c r="C590" t="inlineStr">
        <is>
          <t>0118670/MZONE</t>
        </is>
      </c>
    </row>
    <row r="591" ht="22" customHeight="1">
      <c r="C591" t="inlineStr">
        <is>
          <t>0118656MMRR</t>
        </is>
      </c>
    </row>
    <row r="592" ht="22" customHeight="1">
      <c r="C592" t="inlineStr">
        <is>
          <t>0118658WHD-001</t>
        </is>
      </c>
    </row>
    <row r="593" ht="22" customHeight="1">
      <c r="C593" t="inlineStr">
        <is>
          <t>0119894VICKY</t>
        </is>
      </c>
    </row>
    <row r="594" ht="22" customHeight="1">
      <c r="C594" t="inlineStr">
        <is>
          <t>0118660WHF</t>
        </is>
      </c>
    </row>
    <row r="595" ht="22" customHeight="1">
      <c r="C595" t="inlineStr">
        <is>
          <t>0118655ASA</t>
        </is>
      </c>
    </row>
    <row r="596" ht="22" customHeight="1">
      <c r="C596" t="inlineStr">
        <is>
          <t>SEZAR 0085073</t>
        </is>
      </c>
    </row>
    <row r="597" ht="22" customHeight="1">
      <c r="C597" t="inlineStr">
        <is>
          <t>260417BY-DL</t>
        </is>
      </c>
    </row>
    <row r="598" ht="22" customHeight="1">
      <c r="C598" t="inlineStr">
        <is>
          <t>0118683/CYJ</t>
        </is>
      </c>
    </row>
    <row r="599" ht="22" customHeight="1">
      <c r="C599" t="inlineStr">
        <is>
          <t>115928,MVW</t>
        </is>
      </c>
    </row>
    <row r="600" ht="22" customHeight="1">
      <c r="C600" t="inlineStr">
        <is>
          <t>0118699/ZOE</t>
        </is>
      </c>
    </row>
    <row r="601" ht="22" customHeight="1">
      <c r="C601" t="inlineStr">
        <is>
          <t>0119782/SF</t>
        </is>
      </c>
    </row>
    <row r="602" ht="22" customHeight="1">
      <c r="C602" t="inlineStr">
        <is>
          <t>0119785/SFF</t>
        </is>
      </c>
    </row>
    <row r="603" ht="22" customHeight="1">
      <c r="C603" t="inlineStr">
        <is>
          <t>0119779/ANA</t>
        </is>
      </c>
    </row>
    <row r="604" ht="22" customHeight="1">
      <c r="C604" t="inlineStr">
        <is>
          <t>0119778/RJS
收货人ABH0521737602</t>
        </is>
      </c>
    </row>
    <row r="605" ht="22" customHeight="1">
      <c r="C605" t="inlineStr">
        <is>
          <t>0119776/QA</t>
        </is>
      </c>
    </row>
    <row r="606" ht="22" customHeight="1">
      <c r="C606" t="inlineStr">
        <is>
          <t>115941,MVW</t>
        </is>
      </c>
    </row>
    <row r="607" ht="22" customHeight="1">
      <c r="C607" t="inlineStr">
        <is>
          <t>0119775/CYJ</t>
        </is>
      </c>
    </row>
    <row r="608" ht="22" customHeight="1">
      <c r="C608" t="inlineStr">
        <is>
          <t>0085080 KJ8972</t>
        </is>
      </c>
    </row>
    <row r="609" ht="22" customHeight="1">
      <c r="C609" t="inlineStr">
        <is>
          <t>0085079 KJ8972</t>
        </is>
      </c>
    </row>
    <row r="610" ht="22" customHeight="1">
      <c r="C610" t="inlineStr">
        <is>
          <t>0085077 KJ8972</t>
        </is>
      </c>
    </row>
    <row r="611" ht="22" customHeight="1">
      <c r="C611" t="inlineStr">
        <is>
          <t>xcxc-QX-001</t>
        </is>
      </c>
    </row>
    <row r="612" ht="22" customHeight="1">
      <c r="C612" t="inlineStr">
        <is>
          <t>XCXC-QX-002</t>
        </is>
      </c>
    </row>
    <row r="613" ht="22" customHeight="1">
      <c r="C613" t="inlineStr">
        <is>
          <t>FBA15LPF43YL</t>
        </is>
      </c>
    </row>
    <row r="614" ht="22" customHeight="1">
      <c r="C614" t="inlineStr">
        <is>
          <t>FBA15LPF5SPG</t>
        </is>
      </c>
    </row>
    <row r="615" ht="22" customHeight="1">
      <c r="C615" t="inlineStr">
        <is>
          <t>SEZAR 0085088</t>
        </is>
      </c>
    </row>
    <row r="616" ht="22" customHeight="1">
      <c r="C616" t="inlineStr">
        <is>
          <t>XCXC-FUTU 单独报关</t>
        </is>
      </c>
    </row>
    <row r="617" ht="22" customHeight="1">
      <c r="C617" t="inlineStr">
        <is>
          <t>0119777/DAW</t>
        </is>
      </c>
    </row>
    <row r="618" ht="22" customHeight="1">
      <c r="C618" t="inlineStr">
        <is>
          <t>0118647/SF</t>
        </is>
      </c>
    </row>
    <row r="619" ht="22" customHeight="1">
      <c r="C619" t="inlineStr">
        <is>
          <t>0118646/SFF</t>
        </is>
      </c>
    </row>
    <row r="620" ht="22" customHeight="1">
      <c r="C620" t="inlineStr">
        <is>
          <t>MZONE 0085105</t>
        </is>
      </c>
    </row>
    <row r="621" ht="22" customHeight="1">
      <c r="C621" t="inlineStr">
        <is>
          <t>0117374/MZONE</t>
        </is>
      </c>
    </row>
    <row r="622" ht="22" customHeight="1">
      <c r="C622" t="inlineStr">
        <is>
          <t>0117370/MZONE</t>
        </is>
      </c>
    </row>
    <row r="623" ht="22" customHeight="1">
      <c r="C623" t="inlineStr">
        <is>
          <t>0118637LZY</t>
        </is>
      </c>
    </row>
    <row r="624" ht="22" customHeight="1">
      <c r="C624" t="inlineStr">
        <is>
          <t>0115852/MAQX</t>
        </is>
      </c>
    </row>
    <row r="625" ht="22" customHeight="1">
      <c r="C625" t="inlineStr">
        <is>
          <t>0118644/MAQX</t>
        </is>
      </c>
    </row>
    <row r="626" ht="22" customHeight="1">
      <c r="C626" t="inlineStr">
        <is>
          <t>115879,MVW</t>
        </is>
      </c>
    </row>
    <row r="627" ht="22" customHeight="1">
      <c r="C627" t="inlineStr">
        <is>
          <t>0085103 KJ8972</t>
        </is>
      </c>
    </row>
    <row r="628" ht="22" customHeight="1">
      <c r="C628" t="inlineStr">
        <is>
          <t>0117366/WD</t>
        </is>
      </c>
    </row>
    <row r="629" ht="22" customHeight="1">
      <c r="C629" t="inlineStr">
        <is>
          <t>0117367/ASA</t>
        </is>
      </c>
    </row>
    <row r="630" ht="22" customHeight="1">
      <c r="C630" t="inlineStr">
        <is>
          <t>117378/NC-172</t>
        </is>
      </c>
    </row>
    <row r="631" ht="22" customHeight="1">
      <c r="C631" t="inlineStr">
        <is>
          <t>117376/NC-165</t>
        </is>
      </c>
    </row>
    <row r="632" ht="22" customHeight="1">
      <c r="C632" t="inlineStr">
        <is>
          <t>117395/ANA</t>
        </is>
      </c>
    </row>
    <row r="633" ht="22" customHeight="1">
      <c r="C633" t="inlineStr">
        <is>
          <t>0117392/JACK116</t>
        </is>
      </c>
    </row>
    <row r="634" ht="22" customHeight="1">
      <c r="C634" t="inlineStr">
        <is>
          <t>0117393/QA</t>
        </is>
      </c>
    </row>
    <row r="635" ht="22" customHeight="1">
      <c r="C635" t="inlineStr">
        <is>
          <t>0654146/QA</t>
        </is>
      </c>
    </row>
    <row r="636" ht="22" customHeight="1">
      <c r="C636" t="inlineStr">
        <is>
          <t>0117396WHD</t>
        </is>
      </c>
    </row>
    <row r="637" ht="22" customHeight="1">
      <c r="C637" t="inlineStr">
        <is>
          <t>0117394/Z0E</t>
        </is>
      </c>
    </row>
    <row r="638" ht="22" customHeight="1">
      <c r="C638" t="inlineStr">
        <is>
          <t>0117390/EMIL</t>
        </is>
      </c>
    </row>
    <row r="639" ht="22" customHeight="1">
      <c r="C639" t="inlineStr">
        <is>
          <t>0117387ZABI</t>
        </is>
      </c>
    </row>
    <row r="640" ht="22" customHeight="1">
      <c r="C640" t="inlineStr">
        <is>
          <t>SF-SEA-10</t>
        </is>
      </c>
    </row>
    <row r="641" ht="22" customHeight="1">
      <c r="C641" t="inlineStr">
        <is>
          <t>FABRIC-PALLET</t>
        </is>
      </c>
    </row>
    <row r="642" ht="22" customHeight="1">
      <c r="C642" t="inlineStr">
        <is>
          <t>0117311/NC166</t>
        </is>
      </c>
    </row>
    <row r="643" ht="22" customHeight="1">
      <c r="C643" t="inlineStr">
        <is>
          <t>260422BY-MZONE</t>
        </is>
      </c>
    </row>
    <row r="644" ht="22" customHeight="1">
      <c r="C644" t="inlineStr">
        <is>
          <t>0117332/SF</t>
        </is>
      </c>
    </row>
    <row r="645" ht="22" customHeight="1">
      <c r="C645" t="inlineStr">
        <is>
          <t>260423BY-MZONE 0085111</t>
        </is>
      </c>
    </row>
    <row r="646" ht="22" customHeight="1">
      <c r="C646" t="inlineStr">
        <is>
          <t>0117346/MZONE</t>
        </is>
      </c>
    </row>
    <row r="647" ht="22" customHeight="1">
      <c r="C647" t="inlineStr">
        <is>
          <t>0117345/MZONE</t>
        </is>
      </c>
    </row>
    <row r="648" ht="22" customHeight="1">
      <c r="C648" t="inlineStr">
        <is>
          <t>0117335/QA</t>
        </is>
      </c>
    </row>
    <row r="649" ht="22" customHeight="1">
      <c r="C649" t="inlineStr">
        <is>
          <t>0117334/QA</t>
        </is>
      </c>
    </row>
    <row r="650" ht="22" customHeight="1">
      <c r="C650" t="inlineStr">
        <is>
          <t>0117330/WYJ</t>
        </is>
      </c>
    </row>
    <row r="651" ht="22" customHeight="1">
      <c r="C651" t="inlineStr">
        <is>
          <t>115815 MVW</t>
        </is>
      </c>
    </row>
    <row r="652" ht="22" customHeight="1">
      <c r="C652" t="inlineStr">
        <is>
          <t>0117269NC-175</t>
        </is>
      </c>
    </row>
    <row r="653" ht="22" customHeight="1">
      <c r="C653" t="inlineStr">
        <is>
          <t>0117251-SF</t>
        </is>
      </c>
    </row>
    <row r="654" ht="22" customHeight="1">
      <c r="C654" t="inlineStr">
        <is>
          <t>0085117 KJ8972</t>
        </is>
      </c>
    </row>
    <row r="655" ht="22" customHeight="1">
      <c r="C655" t="inlineStr">
        <is>
          <t>0115831/MVW</t>
        </is>
      </c>
    </row>
    <row r="656" ht="22" customHeight="1">
      <c r="C656" t="inlineStr">
        <is>
          <t>0085116 KJ8972</t>
        </is>
      </c>
    </row>
    <row r="657" ht="22" customHeight="1">
      <c r="C657" t="inlineStr">
        <is>
          <t>0117260/ZOE</t>
        </is>
      </c>
    </row>
    <row r="658" ht="22" customHeight="1">
      <c r="C658" t="inlineStr">
        <is>
          <t>0117261/QA</t>
        </is>
      </c>
    </row>
    <row r="659" ht="22" customHeight="1">
      <c r="C659" t="inlineStr">
        <is>
          <t>0117259/JACK116</t>
        </is>
      </c>
    </row>
    <row r="660" ht="22" customHeight="1">
      <c r="C660" t="inlineStr">
        <is>
          <t>0085119 KJ8972</t>
        </is>
      </c>
    </row>
    <row r="661" ht="22" customHeight="1">
      <c r="C661" t="inlineStr">
        <is>
          <t>0115821/D3PS</t>
        </is>
      </c>
    </row>
    <row r="662" ht="22" customHeight="1">
      <c r="C662" t="inlineStr">
        <is>
          <t>FBA15LQ21MXV</t>
        </is>
      </c>
    </row>
    <row r="663" ht="22" customHeight="1">
      <c r="C663" t="inlineStr">
        <is>
          <t>JYM188053913388
SEZAR</t>
        </is>
      </c>
    </row>
    <row r="664" ht="22" customHeight="1">
      <c r="C664" t="inlineStr">
        <is>
          <t>0118556NC239</t>
        </is>
      </c>
    </row>
    <row r="665" ht="22" customHeight="1">
      <c r="C665" t="inlineStr">
        <is>
          <t>0118560NC-222</t>
        </is>
      </c>
    </row>
    <row r="666" ht="22" customHeight="1">
      <c r="C666" t="inlineStr">
        <is>
          <t>0117349NC-214</t>
        </is>
      </c>
    </row>
    <row r="667" ht="22" customHeight="1">
      <c r="C667" t="inlineStr">
        <is>
          <t>0118561NC-182</t>
        </is>
      </c>
    </row>
    <row r="668" ht="22" customHeight="1">
      <c r="C668" t="inlineStr">
        <is>
          <t>0118570CYJ</t>
        </is>
      </c>
    </row>
    <row r="669" ht="22" customHeight="1">
      <c r="C669" t="inlineStr">
        <is>
          <t>SDGYL-250618BY-MZONE</t>
        </is>
      </c>
    </row>
    <row r="670" ht="22" customHeight="1">
      <c r="C670" t="inlineStr">
        <is>
          <t>114409 MVW</t>
        </is>
      </c>
    </row>
    <row r="671" ht="22" customHeight="1">
      <c r="C671" t="inlineStr">
        <is>
          <t>0117294/101</t>
        </is>
      </c>
    </row>
    <row r="672" ht="22" customHeight="1">
      <c r="C672" t="inlineStr">
        <is>
          <t>0117293/FY</t>
        </is>
      </c>
    </row>
    <row r="673" ht="22" customHeight="1">
      <c r="C673" t="inlineStr">
        <is>
          <t>0117391/COCO</t>
        </is>
      </c>
    </row>
    <row r="674" ht="22" customHeight="1">
      <c r="C674" t="inlineStr">
        <is>
          <t>0118552/FANG</t>
        </is>
      </c>
    </row>
    <row r="675" ht="22" customHeight="1">
      <c r="C675" t="inlineStr">
        <is>
          <t>SF-SEA-7</t>
        </is>
      </c>
    </row>
    <row r="676" ht="22" customHeight="1">
      <c r="C676" t="inlineStr">
        <is>
          <t>0118592/SF</t>
        </is>
      </c>
    </row>
    <row r="677" ht="22" customHeight="1">
      <c r="C677" t="inlineStr">
        <is>
          <t>PZ 0085126</t>
        </is>
      </c>
    </row>
    <row r="678" ht="22" customHeight="1">
      <c r="C678" t="inlineStr">
        <is>
          <t>0114429/MVW</t>
        </is>
      </c>
    </row>
    <row r="679" ht="22" customHeight="1">
      <c r="C679" t="inlineStr">
        <is>
          <t>0118588/FY</t>
        </is>
      </c>
    </row>
    <row r="680" ht="22" customHeight="1">
      <c r="C680" t="inlineStr">
        <is>
          <t>0118587/WJG</t>
        </is>
      </c>
    </row>
    <row r="681" ht="22" customHeight="1">
      <c r="C681" t="inlineStr">
        <is>
          <t>0118589/JACK116</t>
        </is>
      </c>
    </row>
    <row r="682" ht="22" customHeight="1">
      <c r="C682" t="inlineStr">
        <is>
          <t>0118510/LZY</t>
        </is>
      </c>
    </row>
    <row r="683" ht="22" customHeight="1">
      <c r="C683" t="inlineStr">
        <is>
          <t>MZONE,RICHER</t>
        </is>
      </c>
    </row>
    <row r="684" ht="22" customHeight="1">
      <c r="C684" t="inlineStr">
        <is>
          <t>MZONE-SEA</t>
        </is>
      </c>
    </row>
    <row r="685" ht="22" customHeight="1">
      <c r="C685" t="inlineStr">
        <is>
          <t>118524MZONE,
NICOLE</t>
        </is>
      </c>
    </row>
    <row r="686" ht="22" customHeight="1">
      <c r="C686" t="inlineStr">
        <is>
          <t>0118515MZONE</t>
        </is>
      </c>
    </row>
    <row r="687" ht="22" customHeight="1">
      <c r="C687" t="inlineStr">
        <is>
          <t>0118565-SF</t>
        </is>
      </c>
    </row>
    <row r="688" ht="22" customHeight="1">
      <c r="C688" t="inlineStr">
        <is>
          <t>0118521KJ8972</t>
        </is>
      </c>
    </row>
    <row r="689" ht="22" customHeight="1">
      <c r="C689" t="inlineStr">
        <is>
          <t>0118533ANA</t>
        </is>
      </c>
    </row>
    <row r="690" ht="22" customHeight="1">
      <c r="C690" t="inlineStr">
        <is>
          <t>0118534QA</t>
        </is>
      </c>
    </row>
    <row r="691" ht="22" customHeight="1">
      <c r="C691" t="inlineStr">
        <is>
          <t>114449MVW</t>
        </is>
      </c>
    </row>
    <row r="692" ht="22" customHeight="1">
      <c r="C692" t="inlineStr">
        <is>
          <t>0118532WHD-001</t>
        </is>
      </c>
    </row>
    <row r="693" ht="22" customHeight="1">
      <c r="C693" t="inlineStr">
        <is>
          <t>0118531/KJ8972</t>
        </is>
      </c>
    </row>
    <row r="694" ht="22" customHeight="1">
      <c r="C694" t="inlineStr">
        <is>
          <t>0085136 BJC108</t>
        </is>
      </c>
    </row>
    <row r="695" ht="22" customHeight="1">
      <c r="C695" t="inlineStr">
        <is>
          <t>0085137 BJC108</t>
        </is>
      </c>
    </row>
    <row r="696" ht="22" customHeight="1">
      <c r="C696" t="inlineStr">
        <is>
          <t>0117461MZ0NE</t>
        </is>
      </c>
    </row>
    <row r="697" ht="22" customHeight="1">
      <c r="C697" t="inlineStr">
        <is>
          <t>0117462/MZONE</t>
        </is>
      </c>
    </row>
    <row r="698" ht="22" customHeight="1">
      <c r="C698" t="inlineStr">
        <is>
          <t>0117454/ANA</t>
        </is>
      </c>
    </row>
    <row r="699" ht="22" customHeight="1">
      <c r="C699" t="inlineStr">
        <is>
          <t>0117452/CYJ</t>
        </is>
      </c>
    </row>
    <row r="700" ht="22" customHeight="1">
      <c r="C700" t="inlineStr">
        <is>
          <t>117412/SS</t>
        </is>
      </c>
    </row>
    <row r="701" ht="22" customHeight="1">
      <c r="C701" t="inlineStr">
        <is>
          <t>0115767/MVW</t>
        </is>
      </c>
    </row>
    <row r="702" ht="22" customHeight="1">
      <c r="C702" t="inlineStr">
        <is>
          <t>0117409/FY</t>
        </is>
      </c>
    </row>
    <row r="703" ht="22" customHeight="1">
      <c r="C703" t="inlineStr">
        <is>
          <t>0117451/MMRR</t>
        </is>
      </c>
    </row>
    <row r="704" ht="22" customHeight="1">
      <c r="C704" t="inlineStr">
        <is>
          <t>0117453/FY</t>
        </is>
      </c>
    </row>
    <row r="705" ht="22" customHeight="1">
      <c r="C705" t="inlineStr">
        <is>
          <t>0117455/WJG</t>
        </is>
      </c>
    </row>
    <row r="706" ht="22" customHeight="1">
      <c r="C706" t="inlineStr">
        <is>
          <t>0117467/ZOE</t>
        </is>
      </c>
    </row>
    <row r="707" ht="22" customHeight="1">
      <c r="C707" t="inlineStr">
        <is>
          <t>0117456/ZOE</t>
        </is>
      </c>
    </row>
    <row r="708" ht="22" customHeight="1">
      <c r="C708" t="inlineStr">
        <is>
          <t>0117447/SAWSAN</t>
        </is>
      </c>
    </row>
    <row r="709" ht="22" customHeight="1">
      <c r="C709" t="inlineStr">
        <is>
          <t>MZONE 0085353
KEVIN</t>
        </is>
      </c>
    </row>
    <row r="710" ht="22" customHeight="1">
      <c r="C710" t="inlineStr">
        <is>
          <t>0117529NC-250
NICOLE</t>
        </is>
      </c>
    </row>
    <row r="711" ht="22" customHeight="1">
      <c r="C711" t="inlineStr">
        <is>
          <t>0115792/MVW</t>
        </is>
      </c>
    </row>
    <row r="712" ht="22" customHeight="1">
      <c r="C712" t="inlineStr">
        <is>
          <t>0117476/SS</t>
        </is>
      </c>
    </row>
    <row r="713" ht="22" customHeight="1">
      <c r="C713" t="inlineStr">
        <is>
          <t>0117504/ANA</t>
        </is>
      </c>
    </row>
    <row r="714" ht="22" customHeight="1">
      <c r="C714" t="inlineStr">
        <is>
          <t>0117508/MMRR</t>
        </is>
      </c>
    </row>
    <row r="715" ht="22" customHeight="1">
      <c r="C715" t="inlineStr">
        <is>
          <t>0117502/MCT</t>
        </is>
      </c>
    </row>
    <row r="716" ht="22" customHeight="1">
      <c r="C716" t="inlineStr">
        <is>
          <t>0085148 KJ8972</t>
        </is>
      </c>
    </row>
    <row r="717" ht="22" customHeight="1">
      <c r="C717" t="inlineStr">
        <is>
          <t>0117503/CYJ</t>
        </is>
      </c>
    </row>
    <row r="718" ht="22" customHeight="1">
      <c r="C718" t="inlineStr">
        <is>
          <t>0085149 KJ8972</t>
        </is>
      </c>
    </row>
    <row r="719" ht="22" customHeight="1">
      <c r="C719" t="inlineStr">
        <is>
          <t>0085354 kj8972</t>
        </is>
      </c>
    </row>
    <row r="720" ht="22" customHeight="1">
      <c r="C720" t="inlineStr">
        <is>
          <t>XCXC-JACK</t>
        </is>
      </c>
    </row>
    <row r="721" ht="22" customHeight="1">
      <c r="C721" t="inlineStr">
        <is>
          <t>0117547/RXT</t>
        </is>
      </c>
    </row>
    <row r="722" ht="22" customHeight="1">
      <c r="C722" t="inlineStr">
        <is>
          <t>0117545/MARY</t>
        </is>
      </c>
    </row>
    <row r="723" ht="22" customHeight="1">
      <c r="C723" t="inlineStr">
        <is>
          <t>0117543/WHD-001</t>
        </is>
      </c>
    </row>
    <row r="724" ht="22" customHeight="1">
      <c r="C724" t="inlineStr">
        <is>
          <t>0117541/ZOE</t>
        </is>
      </c>
    </row>
    <row r="725" ht="22" customHeight="1">
      <c r="C725" t="inlineStr">
        <is>
          <t>0117540/MMRR</t>
        </is>
      </c>
    </row>
    <row r="726" ht="22" customHeight="1">
      <c r="C726" t="inlineStr">
        <is>
          <t>0117539/JACK116</t>
        </is>
      </c>
    </row>
    <row r="727" ht="22" customHeight="1">
      <c r="C727" t="inlineStr">
        <is>
          <t>0117538/WJG</t>
        </is>
      </c>
    </row>
    <row r="728" ht="22" customHeight="1">
      <c r="C728" t="inlineStr">
        <is>
          <t>0117606/WJG</t>
        </is>
      </c>
    </row>
    <row r="729" ht="22" customHeight="1">
      <c r="C729" t="inlineStr">
        <is>
          <t>0117536/ZABI</t>
        </is>
      </c>
    </row>
    <row r="730" ht="22" customHeight="1">
      <c r="C730" t="inlineStr">
        <is>
          <t>0117601/MMRR</t>
        </is>
      </c>
    </row>
    <row r="731" ht="22" customHeight="1">
      <c r="C731" t="inlineStr">
        <is>
          <t>SDGYL-ASAF</t>
        </is>
      </c>
    </row>
    <row r="732" ht="22" customHeight="1">
      <c r="C732" t="inlineStr">
        <is>
          <t>0117616/SF/1-2</t>
        </is>
      </c>
    </row>
    <row r="733" ht="22" customHeight="1">
      <c r="C733" t="inlineStr">
        <is>
          <t>0117617/SFF-3</t>
        </is>
      </c>
    </row>
    <row r="734" ht="22" customHeight="1">
      <c r="C734" t="inlineStr">
        <is>
          <t>0117612/AFD</t>
        </is>
      </c>
    </row>
    <row r="735" ht="22" customHeight="1">
      <c r="C735" t="inlineStr">
        <is>
          <t>0117560/SS</t>
        </is>
      </c>
    </row>
    <row r="736" ht="22" customHeight="1">
      <c r="C736" t="inlineStr">
        <is>
          <t>0117623/ASA</t>
        </is>
      </c>
    </row>
    <row r="737" ht="22" customHeight="1">
      <c r="C737" t="inlineStr">
        <is>
          <t>XCXC-260413JACK</t>
        </is>
      </c>
    </row>
    <row r="738" ht="22" customHeight="1">
      <c r="C738" t="inlineStr">
        <is>
          <t>SEZAR 0085365</t>
        </is>
      </c>
    </row>
    <row r="739" ht="22" customHeight="1">
      <c r="C739" t="inlineStr">
        <is>
          <t>0085366 KJ8972</t>
        </is>
      </c>
    </row>
    <row r="740" ht="22" customHeight="1">
      <c r="C740" t="inlineStr">
        <is>
          <t>0117581/FANG</t>
        </is>
      </c>
    </row>
    <row r="741" ht="22" customHeight="1">
      <c r="C741" t="inlineStr">
        <is>
          <t>XCXC-MOHAMMMEDK</t>
        </is>
      </c>
    </row>
    <row r="742" ht="22" customHeight="1">
      <c r="C742" t="inlineStr">
        <is>
          <t>0117629/HESSA</t>
        </is>
      </c>
    </row>
    <row r="743" ht="22" customHeight="1">
      <c r="C743" t="inlineStr">
        <is>
          <t>ASA</t>
        </is>
      </c>
    </row>
    <row r="744" ht="22" customHeight="1">
      <c r="C744" t="inlineStr">
        <is>
          <t>0117638/WYJ</t>
        </is>
      </c>
    </row>
    <row r="745" ht="22" customHeight="1">
      <c r="C745" t="inlineStr">
        <is>
          <t>SDGY-DL</t>
        </is>
      </c>
    </row>
    <row r="746" ht="22" customHeight="1">
      <c r="C746" t="inlineStr">
        <is>
          <t>0117644/SF</t>
        </is>
      </c>
    </row>
    <row r="747" ht="22" customHeight="1">
      <c r="C747" t="inlineStr">
        <is>
          <t>0117640/SFF</t>
        </is>
      </c>
    </row>
    <row r="748" ht="22" customHeight="1">
      <c r="C748" t="inlineStr">
        <is>
          <t>0114390/MVW</t>
        </is>
      </c>
    </row>
    <row r="749" ht="22" customHeight="1">
      <c r="C749" t="inlineStr">
        <is>
          <t>XCXC-WD</t>
        </is>
      </c>
    </row>
    <row r="750" ht="22" customHeight="1">
      <c r="C750" t="inlineStr">
        <is>
          <t>0117652/SFF</t>
        </is>
      </c>
    </row>
    <row r="751" ht="22" customHeight="1">
      <c r="C751" t="inlineStr">
        <is>
          <t>0117666/NC-252</t>
        </is>
      </c>
    </row>
    <row r="752" ht="22" customHeight="1">
      <c r="C752" t="inlineStr">
        <is>
          <t>MZONE 0085376</t>
        </is>
      </c>
    </row>
    <row r="753" ht="22" customHeight="1">
      <c r="C753" t="inlineStr">
        <is>
          <t>MZONE 0085375</t>
        </is>
      </c>
    </row>
    <row r="754" ht="22" customHeight="1">
      <c r="C754" t="inlineStr">
        <is>
          <t>MZONE 0085374</t>
        </is>
      </c>
    </row>
    <row r="755" ht="22" customHeight="1">
      <c r="C755" t="inlineStr">
        <is>
          <t>MZONE 0085373</t>
        </is>
      </c>
    </row>
    <row r="756" ht="22" customHeight="1">
      <c r="C756" t="inlineStr">
        <is>
          <t>0117669/WJG</t>
        </is>
      </c>
    </row>
    <row r="757" ht="22" customHeight="1">
      <c r="C757" t="inlineStr">
        <is>
          <t>0117668/MMRR</t>
        </is>
      </c>
    </row>
    <row r="758" ht="22" customHeight="1">
      <c r="C758" t="inlineStr">
        <is>
          <t>0117659/KJ8972</t>
        </is>
      </c>
    </row>
    <row r="759" ht="22" customHeight="1">
      <c r="C759" t="inlineStr">
        <is>
          <t>0117706NC-260</t>
        </is>
      </c>
    </row>
    <row r="760" ht="22" customHeight="1">
      <c r="C760" t="inlineStr">
        <is>
          <t>0117693WGJ</t>
        </is>
      </c>
    </row>
    <row r="761" ht="22" customHeight="1">
      <c r="C761" t="inlineStr">
        <is>
          <t>0117699HESSA</t>
        </is>
      </c>
    </row>
    <row r="762" ht="22" customHeight="1">
      <c r="C762" t="inlineStr">
        <is>
          <t>0117695ANA</t>
        </is>
      </c>
    </row>
    <row r="763" ht="22" customHeight="1">
      <c r="C763" t="inlineStr">
        <is>
          <t>0117696EMIL</t>
        </is>
      </c>
    </row>
    <row r="764" ht="22" customHeight="1">
      <c r="C764" t="inlineStr">
        <is>
          <t>0117711/ZOE</t>
        </is>
      </c>
    </row>
    <row r="765" ht="22" customHeight="1">
      <c r="C765" t="inlineStr">
        <is>
          <t>0085388 SEZAR</t>
        </is>
      </c>
    </row>
    <row r="766" ht="22" customHeight="1">
      <c r="C766" t="inlineStr">
        <is>
          <t>XCXC-ASA</t>
        </is>
      </c>
    </row>
    <row r="767" ht="22" customHeight="1">
      <c r="C767" t="inlineStr">
        <is>
          <t>0085382 KJ8972</t>
        </is>
      </c>
    </row>
    <row r="768" ht="22" customHeight="1">
      <c r="C768" t="inlineStr">
        <is>
          <t>0085383 KJ8972</t>
        </is>
      </c>
    </row>
    <row r="769" ht="22" customHeight="1">
      <c r="C769" t="inlineStr">
        <is>
          <t>0085385 KJ8972</t>
        </is>
      </c>
    </row>
    <row r="770" ht="22" customHeight="1">
      <c r="C770" t="inlineStr">
        <is>
          <t>FBA15LRB5XDB</t>
        </is>
      </c>
    </row>
    <row r="771" ht="22" customHeight="1">
      <c r="C771" t="inlineStr">
        <is>
          <t>FBA15LRGNPFK</t>
        </is>
      </c>
    </row>
    <row r="772" ht="22" customHeight="1">
      <c r="C772" t="inlineStr">
        <is>
          <t>0117736NC-256</t>
        </is>
      </c>
    </row>
    <row r="773" ht="22" customHeight="1">
      <c r="C773" t="inlineStr">
        <is>
          <t>0117738NC-264</t>
        </is>
      </c>
    </row>
    <row r="774" ht="22" customHeight="1">
      <c r="C774" t="inlineStr">
        <is>
          <t>0117801NC-261</t>
        </is>
      </c>
    </row>
    <row r="775" ht="22" customHeight="1">
      <c r="C775" t="inlineStr">
        <is>
          <t>0117802NC-267</t>
        </is>
      </c>
    </row>
    <row r="776" ht="22" customHeight="1">
      <c r="C776" t="inlineStr">
        <is>
          <t>0117750/SFF</t>
        </is>
      </c>
    </row>
    <row r="777" ht="22" customHeight="1">
      <c r="C777" t="inlineStr">
        <is>
          <t>0654148/SF</t>
        </is>
      </c>
    </row>
    <row r="778" ht="22" customHeight="1">
      <c r="C778" t="inlineStr">
        <is>
          <t>0115750/MVW</t>
        </is>
      </c>
    </row>
    <row r="779" ht="22" customHeight="1">
      <c r="C779" t="inlineStr">
        <is>
          <t>0117746WJG</t>
        </is>
      </c>
    </row>
    <row r="780" ht="22" customHeight="1">
      <c r="C780" t="inlineStr">
        <is>
          <t>0117745MMRR</t>
        </is>
      </c>
    </row>
    <row r="781" ht="22" customHeight="1">
      <c r="C781" t="inlineStr">
        <is>
          <t>0117731AFHLACE</t>
        </is>
      </c>
    </row>
    <row r="782" ht="22" customHeight="1">
      <c r="C782" t="inlineStr">
        <is>
          <t>0117747WJG</t>
        </is>
      </c>
    </row>
    <row r="783" ht="22" customHeight="1">
      <c r="C783" t="inlineStr">
        <is>
          <t>0117744MOHAMMEDK</t>
        </is>
      </c>
    </row>
    <row r="784" ht="22" customHeight="1">
      <c r="C784" t="inlineStr">
        <is>
          <t>0117743ASA</t>
        </is>
      </c>
    </row>
    <row r="785" ht="22" customHeight="1">
      <c r="C785" t="inlineStr">
        <is>
          <t>0117742WJG</t>
        </is>
      </c>
    </row>
    <row r="786" ht="22" customHeight="1">
      <c r="C786" t="inlineStr">
        <is>
          <t>0085399 SEZAR</t>
        </is>
      </c>
    </row>
    <row r="787" ht="22" customHeight="1">
      <c r="C787" t="inlineStr">
        <is>
          <t>0085396 FAIZ</t>
        </is>
      </c>
    </row>
    <row r="788" ht="22" customHeight="1">
      <c r="C788" t="inlineStr">
        <is>
          <t>0085401 kj8972</t>
        </is>
      </c>
    </row>
    <row r="789" ht="22" customHeight="1">
      <c r="C789" t="inlineStr">
        <is>
          <t>BAKA</t>
        </is>
      </c>
    </row>
    <row r="790" ht="22" customHeight="1">
      <c r="C790" t="inlineStr">
        <is>
          <t>FBA15LRGYVFF</t>
        </is>
      </c>
    </row>
    <row r="791" ht="22" customHeight="1">
      <c r="C791" t="inlineStr">
        <is>
          <t>0115660/D3PS</t>
        </is>
      </c>
    </row>
    <row r="792" ht="22" customHeight="1">
      <c r="C792" t="inlineStr">
        <is>
          <t>0117848/JACK116</t>
        </is>
      </c>
    </row>
    <row r="793" ht="22" customHeight="1">
      <c r="C793" t="inlineStr">
        <is>
          <t>SEZAR 0085405</t>
        </is>
      </c>
    </row>
    <row r="794" ht="22" customHeight="1">
      <c r="C794" t="inlineStr">
        <is>
          <t>MZONE 0085404</t>
        </is>
      </c>
    </row>
    <row r="795" ht="22" customHeight="1">
      <c r="C795" t="inlineStr">
        <is>
          <t>MZONE 0085403</t>
        </is>
      </c>
    </row>
    <row r="796" ht="22" customHeight="1">
      <c r="C796" t="inlineStr">
        <is>
          <t>MZONE 0085402</t>
        </is>
      </c>
    </row>
    <row r="797" ht="22" customHeight="1">
      <c r="C797" t="inlineStr">
        <is>
          <t>115657 MAQX</t>
        </is>
      </c>
    </row>
    <row r="798" ht="22" customHeight="1">
      <c r="C798" t="inlineStr">
        <is>
          <t>0117836KJ8972</t>
        </is>
      </c>
    </row>
    <row r="799" ht="22" customHeight="1">
      <c r="C799" t="inlineStr">
        <is>
          <t>0117849/CYJ</t>
        </is>
      </c>
    </row>
    <row r="800" ht="22" customHeight="1">
      <c r="C800" t="inlineStr">
        <is>
          <t>0117850/ZOE</t>
        </is>
      </c>
    </row>
    <row r="801" ht="22" customHeight="1">
      <c r="C801" t="inlineStr">
        <is>
          <t>0117851/WHD-001</t>
        </is>
      </c>
    </row>
    <row r="802" ht="22" customHeight="1">
      <c r="C802" t="inlineStr">
        <is>
          <t>0117852/JACK</t>
        </is>
      </c>
    </row>
    <row r="803" ht="22" customHeight="1">
      <c r="C803" t="inlineStr">
        <is>
          <t>0117846/KJ8972</t>
        </is>
      </c>
    </row>
    <row r="804" ht="22" customHeight="1">
      <c r="C804" t="inlineStr">
        <is>
          <t>MZONE 0085416</t>
        </is>
      </c>
    </row>
    <row r="805" ht="22" customHeight="1">
      <c r="C805" t="inlineStr">
        <is>
          <t>MZONE 0085415</t>
        </is>
      </c>
    </row>
    <row r="806" ht="22" customHeight="1">
      <c r="C806" t="inlineStr">
        <is>
          <t>0115671/MVW</t>
        </is>
      </c>
    </row>
    <row r="807" ht="22" customHeight="1">
      <c r="C807" t="inlineStr">
        <is>
          <t>0115687/MVW</t>
        </is>
      </c>
    </row>
    <row r="808" ht="22" customHeight="1">
      <c r="C808" t="inlineStr">
        <is>
          <t>0117892AMANDA</t>
        </is>
      </c>
    </row>
    <row r="809" ht="22" customHeight="1">
      <c r="C809" t="inlineStr">
        <is>
          <t>0117990MAQX</t>
        </is>
      </c>
    </row>
    <row r="810" ht="22" customHeight="1">
      <c r="C810" t="inlineStr">
        <is>
          <t>0117884FANG</t>
        </is>
      </c>
    </row>
    <row r="811" ht="22" customHeight="1">
      <c r="C811" t="inlineStr">
        <is>
          <t>0117772/FY</t>
        </is>
      </c>
    </row>
    <row r="812" ht="22" customHeight="1">
      <c r="C812" t="inlineStr">
        <is>
          <t>DQ062</t>
        </is>
      </c>
    </row>
    <row r="813" ht="22" customHeight="1">
      <c r="C813" t="inlineStr">
        <is>
          <t>0117784NC-292</t>
        </is>
      </c>
    </row>
    <row r="814" ht="22" customHeight="1">
      <c r="C814" t="inlineStr">
        <is>
          <t>SDGYL-SFF</t>
        </is>
      </c>
    </row>
    <row r="815" ht="22" customHeight="1">
      <c r="C815" t="inlineStr">
        <is>
          <t>0115605/MVW</t>
        </is>
      </c>
    </row>
    <row r="816" ht="22" customHeight="1">
      <c r="C816" t="inlineStr">
        <is>
          <t>117906/ZOE</t>
        </is>
      </c>
    </row>
    <row r="817" ht="22" customHeight="1">
      <c r="C817" t="inlineStr">
        <is>
          <t>0117905/QA</t>
        </is>
      </c>
    </row>
    <row r="818" ht="22" customHeight="1">
      <c r="C818" t="inlineStr">
        <is>
          <t>0117903/ANA</t>
        </is>
      </c>
    </row>
    <row r="819" ht="22" customHeight="1">
      <c r="C819" t="inlineStr">
        <is>
          <t>0117795/AYT</t>
        </is>
      </c>
    </row>
    <row r="820" ht="22" customHeight="1">
      <c r="C820" t="inlineStr">
        <is>
          <t>0117901/ANA</t>
        </is>
      </c>
    </row>
    <row r="821" ht="22" customHeight="1">
      <c r="C821" t="inlineStr">
        <is>
          <t>0117902/WD</t>
        </is>
      </c>
    </row>
    <row r="822" ht="22" customHeight="1">
      <c r="C822" t="inlineStr">
        <is>
          <t>0117904/WJG</t>
        </is>
      </c>
    </row>
    <row r="823" ht="22" customHeight="1">
      <c r="C823" t="inlineStr">
        <is>
          <t>0085422 SMK</t>
        </is>
      </c>
    </row>
    <row r="824" ht="22" customHeight="1">
      <c r="C824" t="inlineStr">
        <is>
          <t>0117794/MMRR</t>
        </is>
      </c>
    </row>
    <row r="825" ht="22" customHeight="1">
      <c r="C825" t="inlineStr">
        <is>
          <t>0117914/WYJ</t>
        </is>
      </c>
    </row>
    <row r="826" ht="22" customHeight="1">
      <c r="C826" t="inlineStr">
        <is>
          <t>0117916/SMK</t>
        </is>
      </c>
    </row>
    <row r="827" ht="22" customHeight="1">
      <c r="C827" t="inlineStr">
        <is>
          <t>SEZAR 0085430</t>
        </is>
      </c>
    </row>
    <row r="828" ht="22" customHeight="1">
      <c r="C828" t="inlineStr">
        <is>
          <t>MZONE 0085431</t>
        </is>
      </c>
    </row>
    <row r="829" ht="22" customHeight="1">
      <c r="C829" t="inlineStr">
        <is>
          <t>0117958/SFF</t>
        </is>
      </c>
    </row>
    <row r="830" ht="22" customHeight="1">
      <c r="C830" t="inlineStr">
        <is>
          <t>MZONE 0085425</t>
        </is>
      </c>
    </row>
    <row r="831" ht="22" customHeight="1">
      <c r="C831" t="inlineStr">
        <is>
          <t>0115633/MVW</t>
        </is>
      </c>
    </row>
    <row r="832" ht="22" customHeight="1">
      <c r="C832" t="inlineStr">
        <is>
          <t>0115637/MVW</t>
        </is>
      </c>
    </row>
    <row r="833" ht="22" customHeight="1">
      <c r="C833" t="inlineStr">
        <is>
          <t>0117933/MMRR</t>
        </is>
      </c>
    </row>
    <row r="834" ht="22" customHeight="1">
      <c r="C834" t="inlineStr">
        <is>
          <t>0117931/WJG</t>
        </is>
      </c>
    </row>
    <row r="835" ht="22" customHeight="1">
      <c r="C835" t="inlineStr">
        <is>
          <t>0117936/MMRR</t>
        </is>
      </c>
    </row>
    <row r="836" ht="22" customHeight="1">
      <c r="C836" t="inlineStr">
        <is>
          <t>0117932/101</t>
        </is>
      </c>
    </row>
    <row r="837" ht="22" customHeight="1">
      <c r="C837" t="inlineStr">
        <is>
          <t>0117929/MCT</t>
        </is>
      </c>
    </row>
    <row r="838" ht="22" customHeight="1">
      <c r="C838" t="inlineStr">
        <is>
          <t>0117944/MCT</t>
        </is>
      </c>
    </row>
    <row r="839" ht="22" customHeight="1">
      <c r="C839" t="inlineStr">
        <is>
          <t>0117941/ZOE</t>
        </is>
      </c>
    </row>
    <row r="840" ht="22" customHeight="1">
      <c r="C840" t="inlineStr">
        <is>
          <t>0117925/MAQX</t>
        </is>
      </c>
    </row>
    <row r="841" ht="22" customHeight="1">
      <c r="C841" t="inlineStr">
        <is>
          <t>0117934/WJG</t>
        </is>
      </c>
    </row>
    <row r="842" ht="22" customHeight="1">
      <c r="C842" t="inlineStr">
        <is>
          <t>0118003/ZOE</t>
        </is>
      </c>
    </row>
    <row r="843" ht="22" customHeight="1">
      <c r="C843" t="inlineStr">
        <is>
          <t>0117989/BING0</t>
        </is>
      </c>
    </row>
    <row r="844" ht="22" customHeight="1">
      <c r="C844" t="inlineStr">
        <is>
          <t>0115552/MVW</t>
        </is>
      </c>
    </row>
    <row r="845" ht="22" customHeight="1">
      <c r="C845" t="inlineStr">
        <is>
          <t>SEZAR 0085436</t>
        </is>
      </c>
    </row>
    <row r="846" ht="22" customHeight="1">
      <c r="C846" t="inlineStr">
        <is>
          <t>MZONE 0085436</t>
        </is>
      </c>
    </row>
    <row r="847" ht="22" customHeight="1">
      <c r="C847" t="inlineStr">
        <is>
          <t>FBA15LS3TK9BU00</t>
        </is>
      </c>
    </row>
    <row r="848" ht="22" customHeight="1">
      <c r="C848" t="inlineStr">
        <is>
          <t>MZONE-NICOLE</t>
        </is>
      </c>
    </row>
    <row r="849" ht="22" customHeight="1">
      <c r="C849" t="inlineStr">
        <is>
          <t>0118020NC-296</t>
        </is>
      </c>
    </row>
    <row r="850" ht="22" customHeight="1">
      <c r="C850" t="inlineStr">
        <is>
          <t>0118016NC-298</t>
        </is>
      </c>
    </row>
    <row r="851" ht="22" customHeight="1">
      <c r="C851" t="inlineStr">
        <is>
          <t>0118032ASAF</t>
        </is>
      </c>
    </row>
    <row r="852" ht="22" customHeight="1">
      <c r="C852" t="inlineStr">
        <is>
          <t>0118013YF</t>
        </is>
      </c>
    </row>
    <row r="853" ht="22" customHeight="1">
      <c r="C853" t="inlineStr">
        <is>
          <t>0118113/SFF</t>
        </is>
      </c>
    </row>
    <row r="854" ht="22" customHeight="1">
      <c r="C854" t="inlineStr">
        <is>
          <t>0118042WHD</t>
        </is>
      </c>
    </row>
    <row r="855" ht="22" customHeight="1">
      <c r="C855" t="inlineStr">
        <is>
          <t>118017/ANA</t>
        </is>
      </c>
    </row>
    <row r="856" ht="22" customHeight="1">
      <c r="C856" t="inlineStr">
        <is>
          <t>0118034WJG</t>
        </is>
      </c>
    </row>
    <row r="857" ht="22" customHeight="1">
      <c r="C857" t="inlineStr">
        <is>
          <t>0118035MMRR</t>
        </is>
      </c>
    </row>
    <row r="858" ht="22" customHeight="1">
      <c r="C858" t="inlineStr">
        <is>
          <t>0118033WHD-001</t>
        </is>
      </c>
    </row>
    <row r="859" ht="22" customHeight="1">
      <c r="C859" t="inlineStr">
        <is>
          <t>0118036WHD-001</t>
        </is>
      </c>
    </row>
    <row r="860" ht="22" customHeight="1">
      <c r="C860" t="inlineStr">
        <is>
          <t>0118025/OZH</t>
        </is>
      </c>
    </row>
    <row r="861" ht="22" customHeight="1">
      <c r="C861" t="inlineStr">
        <is>
          <t>118039/ASA</t>
        </is>
      </c>
    </row>
    <row r="862" ht="22" customHeight="1">
      <c r="C862" t="inlineStr">
        <is>
          <t>0118037ASA</t>
        </is>
      </c>
    </row>
    <row r="863" ht="22" customHeight="1">
      <c r="C863" t="inlineStr">
        <is>
          <t>0118043ASA</t>
        </is>
      </c>
    </row>
    <row r="864" ht="22" customHeight="1">
      <c r="C864" t="inlineStr">
        <is>
          <t>0118027MAQX</t>
        </is>
      </c>
    </row>
    <row r="865" ht="22" customHeight="1">
      <c r="C865" t="inlineStr">
        <is>
          <t>0118044ANA</t>
        </is>
      </c>
    </row>
    <row r="866" ht="22" customHeight="1">
      <c r="C866" t="inlineStr">
        <is>
          <t>0115575/MVW</t>
        </is>
      </c>
    </row>
    <row r="867" ht="22" customHeight="1">
      <c r="C867" t="inlineStr">
        <is>
          <t>0115574/MVW</t>
        </is>
      </c>
    </row>
    <row r="868" ht="22" customHeight="1">
      <c r="C868" t="inlineStr">
        <is>
          <t>0085447 KJ8972</t>
        </is>
      </c>
    </row>
    <row r="869" ht="22" customHeight="1">
      <c r="C869" t="inlineStr">
        <is>
          <t>0085446 KJ8972</t>
        </is>
      </c>
    </row>
    <row r="870" ht="22" customHeight="1">
      <c r="C870" t="inlineStr">
        <is>
          <t>XT</t>
        </is>
      </c>
    </row>
    <row r="871" ht="22" customHeight="1">
      <c r="C871" t="inlineStr">
        <is>
          <t>0118125NC320</t>
        </is>
      </c>
    </row>
    <row r="872" ht="22" customHeight="1">
      <c r="C872" t="inlineStr">
        <is>
          <t>QA-单证报关</t>
        </is>
      </c>
    </row>
    <row r="873" ht="22" customHeight="1">
      <c r="C873" t="inlineStr">
        <is>
          <t>0115585/MVW</t>
        </is>
      </c>
    </row>
    <row r="874" ht="22" customHeight="1">
      <c r="C874" t="inlineStr">
        <is>
          <t>0115584/MVW</t>
        </is>
      </c>
    </row>
    <row r="875" ht="22" customHeight="1">
      <c r="C875" t="inlineStr">
        <is>
          <t>0118134ASA</t>
        </is>
      </c>
    </row>
    <row r="876" ht="22" customHeight="1">
      <c r="C876" t="inlineStr">
        <is>
          <t>0118135WJG</t>
        </is>
      </c>
    </row>
    <row r="877" ht="22" customHeight="1">
      <c r="C877" t="inlineStr">
        <is>
          <t>0118137WJG</t>
        </is>
      </c>
    </row>
    <row r="878" ht="22" customHeight="1">
      <c r="C878" t="inlineStr">
        <is>
          <t>0118136/CYJ</t>
        </is>
      </c>
    </row>
    <row r="879" ht="22" customHeight="1">
      <c r="C879" t="inlineStr">
        <is>
          <t>FBA15LT7T5VN</t>
        </is>
      </c>
    </row>
    <row r="880" ht="22" customHeight="1">
      <c r="C880" t="inlineStr">
        <is>
          <t>0118174SFF</t>
        </is>
      </c>
    </row>
    <row r="881" ht="22" customHeight="1">
      <c r="C881" t="inlineStr">
        <is>
          <t>0085513 MZONE</t>
        </is>
      </c>
    </row>
    <row r="882" ht="22" customHeight="1">
      <c r="C882" t="inlineStr">
        <is>
          <t>0115502/MVW</t>
        </is>
      </c>
    </row>
    <row r="883" ht="22" customHeight="1">
      <c r="C883" t="inlineStr">
        <is>
          <t>0118052WJG</t>
        </is>
      </c>
    </row>
    <row r="884" ht="22" customHeight="1">
      <c r="C884" t="inlineStr">
        <is>
          <t>0118054/ZOE</t>
        </is>
      </c>
    </row>
    <row r="885" ht="22" customHeight="1">
      <c r="C885" t="inlineStr">
        <is>
          <t>0118082JACK116</t>
        </is>
      </c>
    </row>
    <row r="886" ht="22" customHeight="1">
      <c r="C886" t="inlineStr">
        <is>
          <t>SEZAR 0085519</t>
        </is>
      </c>
    </row>
    <row r="887" ht="22" customHeight="1">
      <c r="C887" t="inlineStr">
        <is>
          <t>0085515-MZONE</t>
        </is>
      </c>
    </row>
    <row r="888" ht="22" customHeight="1">
      <c r="C888" t="inlineStr">
        <is>
          <t>0085516-MZONE</t>
        </is>
      </c>
    </row>
    <row r="889" ht="22" customHeight="1">
      <c r="C889" t="inlineStr">
        <is>
          <t>0118083AMANDA</t>
        </is>
      </c>
    </row>
    <row r="890" ht="22" customHeight="1">
      <c r="C890" t="inlineStr">
        <is>
          <t>0115523/MVW</t>
        </is>
      </c>
    </row>
    <row r="891" ht="22" customHeight="1">
      <c r="C891" t="inlineStr">
        <is>
          <t>0118087/KJ8972</t>
        </is>
      </c>
    </row>
    <row r="892" ht="22" customHeight="1">
      <c r="C892" t="inlineStr">
        <is>
          <t>0118084/WHD-001</t>
        </is>
      </c>
    </row>
    <row r="893" ht="22" customHeight="1">
      <c r="C893" t="inlineStr">
        <is>
          <t>0115632/MVW</t>
        </is>
      </c>
    </row>
    <row r="894" ht="22" customHeight="1">
      <c r="C894" t="inlineStr">
        <is>
          <t>DQ863</t>
        </is>
      </c>
    </row>
    <row r="895" ht="22" customHeight="1">
      <c r="C895" t="inlineStr">
        <is>
          <t>SDGYY-SFF</t>
        </is>
      </c>
    </row>
    <row r="896" ht="22" customHeight="1">
      <c r="C896" t="inlineStr">
        <is>
          <t>MZONE 0085525</t>
        </is>
      </c>
    </row>
    <row r="897" ht="22" customHeight="1">
      <c r="C897" t="inlineStr">
        <is>
          <t>0116018/NC-356</t>
        </is>
      </c>
    </row>
    <row r="898" ht="22" customHeight="1">
      <c r="C898" t="inlineStr">
        <is>
          <t>0116047/SF</t>
        </is>
      </c>
    </row>
    <row r="899" ht="22" customHeight="1">
      <c r="C899" t="inlineStr">
        <is>
          <t>0115541/MVW</t>
        </is>
      </c>
    </row>
    <row r="900" ht="22" customHeight="1">
      <c r="C900" t="inlineStr">
        <is>
          <t>0116015/ALI</t>
        </is>
      </c>
    </row>
    <row r="901" ht="22" customHeight="1">
      <c r="C901" t="inlineStr">
        <is>
          <t>0116021/ASA</t>
        </is>
      </c>
    </row>
    <row r="902" ht="22" customHeight="1">
      <c r="C902" t="inlineStr">
        <is>
          <t>0116022/QA</t>
        </is>
      </c>
    </row>
    <row r="903" ht="22" customHeight="1">
      <c r="C903" t="inlineStr">
        <is>
          <t>0116023/AMANDA</t>
        </is>
      </c>
    </row>
    <row r="904" ht="22" customHeight="1">
      <c r="C904" t="inlineStr">
        <is>
          <t>0116028/ZOE/KJ972</t>
        </is>
      </c>
    </row>
    <row r="905" ht="22" customHeight="1">
      <c r="C905" t="inlineStr">
        <is>
          <t>0116027/ZOE/KJ972</t>
        </is>
      </c>
    </row>
    <row r="906" ht="22" customHeight="1">
      <c r="C906" t="inlineStr">
        <is>
          <t>0085523 FAIZ</t>
        </is>
      </c>
    </row>
    <row r="907" ht="22" customHeight="1">
      <c r="C907" t="inlineStr">
        <is>
          <t>0116029/ZOE/</t>
        </is>
      </c>
    </row>
    <row r="908" ht="22" customHeight="1">
      <c r="C908" t="inlineStr">
        <is>
          <t>0116024/ZOE/</t>
        </is>
      </c>
    </row>
    <row r="909" ht="22" customHeight="1">
      <c r="C909" t="inlineStr">
        <is>
          <t>0085524 FAIZB</t>
        </is>
      </c>
    </row>
    <row r="910" ht="22" customHeight="1">
      <c r="C910" t="inlineStr">
        <is>
          <t>FBA15LTKDXGQ</t>
        </is>
      </c>
    </row>
    <row r="911" ht="22" customHeight="1">
      <c r="C911" t="inlineStr">
        <is>
          <t>FBA15LT99XT2
DQ064</t>
        </is>
      </c>
    </row>
    <row r="912" ht="22" customHeight="1">
      <c r="C912" t="inlineStr">
        <is>
          <t>0118220/SFF</t>
        </is>
      </c>
    </row>
    <row r="913" ht="22" customHeight="1">
      <c r="C913" t="inlineStr">
        <is>
          <t>0118212/NC-341</t>
        </is>
      </c>
    </row>
    <row r="914" ht="22" customHeight="1">
      <c r="C914" t="inlineStr">
        <is>
          <t>0118205/NC-364</t>
        </is>
      </c>
    </row>
    <row r="915" ht="22" customHeight="1">
      <c r="C915" t="inlineStr">
        <is>
          <t>0118208/NC-349</t>
        </is>
      </c>
    </row>
    <row r="916" ht="22" customHeight="1">
      <c r="C916" t="inlineStr">
        <is>
          <t>0118256/MAQX</t>
        </is>
      </c>
    </row>
    <row r="917" ht="22" customHeight="1">
      <c r="C917" t="inlineStr">
        <is>
          <t>0116048-QA</t>
        </is>
      </c>
    </row>
    <row r="918" ht="22" customHeight="1">
      <c r="C918" t="inlineStr">
        <is>
          <t>0116049/TINA</t>
        </is>
      </c>
    </row>
    <row r="919" ht="22" customHeight="1">
      <c r="C919" t="inlineStr">
        <is>
          <t>0118298/SAWSAN</t>
        </is>
      </c>
    </row>
    <row r="920" ht="22" customHeight="1">
      <c r="C920" t="inlineStr">
        <is>
          <t>JDK006942038150
PZ</t>
        </is>
      </c>
    </row>
    <row r="921" ht="22" customHeight="1">
      <c r="C921" t="inlineStr">
        <is>
          <t>AE582850634</t>
        </is>
      </c>
    </row>
    <row r="922" ht="22" customHeight="1">
      <c r="C922" t="inlineStr">
        <is>
          <t>114317D3PS</t>
        </is>
      </c>
    </row>
    <row r="923" ht="22" customHeight="1">
      <c r="C923" t="inlineStr">
        <is>
          <t>0118227NC357</t>
        </is>
      </c>
    </row>
    <row r="924" ht="22" customHeight="1">
      <c r="C924" t="inlineStr">
        <is>
          <t>0118236/CYJ</t>
        </is>
      </c>
    </row>
    <row r="925" ht="22" customHeight="1">
      <c r="C925" t="inlineStr">
        <is>
          <t>0118246/CYJ</t>
        </is>
      </c>
    </row>
    <row r="926" ht="22" customHeight="1">
      <c r="C926" t="inlineStr">
        <is>
          <t>0114340/MVW</t>
        </is>
      </c>
    </row>
    <row r="927" ht="22" customHeight="1">
      <c r="C927" t="inlineStr">
        <is>
          <t>0118241/JACK-WJ</t>
        </is>
      </c>
    </row>
    <row r="928" ht="22" customHeight="1">
      <c r="C928" t="inlineStr">
        <is>
          <t>0118242/QA-8931</t>
        </is>
      </c>
    </row>
    <row r="929" ht="22" customHeight="1">
      <c r="C929" t="inlineStr">
        <is>
          <t>0118240/QA-8904</t>
        </is>
      </c>
    </row>
    <row r="930" ht="22" customHeight="1">
      <c r="C930" t="inlineStr">
        <is>
          <t>0118238/WHD</t>
        </is>
      </c>
    </row>
    <row r="931" ht="22" customHeight="1">
      <c r="C931" t="inlineStr">
        <is>
          <t>0118235/WJG</t>
        </is>
      </c>
    </row>
    <row r="932" ht="22" customHeight="1">
      <c r="C932" t="inlineStr">
        <is>
          <t>0118331NC-387</t>
        </is>
      </c>
    </row>
    <row r="933" ht="22" customHeight="1">
      <c r="C933" t="inlineStr">
        <is>
          <t>MZONE 0085538</t>
        </is>
      </c>
    </row>
    <row r="934" ht="22" customHeight="1">
      <c r="C934" t="inlineStr">
        <is>
          <t>0118237/CYJF</t>
        </is>
      </c>
    </row>
    <row r="935" ht="22" customHeight="1">
      <c r="C935" t="inlineStr">
        <is>
          <t>0115452/MVW</t>
        </is>
      </c>
    </row>
    <row r="936" ht="22" customHeight="1">
      <c r="C936" t="inlineStr">
        <is>
          <t>118337/WHD</t>
        </is>
      </c>
    </row>
    <row r="937" ht="22" customHeight="1">
      <c r="C937" t="inlineStr">
        <is>
          <t>0118340JACK</t>
        </is>
      </c>
    </row>
    <row r="938" ht="22" customHeight="1">
      <c r="C938" t="inlineStr">
        <is>
          <t>0118339JACK</t>
        </is>
      </c>
    </row>
    <row r="939" ht="22" customHeight="1">
      <c r="C939" t="inlineStr">
        <is>
          <t>0118336ANA</t>
        </is>
      </c>
    </row>
    <row r="940" ht="22" customHeight="1">
      <c r="C940" t="inlineStr">
        <is>
          <t>0118338JACK116</t>
        </is>
      </c>
    </row>
    <row r="941" ht="22" customHeight="1">
      <c r="C941" t="inlineStr">
        <is>
          <t>0118327ZOE</t>
        </is>
      </c>
    </row>
    <row r="942" ht="22" customHeight="1">
      <c r="C942" t="inlineStr">
        <is>
          <t>0118239/ZOE</t>
        </is>
      </c>
    </row>
    <row r="943" ht="22" customHeight="1">
      <c r="C943" t="inlineStr">
        <is>
          <t>0118341/JACK</t>
        </is>
      </c>
    </row>
    <row r="944" ht="22" customHeight="1">
      <c r="C944" t="inlineStr">
        <is>
          <t>0118366/NC-390</t>
        </is>
      </c>
    </row>
    <row r="945" ht="22" customHeight="1">
      <c r="C945" t="inlineStr">
        <is>
          <t>0085543 FAIZ</t>
        </is>
      </c>
    </row>
    <row r="946" ht="22" customHeight="1">
      <c r="C946" t="inlineStr">
        <is>
          <t>0118382/ZOE</t>
        </is>
      </c>
    </row>
    <row r="947" ht="22" customHeight="1">
      <c r="C947" t="inlineStr">
        <is>
          <t>0118383/WHD</t>
        </is>
      </c>
    </row>
    <row r="948" ht="22" customHeight="1">
      <c r="C948" t="inlineStr">
        <is>
          <t>YY</t>
        </is>
      </c>
    </row>
    <row r="949" ht="22" customHeight="1">
      <c r="C949" t="inlineStr">
        <is>
          <t>FBA15LV5RPW6U
DQ065</t>
        </is>
      </c>
    </row>
    <row r="950" ht="22" customHeight="1">
      <c r="C950" t="inlineStr">
        <is>
          <t>0085451 FAIZ</t>
        </is>
      </c>
    </row>
    <row r="951" ht="22" customHeight="1">
      <c r="C951" t="inlineStr">
        <is>
          <t>0085549 HASAN</t>
        </is>
      </c>
    </row>
    <row r="952" ht="22" customHeight="1">
      <c r="C952" t="inlineStr">
        <is>
          <t>0115490/MVW</t>
        </is>
      </c>
    </row>
    <row r="953" ht="22" customHeight="1">
      <c r="C953" t="inlineStr">
        <is>
          <t>0116081/WJG</t>
        </is>
      </c>
    </row>
    <row r="954" ht="22" customHeight="1">
      <c r="C954" t="inlineStr">
        <is>
          <t>0116082/ANA</t>
        </is>
      </c>
    </row>
    <row r="955" ht="22" customHeight="1">
      <c r="C955" t="inlineStr">
        <is>
          <t>0116083/WJG</t>
        </is>
      </c>
    </row>
    <row r="956" ht="22" customHeight="1">
      <c r="C956" t="inlineStr">
        <is>
          <t>0116084-QA</t>
        </is>
      </c>
    </row>
    <row r="957" ht="22" customHeight="1">
      <c r="C957" t="inlineStr">
        <is>
          <t>0116091/MMRR</t>
        </is>
      </c>
    </row>
    <row r="958" ht="22" customHeight="1">
      <c r="C958" t="inlineStr">
        <is>
          <t>0118419/ALMOHA</t>
        </is>
      </c>
    </row>
    <row r="959" ht="22" customHeight="1">
      <c r="C959" t="inlineStr">
        <is>
          <t>0114251/MVW</t>
        </is>
      </c>
    </row>
    <row r="960" ht="22" customHeight="1">
      <c r="C960" t="inlineStr">
        <is>
          <t>FBA15LVD1810</t>
        </is>
      </c>
    </row>
    <row r="961" ht="22" customHeight="1">
      <c r="C961" t="inlineStr">
        <is>
          <t>FBA15LV6GNGX</t>
        </is>
      </c>
    </row>
    <row r="962" ht="22" customHeight="1">
      <c r="C962" t="inlineStr">
        <is>
          <t>DQ067</t>
        </is>
      </c>
    </row>
    <row r="963" ht="22" customHeight="1">
      <c r="C963" t="inlineStr">
        <is>
          <t>DQ066</t>
        </is>
      </c>
    </row>
    <row r="964" ht="22" customHeight="1">
      <c r="C964" t="inlineStr">
        <is>
          <t>DQ068</t>
        </is>
      </c>
    </row>
    <row r="965" ht="22" customHeight="1">
      <c r="C965" t="inlineStr">
        <is>
          <t>0118477/MMRR</t>
        </is>
      </c>
    </row>
    <row r="966" ht="22" customHeight="1">
      <c r="C966" t="inlineStr">
        <is>
          <t>0118458/Z0E</t>
        </is>
      </c>
    </row>
    <row r="967" ht="22" customHeight="1">
      <c r="C967" t="inlineStr">
        <is>
          <t>0118479/Z0E/KJ972</t>
        </is>
      </c>
    </row>
    <row r="968" ht="22" customHeight="1">
      <c r="C968" t="inlineStr">
        <is>
          <t>0085458 KJ8972</t>
        </is>
      </c>
    </row>
    <row r="969" ht="22" customHeight="1">
      <c r="C969" t="inlineStr">
        <is>
          <t>0114266/MVW</t>
        </is>
      </c>
    </row>
    <row r="970" ht="22" customHeight="1">
      <c r="C970" t="inlineStr">
        <is>
          <t>0118472/SFF</t>
        </is>
      </c>
    </row>
    <row r="971" ht="22" customHeight="1">
      <c r="C971" t="inlineStr">
        <is>
          <t>SDGYL-SF-1</t>
        </is>
      </c>
    </row>
    <row r="972" ht="22" customHeight="1">
      <c r="C972" t="inlineStr">
        <is>
          <t>SDGYL-250822SF</t>
        </is>
      </c>
    </row>
    <row r="973" ht="22" customHeight="1">
      <c r="C973" t="inlineStr">
        <is>
          <t>MZONE 0085459</t>
        </is>
      </c>
    </row>
    <row r="974" ht="22" customHeight="1">
      <c r="C974" t="inlineStr">
        <is>
          <t>SF-SEA</t>
        </is>
      </c>
    </row>
    <row r="975" ht="22" customHeight="1">
      <c r="C975" t="inlineStr">
        <is>
          <t>0116160/SFF</t>
        </is>
      </c>
    </row>
    <row r="976" ht="22" customHeight="1">
      <c r="C976" t="inlineStr">
        <is>
          <t>0114284/MVW</t>
        </is>
      </c>
    </row>
    <row r="977" ht="22" customHeight="1">
      <c r="C977" t="inlineStr">
        <is>
          <t>0116106/MMRR</t>
        </is>
      </c>
    </row>
    <row r="978" ht="22" customHeight="1">
      <c r="C978" t="inlineStr">
        <is>
          <t>0116124/MOHAMMME DK</t>
        </is>
      </c>
    </row>
    <row r="979" ht="22" customHeight="1">
      <c r="C979" t="inlineStr">
        <is>
          <t>0116107/MCT</t>
        </is>
      </c>
    </row>
    <row r="980" ht="22" customHeight="1">
      <c r="C980" t="inlineStr">
        <is>
          <t>0118496/KJ8972</t>
        </is>
      </c>
    </row>
    <row r="981" ht="22" customHeight="1">
      <c r="C981" t="inlineStr">
        <is>
          <t>HY</t>
        </is>
      </c>
    </row>
    <row r="982" ht="22" customHeight="1">
      <c r="C982" t="inlineStr">
        <is>
          <t>XCXC-QA 单独报关</t>
        </is>
      </c>
    </row>
    <row r="983" ht="22" customHeight="1">
      <c r="C983" t="inlineStr">
        <is>
          <t>0116141/WHD</t>
        </is>
      </c>
    </row>
    <row r="984" ht="22" customHeight="1">
      <c r="C984" t="inlineStr">
        <is>
          <t>0116139/WHD-001</t>
        </is>
      </c>
    </row>
    <row r="985" ht="22" customHeight="1">
      <c r="C985" t="inlineStr">
        <is>
          <t>0116137/ASA</t>
        </is>
      </c>
    </row>
    <row r="986" ht="22" customHeight="1">
      <c r="C986" t="inlineStr">
        <is>
          <t>0116136/WHD-001</t>
        </is>
      </c>
    </row>
    <row r="987" ht="22" customHeight="1">
      <c r="C987" t="inlineStr">
        <is>
          <t>0116140/ANA</t>
        </is>
      </c>
    </row>
    <row r="988" ht="22" customHeight="1">
      <c r="C988" t="inlineStr">
        <is>
          <t>0116169/ABENEZER</t>
        </is>
      </c>
    </row>
    <row r="989" ht="22" customHeight="1">
      <c r="C989" t="inlineStr">
        <is>
          <t>MZONE 0085473</t>
        </is>
      </c>
    </row>
    <row r="990" ht="22" customHeight="1">
      <c r="C990" t="inlineStr">
        <is>
          <t>0116149/WHD</t>
        </is>
      </c>
    </row>
    <row r="991" ht="22" customHeight="1">
      <c r="C991" t="inlineStr">
        <is>
          <t>0115412/MVW</t>
        </is>
      </c>
    </row>
    <row r="992" ht="22" customHeight="1">
      <c r="C992" t="inlineStr">
        <is>
          <t>0116148/ASA</t>
        </is>
      </c>
    </row>
    <row r="993" ht="22" customHeight="1">
      <c r="C993" t="inlineStr">
        <is>
          <t>0116150/EMIL</t>
        </is>
      </c>
    </row>
    <row r="994" ht="22" customHeight="1">
      <c r="C994" t="inlineStr">
        <is>
          <t>0116181/WHF</t>
        </is>
      </c>
    </row>
    <row r="995" ht="22" customHeight="1">
      <c r="C995" t="inlineStr">
        <is>
          <t>0116210/AHAMED</t>
        </is>
      </c>
    </row>
    <row r="996" ht="22" customHeight="1">
      <c r="C996" t="inlineStr">
        <is>
          <t>0116180/LZY</t>
        </is>
      </c>
    </row>
    <row r="997" ht="22" customHeight="1">
      <c r="C997" t="inlineStr">
        <is>
          <t>SDGYL-250929BY-ASAF</t>
        </is>
      </c>
    </row>
    <row r="998" ht="22" customHeight="1">
      <c r="C998" t="inlineStr">
        <is>
          <t>XCXC-DL-HASAN</t>
        </is>
      </c>
    </row>
    <row r="999" ht="22" customHeight="1">
      <c r="C999" t="inlineStr">
        <is>
          <t>0115431/MVW</t>
        </is>
      </c>
    </row>
    <row r="1000" ht="22" customHeight="1">
      <c r="C1000" t="inlineStr">
        <is>
          <t>0085477 KJ8972</t>
        </is>
      </c>
    </row>
    <row r="1001" ht="22" customHeight="1">
      <c r="C1001" t="inlineStr">
        <is>
          <t>0116241/MOHAMMME D.K</t>
        </is>
      </c>
    </row>
    <row r="1002" ht="22" customHeight="1">
      <c r="C1002" t="inlineStr">
        <is>
          <t>D3PS/NC</t>
        </is>
      </c>
    </row>
    <row r="1003" ht="22" customHeight="1">
      <c r="C1003" t="inlineStr">
        <is>
          <t>树客国际SK</t>
        </is>
      </c>
    </row>
    <row r="1004" ht="22" customHeight="1">
      <c r="C1004" t="inlineStr">
        <is>
          <t>众米纳国际科技</t>
        </is>
      </c>
    </row>
    <row r="1005" ht="22" customHeight="1">
      <c r="C1005" t="inlineStr">
        <is>
          <t>宝仕杰BSJ</t>
        </is>
      </c>
    </row>
    <row r="1006" ht="22" customHeight="1">
      <c r="C1006" t="inlineStr">
        <is>
          <t>江门松铃</t>
        </is>
      </c>
    </row>
    <row r="1007" ht="22" customHeight="1">
      <c r="C1007" t="inlineStr">
        <is>
          <t>义乌COCO</t>
        </is>
      </c>
    </row>
    <row r="1008" ht="22" customHeight="1">
      <c r="C1008" t="inlineStr">
        <is>
          <t>麦鹰</t>
        </is>
      </c>
    </row>
    <row r="1009" ht="22" customHeight="1">
      <c r="C1009" t="inlineStr">
        <is>
          <t>托普利TPL</t>
        </is>
      </c>
    </row>
    <row r="1010" ht="22" customHeight="1">
      <c r="C1010" t="inlineStr">
        <is>
          <t>婚纱Teresa</t>
        </is>
      </c>
    </row>
    <row r="1011" ht="22" customHeight="1">
      <c r="C1011" t="inlineStr">
        <is>
          <t>KINGPOWER</t>
        </is>
      </c>
    </row>
    <row r="1012" ht="22" customHeight="1">
      <c r="C1012" t="inlineStr">
        <is>
          <t>义乌博越</t>
        </is>
      </c>
    </row>
    <row r="1013" ht="22" customHeight="1">
      <c r="C1013" t="inlineStr">
        <is>
          <t>大千贸易</t>
        </is>
      </c>
    </row>
    <row r="1014" ht="22" customHeight="1">
      <c r="C1014" t="inlineStr">
        <is>
          <t>郑总-郑旭生</t>
        </is>
      </c>
    </row>
    <row r="1015" ht="22" customHeight="1">
      <c r="C1015" t="inlineStr">
        <is>
          <t>深圳众包</t>
        </is>
      </c>
    </row>
    <row r="1016" ht="22" customHeight="1">
      <c r="C1016" t="inlineStr">
        <is>
          <t>希赛贸易</t>
        </is>
      </c>
    </row>
    <row r="1017" ht="22" customHeight="1">
      <c r="C1017" t="inlineStr">
        <is>
          <t>程译CY</t>
        </is>
      </c>
    </row>
    <row r="1018" ht="22" customHeight="1">
      <c r="C1018" t="inlineStr">
        <is>
          <t>阳光货运</t>
        </is>
      </c>
    </row>
    <row r="1019" ht="22" customHeight="1">
      <c r="C1019" t="inlineStr">
        <is>
          <t>海图货运ELVA</t>
        </is>
      </c>
    </row>
    <row r="1020" ht="22" customHeight="1">
      <c r="C1020" t="inlineStr">
        <is>
          <t>攀升国际PS</t>
        </is>
      </c>
    </row>
    <row r="1021" ht="22" customHeight="1">
      <c r="C1021" t="inlineStr">
        <is>
          <t>程云吉饰品</t>
        </is>
      </c>
    </row>
    <row r="1022" ht="22" customHeight="1">
      <c r="C1022" t="inlineStr">
        <is>
          <t>lyz饰品</t>
        </is>
      </c>
    </row>
    <row r="1023" ht="22" customHeight="1">
      <c r="C1023" t="inlineStr">
        <is>
          <t>bo唛头</t>
        </is>
      </c>
    </row>
    <row r="1024" ht="22" customHeight="1">
      <c r="C1024" t="inlineStr">
        <is>
          <t>kmo叶总</t>
        </is>
      </c>
    </row>
    <row r="1025" ht="22" customHeight="1">
      <c r="C1025" t="inlineStr">
        <is>
          <t>也门salah</t>
        </is>
      </c>
    </row>
    <row r="1026" ht="22" customHeight="1">
      <c r="C1026" t="inlineStr">
        <is>
          <t>sa唛头</t>
        </is>
      </c>
    </row>
    <row r="1027" ht="22" customHeight="1">
      <c r="C1027" t="inlineStr">
        <is>
          <t>foco唛头</t>
        </is>
      </c>
    </row>
    <row r="1028" ht="22" customHeight="1">
      <c r="C1028" t="inlineStr">
        <is>
          <t>momo唛头</t>
        </is>
      </c>
    </row>
    <row r="1029" ht="22" customHeight="1">
      <c r="C1029" t="inlineStr">
        <is>
          <t>潍坊睿盟</t>
        </is>
      </c>
    </row>
    <row r="1030" ht="22" customHeight="1">
      <c r="C1030" t="inlineStr">
        <is>
          <t>众易航国际物流</t>
        </is>
      </c>
    </row>
    <row r="1031" ht="22" customHeight="1">
      <c r="C1031" t="inlineStr">
        <is>
          <t>远桥贸易carson</t>
        </is>
      </c>
    </row>
    <row r="1032" ht="22" customHeight="1">
      <c r="C1032" t="inlineStr">
        <is>
          <t>广州未沫科技wm</t>
        </is>
      </c>
    </row>
    <row r="1033" ht="22" customHeight="1">
      <c r="C1033" t="inlineStr">
        <is>
          <t>dryden(抽屉客户)</t>
        </is>
      </c>
    </row>
    <row r="1034" ht="22" customHeight="1">
      <c r="C1034" t="inlineStr">
        <is>
          <t>南通斯派尔船舶配件</t>
        </is>
      </c>
    </row>
    <row r="1035" ht="22" customHeight="1">
      <c r="C1035" t="inlineStr">
        <is>
          <t>mohammed_saleh</t>
        </is>
      </c>
    </row>
    <row r="1036" ht="22" customHeight="1">
      <c r="C1036" t="inlineStr">
        <is>
          <t>hz韩瑞</t>
        </is>
      </c>
    </row>
    <row r="1037" ht="22" customHeight="1">
      <c r="C1037" t="inlineStr">
        <is>
          <t>kemikle</t>
        </is>
      </c>
    </row>
    <row r="1038" ht="22" customHeight="1">
      <c r="C1038" t="inlineStr">
        <is>
          <t>jason_jjk</t>
        </is>
      </c>
    </row>
    <row r="1039" ht="22" customHeight="1">
      <c r="C1039" t="inlineStr">
        <is>
          <t>bigsky_salem</t>
        </is>
      </c>
    </row>
    <row r="1040" ht="22" customHeight="1">
      <c r="C1040" t="inlineStr">
        <is>
          <t>mm义乌伊秦进出口</t>
        </is>
      </c>
    </row>
    <row r="1041" ht="22" customHeight="1">
      <c r="C1041" t="inlineStr">
        <is>
          <t>milano-ml</t>
        </is>
      </c>
    </row>
    <row r="1042" ht="22" customHeight="1">
      <c r="C1042" t="inlineStr">
        <is>
          <t>rob-robert</t>
        </is>
      </c>
    </row>
    <row r="1043" ht="22" customHeight="1">
      <c r="C1043" t="inlineStr">
        <is>
          <t>王智超wzc</t>
        </is>
      </c>
    </row>
    <row r="1044" ht="22" customHeight="1">
      <c r="C1044" t="inlineStr">
        <is>
          <t>arabnet</t>
        </is>
      </c>
    </row>
    <row r="1045" ht="22" customHeight="1">
      <c r="C1045" t="inlineStr">
        <is>
          <t>韩瑞</t>
        </is>
      </c>
    </row>
    <row r="1046" ht="22" customHeight="1">
      <c r="C1046" t="inlineStr">
        <is>
          <t>海思托普hstp</t>
        </is>
      </c>
    </row>
    <row r="1047" ht="22" customHeight="1">
      <c r="C1047" t="inlineStr">
        <is>
          <t>cyj</t>
        </is>
      </c>
    </row>
    <row r="1048" ht="22" customHeight="1">
      <c r="C1048" t="inlineStr">
        <is>
          <t>bx</t>
        </is>
      </c>
    </row>
    <row r="1049" ht="22" customHeight="1">
      <c r="C1049" t="inlineStr">
        <is>
          <t>al-ham</t>
        </is>
      </c>
    </row>
    <row r="1050" ht="22" customHeight="1">
      <c r="C1050" t="inlineStr">
        <is>
          <t>zsx</t>
        </is>
      </c>
    </row>
    <row r="1051" ht="22" customHeight="1">
      <c r="C1051" t="inlineStr">
        <is>
          <t>wgj</t>
        </is>
      </c>
    </row>
    <row r="1052" ht="22" customHeight="1">
      <c r="C1052" t="inlineStr">
        <is>
          <t>egatee</t>
        </is>
      </c>
    </row>
    <row r="1053" ht="22" customHeight="1">
      <c r="C1053" t="inlineStr">
        <is>
          <t>lim</t>
        </is>
      </c>
    </row>
    <row r="1054" ht="22" customHeight="1">
      <c r="C1054" t="inlineStr">
        <is>
          <t>awa</t>
        </is>
      </c>
    </row>
    <row r="1055" ht="22" customHeight="1">
      <c r="C1055" t="inlineStr">
        <is>
          <t>广州宸曜</t>
        </is>
      </c>
    </row>
    <row r="1056" ht="22" customHeight="1">
      <c r="C1056" t="inlineStr">
        <is>
          <t>acco</t>
        </is>
      </c>
    </row>
    <row r="1057" ht="22" customHeight="1">
      <c r="C1057" t="inlineStr">
        <is>
          <t>salah一凡</t>
        </is>
      </c>
    </row>
    <row r="1058" ht="22" customHeight="1">
      <c r="C1058" t="inlineStr">
        <is>
          <t>jm</t>
        </is>
      </c>
    </row>
    <row r="1059" ht="22" customHeight="1">
      <c r="C1059" t="inlineStr">
        <is>
          <t>mc</t>
        </is>
      </c>
    </row>
    <row r="1060" ht="22" customHeight="1">
      <c r="C1060" t="inlineStr">
        <is>
          <t>ana赵娜</t>
        </is>
      </c>
    </row>
    <row r="1061" ht="22" customHeight="1">
      <c r="C1061" t="inlineStr">
        <is>
          <t>玖盛</t>
        </is>
      </c>
    </row>
    <row r="1062" ht="22" customHeight="1">
      <c r="C1062" t="inlineStr">
        <is>
          <t>德宸寰宇</t>
        </is>
      </c>
    </row>
    <row r="1063" ht="22" customHeight="1">
      <c r="C1063" t="inlineStr">
        <is>
          <t>JACK</t>
        </is>
      </c>
    </row>
    <row r="1064" ht="22" customHeight="1">
      <c r="C1064" t="inlineStr">
        <is>
          <t>小数点科技</t>
        </is>
      </c>
    </row>
    <row r="1065" ht="22" customHeight="1">
      <c r="C1065" t="inlineStr">
        <is>
          <t>鲸益</t>
        </is>
      </c>
    </row>
    <row r="1066" ht="22" customHeight="1">
      <c r="C1066" t="inlineStr">
        <is>
          <t>mhm-kwi</t>
        </is>
      </c>
    </row>
    <row r="1067" ht="22" customHeight="1">
      <c r="C1067" t="inlineStr">
        <is>
          <t>ogayemi</t>
        </is>
      </c>
    </row>
    <row r="1068" ht="22" customHeight="1">
      <c r="C1068" t="inlineStr">
        <is>
          <t>优米国际</t>
        </is>
      </c>
    </row>
    <row r="1069" ht="22" customHeight="1">
      <c r="C1069" t="inlineStr">
        <is>
          <t>ZH</t>
        </is>
      </c>
    </row>
    <row r="1070" ht="22" customHeight="1">
      <c r="C1070" t="inlineStr">
        <is>
          <t>HESSA</t>
        </is>
      </c>
    </row>
    <row r="1071" ht="22" customHeight="1">
      <c r="C1071" t="inlineStr">
        <is>
          <t>joha</t>
        </is>
      </c>
    </row>
    <row r="1072" ht="22" customHeight="1">
      <c r="C1072" t="inlineStr">
        <is>
          <t>浩通国际货运</t>
        </is>
      </c>
    </row>
    <row r="1073" ht="22" customHeight="1">
      <c r="C1073" t="inlineStr">
        <is>
          <t>ahaan-ahmed</t>
        </is>
      </c>
    </row>
    <row r="1074" ht="22" customHeight="1">
      <c r="C1074" t="inlineStr">
        <is>
          <t>ys奕升</t>
        </is>
      </c>
    </row>
    <row r="1075" ht="22" customHeight="1">
      <c r="C1075" t="inlineStr">
        <is>
          <t>bigsky-ama</t>
        </is>
      </c>
    </row>
    <row r="1076" ht="22" customHeight="1">
      <c r="C1076" t="inlineStr">
        <is>
          <t>bigsky-bon</t>
        </is>
      </c>
    </row>
    <row r="1077" ht="22" customHeight="1">
      <c r="C1077" t="inlineStr">
        <is>
          <t>bigskyband</t>
        </is>
      </c>
    </row>
    <row r="1078" ht="22" customHeight="1">
      <c r="C1078" t="inlineStr">
        <is>
          <t>义乌喻总</t>
        </is>
      </c>
    </row>
    <row r="1079" ht="22" customHeight="1">
      <c r="C1079" t="inlineStr">
        <is>
          <t>巫先生</t>
        </is>
      </c>
    </row>
    <row r="1080" ht="22" customHeight="1">
      <c r="C1080" t="inlineStr">
        <is>
          <t>道格</t>
        </is>
      </c>
    </row>
    <row r="1081" ht="22" customHeight="1">
      <c r="C1081" t="inlineStr">
        <is>
          <t>燕子</t>
        </is>
      </c>
    </row>
    <row r="1082" ht="22" customHeight="1">
      <c r="C1082" t="inlineStr">
        <is>
          <t>mohammed-k</t>
        </is>
      </c>
    </row>
    <row r="1083" ht="22" customHeight="1">
      <c r="C1083" t="inlineStr">
        <is>
          <t>TX</t>
        </is>
      </c>
    </row>
    <row r="1084" ht="22" customHeight="1">
      <c r="C1084" t="inlineStr">
        <is>
          <t>LUKE</t>
        </is>
      </c>
    </row>
    <row r="1085" ht="22" customHeight="1">
      <c r="C1085" t="inlineStr">
        <is>
          <t>whd</t>
        </is>
      </c>
    </row>
    <row r="1086" ht="22" customHeight="1">
      <c r="C1086" t="inlineStr">
        <is>
          <t>bigsky-esk</t>
        </is>
      </c>
    </row>
    <row r="1087" ht="22" customHeight="1">
      <c r="C1087" t="inlineStr">
        <is>
          <t>QA</t>
        </is>
      </c>
    </row>
    <row r="1088" ht="22" customHeight="1">
      <c r="C1088" t="inlineStr">
        <is>
          <t>ahamed-obaid</t>
        </is>
      </c>
    </row>
    <row r="1089" ht="22" customHeight="1">
      <c r="C1089" t="inlineStr">
        <is>
          <t>bigsky-dash</t>
        </is>
      </c>
    </row>
    <row r="1090" ht="22" customHeight="1">
      <c r="C1090" t="inlineStr">
        <is>
          <t>SS</t>
        </is>
      </c>
    </row>
    <row r="1091" ht="22" customHeight="1">
      <c r="C1091" t="inlineStr">
        <is>
          <t>EMIL</t>
        </is>
      </c>
    </row>
    <row r="1092" ht="22" customHeight="1">
      <c r="C1092" t="inlineStr">
        <is>
          <t>英格玛第</t>
        </is>
      </c>
    </row>
    <row r="1093" ht="22" customHeight="1">
      <c r="C1093" t="inlineStr">
        <is>
          <t>WD</t>
        </is>
      </c>
    </row>
    <row r="1094" ht="22" customHeight="1">
      <c r="C1094" t="inlineStr">
        <is>
          <t>WHF</t>
        </is>
      </c>
    </row>
    <row r="1095" ht="22" customHeight="1">
      <c r="C1095" t="inlineStr">
        <is>
          <t>ZOE</t>
        </is>
      </c>
    </row>
    <row r="1096" ht="22" customHeight="1">
      <c r="C1096" t="inlineStr">
        <is>
          <t>ZY</t>
        </is>
      </c>
    </row>
    <row r="1097" ht="22" customHeight="1">
      <c r="C1097" t="inlineStr">
        <is>
          <t>MC</t>
        </is>
      </c>
    </row>
    <row r="1098" ht="22" customHeight="1">
      <c r="C1098" t="inlineStr">
        <is>
          <t>JX</t>
        </is>
      </c>
    </row>
    <row r="1099" ht="22" customHeight="1">
      <c r="C1099" t="inlineStr">
        <is>
          <t>FANG</t>
        </is>
      </c>
    </row>
    <row r="1100" ht="22" customHeight="1">
      <c r="C1100" t="inlineStr">
        <is>
          <t>SURFACE</t>
        </is>
      </c>
    </row>
    <row r="1101" ht="22" customHeight="1">
      <c r="C1101" t="inlineStr">
        <is>
          <t>MMRR</t>
        </is>
      </c>
    </row>
    <row r="1102" ht="22" customHeight="1">
      <c r="C1102" t="inlineStr">
        <is>
          <t>LX</t>
        </is>
      </c>
    </row>
    <row r="1103" ht="22" customHeight="1">
      <c r="C1103" t="inlineStr">
        <is>
          <t>DL</t>
        </is>
      </c>
    </row>
    <row r="1104" ht="22" customHeight="1">
      <c r="C1104" t="inlineStr">
        <is>
          <t>RJS</t>
        </is>
      </c>
    </row>
    <row r="1105" ht="22" customHeight="1">
      <c r="C1105" t="inlineStr">
        <is>
          <t>MCT</t>
        </is>
      </c>
    </row>
    <row r="1106" ht="22" customHeight="1">
      <c r="C1106" t="inlineStr">
        <is>
          <t>QX</t>
        </is>
      </c>
    </row>
    <row r="1107" ht="22" customHeight="1">
      <c r="C1107" t="inlineStr">
        <is>
          <t>ZABI</t>
        </is>
      </c>
    </row>
    <row r="1108" ht="22" customHeight="1">
      <c r="C1108" t="inlineStr">
        <is>
          <t>WYJ</t>
        </is>
      </c>
    </row>
    <row r="1109" ht="22" customHeight="1">
      <c r="C1109" t="inlineStr">
        <is>
          <t>RXT</t>
        </is>
      </c>
    </row>
    <row r="1110" ht="22" customHeight="1">
      <c r="C1110" t="inlineStr">
        <is>
          <t>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2026-06-04T04:18:19Z</dcterms:created>
  <dcterms:modified xmlns:dcterms="http://purl.org/dc/terms/" xmlns:xsi="http://www.w3.org/2001/XMLSchema-instance" xsi:type="dcterms:W3CDTF">2026-06-04T04:18:24Z</dcterms:modified>
</cp:coreProperties>
</file>